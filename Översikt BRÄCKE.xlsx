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45891</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45891</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45891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45891</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45891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45891</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45891</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45891</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45891</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45891</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50826-2023</t>
        </is>
      </c>
      <c r="B12" s="1" t="n">
        <v>45217</v>
      </c>
      <c r="C12" s="1" t="n">
        <v>45891</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54050-2023</t>
        </is>
      </c>
      <c r="B13" s="1" t="n">
        <v>45231</v>
      </c>
      <c r="C13" s="1" t="n">
        <v>45891</v>
      </c>
      <c r="D13" t="inlineStr">
        <is>
          <t>JÄMTLANDS LÄN</t>
        </is>
      </c>
      <c r="E13" t="inlineStr">
        <is>
          <t>BRÄCKE</t>
        </is>
      </c>
      <c r="F13" t="inlineStr">
        <is>
          <t>SCA</t>
        </is>
      </c>
      <c r="G13" t="n">
        <v>11.3</v>
      </c>
      <c r="H13" t="n">
        <v>1</v>
      </c>
      <c r="I13" t="n">
        <v>3</v>
      </c>
      <c r="J13" t="n">
        <v>13</v>
      </c>
      <c r="K13" t="n">
        <v>1</v>
      </c>
      <c r="L13" t="n">
        <v>0</v>
      </c>
      <c r="M13" t="n">
        <v>0</v>
      </c>
      <c r="N13" t="n">
        <v>0</v>
      </c>
      <c r="O13" t="n">
        <v>14</v>
      </c>
      <c r="P13" t="n">
        <v>1</v>
      </c>
      <c r="Q13" t="n">
        <v>17</v>
      </c>
      <c r="R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
        <f>HYPERLINK("https://klasma.github.io/Logging_2305/artfynd/A 54050-2023 artfynd.xlsx", "A 54050-2023")</f>
        <v/>
      </c>
      <c r="T13">
        <f>HYPERLINK("https://klasma.github.io/Logging_2305/kartor/A 54050-2023 karta.png",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22929-2025</t>
        </is>
      </c>
      <c r="B14" s="1" t="n">
        <v>45790.4484375</v>
      </c>
      <c r="C14" s="1" t="n">
        <v>45891</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45891</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45891</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45891</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45891</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45891</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45891</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45891</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45891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45891</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45891</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45891</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45891</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41701-2024</t>
        </is>
      </c>
      <c r="B27" s="1" t="n">
        <v>45560.69207175926</v>
      </c>
      <c r="C27" s="1" t="n">
        <v>45891</v>
      </c>
      <c r="D27" t="inlineStr">
        <is>
          <t>JÄMTLANDS LÄN</t>
        </is>
      </c>
      <c r="E27" t="inlineStr">
        <is>
          <t>BRÄCKE</t>
        </is>
      </c>
      <c r="G27" t="n">
        <v>17.6</v>
      </c>
      <c r="H27" t="n">
        <v>4</v>
      </c>
      <c r="I27" t="n">
        <v>5</v>
      </c>
      <c r="J27" t="n">
        <v>5</v>
      </c>
      <c r="K27" t="n">
        <v>1</v>
      </c>
      <c r="L27" t="n">
        <v>0</v>
      </c>
      <c r="M27" t="n">
        <v>0</v>
      </c>
      <c r="N27" t="n">
        <v>0</v>
      </c>
      <c r="O27" t="n">
        <v>6</v>
      </c>
      <c r="P27" t="n">
        <v>1</v>
      </c>
      <c r="Q27" t="n">
        <v>12</v>
      </c>
      <c r="R27" s="2" t="inlineStr">
        <is>
          <t>Knärot
Garnlav
Lunglav
Skrovellav
Ullticka
Vedtrappmossa
Dropptaggsvamp
Plattlummer
Skinnlav
Spindelblomster
Stor aspticka
Fläcknycklar</t>
        </is>
      </c>
      <c r="S27">
        <f>HYPERLINK("https://klasma.github.io/Logging_2305/artfynd/A 41701-2024 artfynd.xlsx", "A 41701-2024")</f>
        <v/>
      </c>
      <c r="T27">
        <f>HYPERLINK("https://klasma.github.io/Logging_2305/kartor/A 41701-2024 karta.png", "A 41701-2024")</f>
        <v/>
      </c>
      <c r="U27">
        <f>HYPERLINK("https://klasma.github.io/Logging_2305/knärot/A 41701-2024 karta knärot.png", "A 41701-2024")</f>
        <v/>
      </c>
      <c r="V27">
        <f>HYPERLINK("https://klasma.github.io/Logging_2305/klagomål/A 41701-2024 FSC-klagomål.docx", "A 41701-2024")</f>
        <v/>
      </c>
      <c r="W27">
        <f>HYPERLINK("https://klasma.github.io/Logging_2305/klagomålsmail/A 41701-2024 FSC-klagomål mail.docx", "A 41701-2024")</f>
        <v/>
      </c>
      <c r="X27">
        <f>HYPERLINK("https://klasma.github.io/Logging_2305/tillsyn/A 41701-2024 tillsynsbegäran.docx", "A 41701-2024")</f>
        <v/>
      </c>
      <c r="Y27">
        <f>HYPERLINK("https://klasma.github.io/Logging_2305/tillsynsmail/A 41701-2024 tillsynsbegäran mail.docx", "A 41701-2024")</f>
        <v/>
      </c>
    </row>
    <row r="28" ht="15" customHeight="1">
      <c r="A28" t="inlineStr">
        <is>
          <t>A 67343-2021</t>
        </is>
      </c>
      <c r="B28" s="1" t="n">
        <v>44523.72125</v>
      </c>
      <c r="C28" s="1" t="n">
        <v>45891</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19337-2024</t>
        </is>
      </c>
      <c r="B29" s="1" t="n">
        <v>45428.97097222223</v>
      </c>
      <c r="C29" s="1" t="n">
        <v>45891</v>
      </c>
      <c r="D29" t="inlineStr">
        <is>
          <t>JÄMTLANDS LÄN</t>
        </is>
      </c>
      <c r="E29" t="inlineStr">
        <is>
          <t>BRÄCKE</t>
        </is>
      </c>
      <c r="F29" t="inlineStr">
        <is>
          <t>SCA</t>
        </is>
      </c>
      <c r="G29" t="n">
        <v>6</v>
      </c>
      <c r="H29" t="n">
        <v>3</v>
      </c>
      <c r="I29" t="n">
        <v>5</v>
      </c>
      <c r="J29" t="n">
        <v>5</v>
      </c>
      <c r="K29" t="n">
        <v>0</v>
      </c>
      <c r="L29" t="n">
        <v>0</v>
      </c>
      <c r="M29" t="n">
        <v>0</v>
      </c>
      <c r="N29" t="n">
        <v>0</v>
      </c>
      <c r="O29" t="n">
        <v>5</v>
      </c>
      <c r="P29" t="n">
        <v>0</v>
      </c>
      <c r="Q29" t="n">
        <v>11</v>
      </c>
      <c r="R29" s="2" t="inlineStr">
        <is>
          <t>Gammelgransskål
Granticka
Spillkråka
Ullticka
Vedtrappmossa
Guckusko
Kransrams
Svavelriska
Tibast
Underviol
Blåsippa</t>
        </is>
      </c>
      <c r="S29">
        <f>HYPERLINK("https://klasma.github.io/Logging_2305/artfynd/A 19337-2024 artfynd.xlsx", "A 19337-2024")</f>
        <v/>
      </c>
      <c r="T29">
        <f>HYPERLINK("https://klasma.github.io/Logging_2305/kartor/A 19337-2024 karta.png", "A 19337-2024")</f>
        <v/>
      </c>
      <c r="V29">
        <f>HYPERLINK("https://klasma.github.io/Logging_2305/klagomål/A 19337-2024 FSC-klagomål.docx", "A 19337-2024")</f>
        <v/>
      </c>
      <c r="W29">
        <f>HYPERLINK("https://klasma.github.io/Logging_2305/klagomålsmail/A 19337-2024 FSC-klagomål mail.docx", "A 19337-2024")</f>
        <v/>
      </c>
      <c r="X29">
        <f>HYPERLINK("https://klasma.github.io/Logging_2305/tillsyn/A 19337-2024 tillsynsbegäran.docx", "A 19337-2024")</f>
        <v/>
      </c>
      <c r="Y29">
        <f>HYPERLINK("https://klasma.github.io/Logging_2305/tillsynsmail/A 19337-2024 tillsynsbegäran mail.docx", "A 19337-2024")</f>
        <v/>
      </c>
      <c r="Z29">
        <f>HYPERLINK("https://klasma.github.io/Logging_2305/fåglar/A 19337-2024 prioriterade fågelarter.docx", "A 19337-2024")</f>
        <v/>
      </c>
    </row>
    <row r="30" ht="15" customHeight="1">
      <c r="A30" t="inlineStr">
        <is>
          <t>A 23506-2025</t>
        </is>
      </c>
      <c r="B30" s="1" t="n">
        <v>45792.49002314815</v>
      </c>
      <c r="C30" s="1" t="n">
        <v>45891</v>
      </c>
      <c r="D30" t="inlineStr">
        <is>
          <t>JÄMTLANDS LÄN</t>
        </is>
      </c>
      <c r="E30" t="inlineStr">
        <is>
          <t>BRÄCKE</t>
        </is>
      </c>
      <c r="F30" t="inlineStr">
        <is>
          <t>SCA</t>
        </is>
      </c>
      <c r="G30" t="n">
        <v>9.6</v>
      </c>
      <c r="H30" t="n">
        <v>2</v>
      </c>
      <c r="I30" t="n">
        <v>4</v>
      </c>
      <c r="J30" t="n">
        <v>6</v>
      </c>
      <c r="K30" t="n">
        <v>1</v>
      </c>
      <c r="L30" t="n">
        <v>0</v>
      </c>
      <c r="M30" t="n">
        <v>0</v>
      </c>
      <c r="N30" t="n">
        <v>0</v>
      </c>
      <c r="O30" t="n">
        <v>7</v>
      </c>
      <c r="P30" t="n">
        <v>1</v>
      </c>
      <c r="Q30" t="n">
        <v>11</v>
      </c>
      <c r="R30" s="2" t="inlineStr">
        <is>
          <t>Knärot
Blå taggsvamp
Dvärgbägarlav
Garnlav
Lunglav
Tretåig hackspett
Vedskivlav
Barkticka
Dropptaggsvamp
Norrlandslav
Skinnlav</t>
        </is>
      </c>
      <c r="S30">
        <f>HYPERLINK("https://klasma.github.io/Logging_2305/artfynd/A 23506-2025 artfynd.xlsx", "A 23506-2025")</f>
        <v/>
      </c>
      <c r="T30">
        <f>HYPERLINK("https://klasma.github.io/Logging_2305/kartor/A 23506-2025 karta.png", "A 23506-2025")</f>
        <v/>
      </c>
      <c r="U30">
        <f>HYPERLINK("https://klasma.github.io/Logging_2305/knärot/A 23506-2025 karta knärot.png", "A 23506-2025")</f>
        <v/>
      </c>
      <c r="V30">
        <f>HYPERLINK("https://klasma.github.io/Logging_2305/klagomål/A 23506-2025 FSC-klagomål.docx", "A 23506-2025")</f>
        <v/>
      </c>
      <c r="W30">
        <f>HYPERLINK("https://klasma.github.io/Logging_2305/klagomålsmail/A 23506-2025 FSC-klagomål mail.docx", "A 23506-2025")</f>
        <v/>
      </c>
      <c r="X30">
        <f>HYPERLINK("https://klasma.github.io/Logging_2305/tillsyn/A 23506-2025 tillsynsbegäran.docx", "A 23506-2025")</f>
        <v/>
      </c>
      <c r="Y30">
        <f>HYPERLINK("https://klasma.github.io/Logging_2305/tillsynsmail/A 23506-2025 tillsynsbegäran mail.docx", "A 23506-2025")</f>
        <v/>
      </c>
      <c r="Z30">
        <f>HYPERLINK("https://klasma.github.io/Logging_2305/fåglar/A 23506-2025 prioriterade fågelarter.docx", "A 23506-2025")</f>
        <v/>
      </c>
    </row>
    <row r="31" ht="15" customHeight="1">
      <c r="A31" t="inlineStr">
        <is>
          <t>A 40056-2020</t>
        </is>
      </c>
      <c r="B31" s="1" t="n">
        <v>44067</v>
      </c>
      <c r="C31" s="1" t="n">
        <v>45891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45247.9652199074</v>
      </c>
      <c r="C32" s="1" t="n">
        <v>45891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31469-2024</t>
        </is>
      </c>
      <c r="B33" s="1" t="n">
        <v>45505</v>
      </c>
      <c r="C33" s="1" t="n">
        <v>45891</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28599-2021</t>
        </is>
      </c>
      <c r="B34" s="1" t="n">
        <v>44356</v>
      </c>
      <c r="C34" s="1" t="n">
        <v>45891</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45891</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45891</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11982-2024</t>
        </is>
      </c>
      <c r="B37" s="1" t="n">
        <v>45376.95240740741</v>
      </c>
      <c r="C37" s="1" t="n">
        <v>45891</v>
      </c>
      <c r="D37" t="inlineStr">
        <is>
          <t>JÄMTLANDS LÄN</t>
        </is>
      </c>
      <c r="E37" t="inlineStr">
        <is>
          <t>BRÄCKE</t>
        </is>
      </c>
      <c r="F37" t="inlineStr">
        <is>
          <t>SCA</t>
        </is>
      </c>
      <c r="G37" t="n">
        <v>2.6</v>
      </c>
      <c r="H37" t="n">
        <v>1</v>
      </c>
      <c r="I37" t="n">
        <v>4</v>
      </c>
      <c r="J37" t="n">
        <v>4</v>
      </c>
      <c r="K37" t="n">
        <v>0</v>
      </c>
      <c r="L37" t="n">
        <v>0</v>
      </c>
      <c r="M37" t="n">
        <v>0</v>
      </c>
      <c r="N37" t="n">
        <v>0</v>
      </c>
      <c r="O37" t="n">
        <v>4</v>
      </c>
      <c r="P37" t="n">
        <v>0</v>
      </c>
      <c r="Q37" t="n">
        <v>9</v>
      </c>
      <c r="R37" s="2" t="inlineStr">
        <is>
          <t>Gränsticka
Lunglav
Ullticka
Vedtrappmossa
Luddlav
Skinnlav
Stuplav
Vedticka
Revlummer</t>
        </is>
      </c>
      <c r="S37">
        <f>HYPERLINK("https://klasma.github.io/Logging_2305/artfynd/A 11982-2024 artfynd.xlsx", "A 11982-2024")</f>
        <v/>
      </c>
      <c r="T37">
        <f>HYPERLINK("https://klasma.github.io/Logging_2305/kartor/A 11982-2024 karta.png", "A 11982-2024")</f>
        <v/>
      </c>
      <c r="V37">
        <f>HYPERLINK("https://klasma.github.io/Logging_2305/klagomål/A 11982-2024 FSC-klagomål.docx", "A 11982-2024")</f>
        <v/>
      </c>
      <c r="W37">
        <f>HYPERLINK("https://klasma.github.io/Logging_2305/klagomålsmail/A 11982-2024 FSC-klagomål mail.docx", "A 11982-2024")</f>
        <v/>
      </c>
      <c r="X37">
        <f>HYPERLINK("https://klasma.github.io/Logging_2305/tillsyn/A 11982-2024 tillsynsbegäran.docx", "A 11982-2024")</f>
        <v/>
      </c>
      <c r="Y37">
        <f>HYPERLINK("https://klasma.github.io/Logging_2305/tillsynsmail/A 11982-2024 tillsynsbegäran mail.docx", "A 11982-2024")</f>
        <v/>
      </c>
    </row>
    <row r="38" ht="15" customHeight="1">
      <c r="A38" t="inlineStr">
        <is>
          <t>A 38594-2025</t>
        </is>
      </c>
      <c r="B38" s="1" t="n">
        <v>45884.49010416667</v>
      </c>
      <c r="C38" s="1" t="n">
        <v>45891</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13486-2025</t>
        </is>
      </c>
      <c r="B39" s="1" t="n">
        <v>45736.42762731481</v>
      </c>
      <c r="C39" s="1" t="n">
        <v>45891</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45891</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45891</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70806-2021</t>
        </is>
      </c>
      <c r="B42" s="1" t="n">
        <v>44537</v>
      </c>
      <c r="C42" s="1" t="n">
        <v>45891</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51819-2023</t>
        </is>
      </c>
      <c r="B43" s="1" t="n">
        <v>45222</v>
      </c>
      <c r="C43" s="1" t="n">
        <v>45891</v>
      </c>
      <c r="D43" t="inlineStr">
        <is>
          <t>JÄMTLANDS LÄN</t>
        </is>
      </c>
      <c r="E43" t="inlineStr">
        <is>
          <t>BRÄCKE</t>
        </is>
      </c>
      <c r="F43" t="inlineStr">
        <is>
          <t>SCA</t>
        </is>
      </c>
      <c r="G43" t="n">
        <v>3.9</v>
      </c>
      <c r="H43" t="n">
        <v>0</v>
      </c>
      <c r="I43" t="n">
        <v>4</v>
      </c>
      <c r="J43" t="n">
        <v>3</v>
      </c>
      <c r="K43" t="n">
        <v>1</v>
      </c>
      <c r="L43" t="n">
        <v>0</v>
      </c>
      <c r="M43" t="n">
        <v>0</v>
      </c>
      <c r="N43" t="n">
        <v>0</v>
      </c>
      <c r="O43" t="n">
        <v>4</v>
      </c>
      <c r="P43" t="n">
        <v>1</v>
      </c>
      <c r="Q43" t="n">
        <v>8</v>
      </c>
      <c r="R43" s="2" t="inlineStr">
        <is>
          <t>Smalskaftslav
Lunglav
Skrovellav
Ullticka
Bårdlav
Korallblylav
Luddlav
Stuplav</t>
        </is>
      </c>
      <c r="S43">
        <f>HYPERLINK("https://klasma.github.io/Logging_2305/artfynd/A 51819-2023 artfynd.xlsx", "A 51819-2023")</f>
        <v/>
      </c>
      <c r="T43">
        <f>HYPERLINK("https://klasma.github.io/Logging_2305/kartor/A 51819-2023 karta.png", "A 51819-2023")</f>
        <v/>
      </c>
      <c r="V43">
        <f>HYPERLINK("https://klasma.github.io/Logging_2305/klagomål/A 51819-2023 FSC-klagomål.docx", "A 51819-2023")</f>
        <v/>
      </c>
      <c r="W43">
        <f>HYPERLINK("https://klasma.github.io/Logging_2305/klagomålsmail/A 51819-2023 FSC-klagomål mail.docx", "A 51819-2023")</f>
        <v/>
      </c>
      <c r="X43">
        <f>HYPERLINK("https://klasma.github.io/Logging_2305/tillsyn/A 51819-2023 tillsynsbegäran.docx", "A 51819-2023")</f>
        <v/>
      </c>
      <c r="Y43">
        <f>HYPERLINK("https://klasma.github.io/Logging_2305/tillsynsmail/A 51819-2023 tillsynsbegäran mail.docx", "A 51819-2023")</f>
        <v/>
      </c>
    </row>
    <row r="44" ht="15" customHeight="1">
      <c r="A44" t="inlineStr">
        <is>
          <t>A 51037-2023</t>
        </is>
      </c>
      <c r="B44" s="1" t="n">
        <v>45218</v>
      </c>
      <c r="C44" s="1" t="n">
        <v>45891</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20087-2025</t>
        </is>
      </c>
      <c r="B45" s="1" t="n">
        <v>45772.45626157407</v>
      </c>
      <c r="C45" s="1" t="n">
        <v>45891</v>
      </c>
      <c r="D45" t="inlineStr">
        <is>
          <t>JÄMTLANDS LÄN</t>
        </is>
      </c>
      <c r="E45" t="inlineStr">
        <is>
          <t>BRÄCKE</t>
        </is>
      </c>
      <c r="G45" t="n">
        <v>7.5</v>
      </c>
      <c r="H45" t="n">
        <v>1</v>
      </c>
      <c r="I45" t="n">
        <v>2</v>
      </c>
      <c r="J45" t="n">
        <v>5</v>
      </c>
      <c r="K45" t="n">
        <v>0</v>
      </c>
      <c r="L45" t="n">
        <v>0</v>
      </c>
      <c r="M45" t="n">
        <v>0</v>
      </c>
      <c r="N45" t="n">
        <v>0</v>
      </c>
      <c r="O45" t="n">
        <v>5</v>
      </c>
      <c r="P45" t="n">
        <v>0</v>
      </c>
      <c r="Q45" t="n">
        <v>8</v>
      </c>
      <c r="R45" s="2" t="inlineStr">
        <is>
          <t>Lunglav
Rosenticka
Ullticka
Vedtrappmossa
Vitgrynig nållav
Bårdlav
Stuplav
Fläcknycklar</t>
        </is>
      </c>
      <c r="S45">
        <f>HYPERLINK("https://klasma.github.io/Logging_2305/artfynd/A 20087-2025 artfynd.xlsx", "A 20087-2025")</f>
        <v/>
      </c>
      <c r="T45">
        <f>HYPERLINK("https://klasma.github.io/Logging_2305/kartor/A 20087-2025 karta.png", "A 20087-2025")</f>
        <v/>
      </c>
      <c r="V45">
        <f>HYPERLINK("https://klasma.github.io/Logging_2305/klagomål/A 20087-2025 FSC-klagomål.docx", "A 20087-2025")</f>
        <v/>
      </c>
      <c r="W45">
        <f>HYPERLINK("https://klasma.github.io/Logging_2305/klagomålsmail/A 20087-2025 FSC-klagomål mail.docx", "A 20087-2025")</f>
        <v/>
      </c>
      <c r="X45">
        <f>HYPERLINK("https://klasma.github.io/Logging_2305/tillsyn/A 20087-2025 tillsynsbegäran.docx", "A 20087-2025")</f>
        <v/>
      </c>
      <c r="Y45">
        <f>HYPERLINK("https://klasma.github.io/Logging_2305/tillsynsmail/A 20087-2025 tillsynsbegäran mail.docx", "A 20087-2025")</f>
        <v/>
      </c>
    </row>
    <row r="46" ht="15" customHeight="1">
      <c r="A46" t="inlineStr">
        <is>
          <t>A 51820-2023</t>
        </is>
      </c>
      <c r="B46" s="1" t="n">
        <v>45222</v>
      </c>
      <c r="C46" s="1" t="n">
        <v>45891</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45891</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45891</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32565-2025</t>
        </is>
      </c>
      <c r="B49" s="1" t="n">
        <v>45838.57340277778</v>
      </c>
      <c r="C49" s="1" t="n">
        <v>45891</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38525-2025</t>
        </is>
      </c>
      <c r="B50" s="1" t="n">
        <v>45884.40674768519</v>
      </c>
      <c r="C50" s="1" t="n">
        <v>45891</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33388-2025</t>
        </is>
      </c>
      <c r="B51" s="1" t="n">
        <v>45841</v>
      </c>
      <c r="C51" s="1" t="n">
        <v>45891</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49336-2023</t>
        </is>
      </c>
      <c r="B52" s="1" t="n">
        <v>45210</v>
      </c>
      <c r="C52" s="1" t="n">
        <v>45891</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23588-2025</t>
        </is>
      </c>
      <c r="B53" s="1" t="n">
        <v>45792.63607638889</v>
      </c>
      <c r="C53" s="1" t="n">
        <v>45891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40386-2020</t>
        </is>
      </c>
      <c r="B54" s="1" t="n">
        <v>44068</v>
      </c>
      <c r="C54" s="1" t="n">
        <v>45891</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32725-2023</t>
        </is>
      </c>
      <c r="B55" s="1" t="n">
        <v>45121</v>
      </c>
      <c r="C55" s="1" t="n">
        <v>45891</v>
      </c>
      <c r="D55" t="inlineStr">
        <is>
          <t>JÄMTLANDS LÄN</t>
        </is>
      </c>
      <c r="E55" t="inlineStr">
        <is>
          <t>BRÄCKE</t>
        </is>
      </c>
      <c r="F55" t="inlineStr">
        <is>
          <t>SCA</t>
        </is>
      </c>
      <c r="G55" t="n">
        <v>10.9</v>
      </c>
      <c r="H55" t="n">
        <v>4</v>
      </c>
      <c r="I55" t="n">
        <v>0</v>
      </c>
      <c r="J55" t="n">
        <v>6</v>
      </c>
      <c r="K55" t="n">
        <v>0</v>
      </c>
      <c r="L55" t="n">
        <v>0</v>
      </c>
      <c r="M55" t="n">
        <v>0</v>
      </c>
      <c r="N55" t="n">
        <v>0</v>
      </c>
      <c r="O55" t="n">
        <v>6</v>
      </c>
      <c r="P55" t="n">
        <v>0</v>
      </c>
      <c r="Q55" t="n">
        <v>7</v>
      </c>
      <c r="R55" s="2" t="inlineStr">
        <is>
          <t>Doftskinn
Garnlav
Granticka
Spillkråka
Talltita
Tretåig hackspett
Kungsfågel</t>
        </is>
      </c>
      <c r="S55">
        <f>HYPERLINK("https://klasma.github.io/Logging_2305/artfynd/A 32725-2023 artfynd.xlsx", "A 32725-2023")</f>
        <v/>
      </c>
      <c r="T55">
        <f>HYPERLINK("https://klasma.github.io/Logging_2305/kartor/A 32725-2023 karta.png", "A 32725-2023")</f>
        <v/>
      </c>
      <c r="V55">
        <f>HYPERLINK("https://klasma.github.io/Logging_2305/klagomål/A 32725-2023 FSC-klagomål.docx", "A 32725-2023")</f>
        <v/>
      </c>
      <c r="W55">
        <f>HYPERLINK("https://klasma.github.io/Logging_2305/klagomålsmail/A 32725-2023 FSC-klagomål mail.docx", "A 32725-2023")</f>
        <v/>
      </c>
      <c r="X55">
        <f>HYPERLINK("https://klasma.github.io/Logging_2305/tillsyn/A 32725-2023 tillsynsbegäran.docx", "A 32725-2023")</f>
        <v/>
      </c>
      <c r="Y55">
        <f>HYPERLINK("https://klasma.github.io/Logging_2305/tillsynsmail/A 32725-2023 tillsynsbegäran mail.docx", "A 32725-2023")</f>
        <v/>
      </c>
      <c r="Z55">
        <f>HYPERLINK("https://klasma.github.io/Logging_2305/fåglar/A 32725-2023 prioriterade fågelarter.docx", "A 32725-2023")</f>
        <v/>
      </c>
    </row>
    <row r="56" ht="15" customHeight="1">
      <c r="A56" t="inlineStr">
        <is>
          <t>A 45109-2024</t>
        </is>
      </c>
      <c r="B56" s="1" t="n">
        <v>45575.59435185185</v>
      </c>
      <c r="C56" s="1" t="n">
        <v>45891</v>
      </c>
      <c r="D56" t="inlineStr">
        <is>
          <t>JÄMTLANDS LÄN</t>
        </is>
      </c>
      <c r="E56" t="inlineStr">
        <is>
          <t>BRÄCKE</t>
        </is>
      </c>
      <c r="F56" t="inlineStr">
        <is>
          <t>SCA</t>
        </is>
      </c>
      <c r="G56" t="n">
        <v>1.6</v>
      </c>
      <c r="H56" t="n">
        <v>0</v>
      </c>
      <c r="I56" t="n">
        <v>0</v>
      </c>
      <c r="J56" t="n">
        <v>6</v>
      </c>
      <c r="K56" t="n">
        <v>1</v>
      </c>
      <c r="L56" t="n">
        <v>0</v>
      </c>
      <c r="M56" t="n">
        <v>0</v>
      </c>
      <c r="N56" t="n">
        <v>0</v>
      </c>
      <c r="O56" t="n">
        <v>7</v>
      </c>
      <c r="P56" t="n">
        <v>1</v>
      </c>
      <c r="Q56" t="n">
        <v>7</v>
      </c>
      <c r="R56" s="2" t="inlineStr">
        <is>
          <t>Lateritticka
Lunglav
Mörk kolflarnlav
Nordtagging
Vaddporing
Vedskivlav
Vedtrappmossa</t>
        </is>
      </c>
      <c r="S56">
        <f>HYPERLINK("https://klasma.github.io/Logging_2305/artfynd/A 45109-2024 artfynd.xlsx", "A 45109-2024")</f>
        <v/>
      </c>
      <c r="T56">
        <f>HYPERLINK("https://klasma.github.io/Logging_2305/kartor/A 45109-2024 karta.png", "A 45109-2024")</f>
        <v/>
      </c>
      <c r="V56">
        <f>HYPERLINK("https://klasma.github.io/Logging_2305/klagomål/A 45109-2024 FSC-klagomål.docx", "A 45109-2024")</f>
        <v/>
      </c>
      <c r="W56">
        <f>HYPERLINK("https://klasma.github.io/Logging_2305/klagomålsmail/A 45109-2024 FSC-klagomål mail.docx", "A 45109-2024")</f>
        <v/>
      </c>
      <c r="X56">
        <f>HYPERLINK("https://klasma.github.io/Logging_2305/tillsyn/A 45109-2024 tillsynsbegäran.docx", "A 45109-2024")</f>
        <v/>
      </c>
      <c r="Y56">
        <f>HYPERLINK("https://klasma.github.io/Logging_2305/tillsynsmail/A 45109-2024 tillsynsbegäran mail.docx", "A 45109-2024")</f>
        <v/>
      </c>
    </row>
    <row r="57" ht="15" customHeight="1">
      <c r="A57" t="inlineStr">
        <is>
          <t>A 44514-2024</t>
        </is>
      </c>
      <c r="B57" s="1" t="n">
        <v>45574.42746527777</v>
      </c>
      <c r="C57" s="1" t="n">
        <v>45891</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26956-2024</t>
        </is>
      </c>
      <c r="B58" s="1" t="n">
        <v>45470.97053240741</v>
      </c>
      <c r="C58" s="1" t="n">
        <v>45891</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21452-2025</t>
        </is>
      </c>
      <c r="B59" s="1" t="n">
        <v>45782.55300925926</v>
      </c>
      <c r="C59" s="1" t="n">
        <v>45891</v>
      </c>
      <c r="D59" t="inlineStr">
        <is>
          <t>JÄMTLANDS LÄN</t>
        </is>
      </c>
      <c r="E59" t="inlineStr">
        <is>
          <t>BRÄCKE</t>
        </is>
      </c>
      <c r="F59" t="inlineStr">
        <is>
          <t>SCA</t>
        </is>
      </c>
      <c r="G59" t="n">
        <v>28.8</v>
      </c>
      <c r="H59" t="n">
        <v>0</v>
      </c>
      <c r="I59" t="n">
        <v>5</v>
      </c>
      <c r="J59" t="n">
        <v>1</v>
      </c>
      <c r="K59" t="n">
        <v>0</v>
      </c>
      <c r="L59" t="n">
        <v>1</v>
      </c>
      <c r="M59" t="n">
        <v>0</v>
      </c>
      <c r="N59" t="n">
        <v>0</v>
      </c>
      <c r="O59" t="n">
        <v>2</v>
      </c>
      <c r="P59" t="n">
        <v>1</v>
      </c>
      <c r="Q59" t="n">
        <v>7</v>
      </c>
      <c r="R59" s="2" t="inlineStr">
        <is>
          <t>Trolldruvemätare
Lunglav
Kransrams
Strutbräken
Svart trolldruva
Tibast
Underviol</t>
        </is>
      </c>
      <c r="S59">
        <f>HYPERLINK("https://klasma.github.io/Logging_2305/artfynd/A 21452-2025 artfynd.xlsx", "A 21452-2025")</f>
        <v/>
      </c>
      <c r="T59">
        <f>HYPERLINK("https://klasma.github.io/Logging_2305/kartor/A 21452-2025 karta.png", "A 21452-2025")</f>
        <v/>
      </c>
      <c r="U59">
        <f>HYPERLINK("https://klasma.github.io/Logging_2305/knärot/A 21452-2025 karta knärot.png", "A 21452-2025")</f>
        <v/>
      </c>
      <c r="V59">
        <f>HYPERLINK("https://klasma.github.io/Logging_2305/klagomål/A 21452-2025 FSC-klagomål.docx", "A 21452-2025")</f>
        <v/>
      </c>
      <c r="W59">
        <f>HYPERLINK("https://klasma.github.io/Logging_2305/klagomålsmail/A 21452-2025 FSC-klagomål mail.docx", "A 21452-2025")</f>
        <v/>
      </c>
      <c r="X59">
        <f>HYPERLINK("https://klasma.github.io/Logging_2305/tillsyn/A 21452-2025 tillsynsbegäran.docx", "A 21452-2025")</f>
        <v/>
      </c>
      <c r="Y59">
        <f>HYPERLINK("https://klasma.github.io/Logging_2305/tillsynsmail/A 21452-2025 tillsynsbegäran mail.docx", "A 21452-2025")</f>
        <v/>
      </c>
    </row>
    <row r="60" ht="15" customHeight="1">
      <c r="A60" t="inlineStr">
        <is>
          <t>A 18898-2025</t>
        </is>
      </c>
      <c r="B60" s="1" t="n">
        <v>45764.44885416667</v>
      </c>
      <c r="C60" s="1" t="n">
        <v>45891</v>
      </c>
      <c r="D60" t="inlineStr">
        <is>
          <t>JÄMTLANDS LÄN</t>
        </is>
      </c>
      <c r="E60" t="inlineStr">
        <is>
          <t>BRÄCKE</t>
        </is>
      </c>
      <c r="F60" t="inlineStr">
        <is>
          <t>SCA</t>
        </is>
      </c>
      <c r="G60" t="n">
        <v>3.6</v>
      </c>
      <c r="H60" t="n">
        <v>3</v>
      </c>
      <c r="I60" t="n">
        <v>3</v>
      </c>
      <c r="J60" t="n">
        <v>2</v>
      </c>
      <c r="K60" t="n">
        <v>1</v>
      </c>
      <c r="L60" t="n">
        <v>0</v>
      </c>
      <c r="M60" t="n">
        <v>0</v>
      </c>
      <c r="N60" t="n">
        <v>0</v>
      </c>
      <c r="O60" t="n">
        <v>3</v>
      </c>
      <c r="P60" t="n">
        <v>1</v>
      </c>
      <c r="Q60" t="n">
        <v>7</v>
      </c>
      <c r="R60" s="2" t="inlineStr">
        <is>
          <t>Knärot
Granticka
Lunglav
Korallblylav
Plattlummer
Skinnlav
Kungsfågel</t>
        </is>
      </c>
      <c r="S60">
        <f>HYPERLINK("https://klasma.github.io/Logging_2305/artfynd/A 18898-2025 artfynd.xlsx", "A 18898-2025")</f>
        <v/>
      </c>
      <c r="T60">
        <f>HYPERLINK("https://klasma.github.io/Logging_2305/kartor/A 18898-2025 karta.png", "A 18898-2025")</f>
        <v/>
      </c>
      <c r="U60">
        <f>HYPERLINK("https://klasma.github.io/Logging_2305/knärot/A 18898-2025 karta knärot.png", "A 18898-2025")</f>
        <v/>
      </c>
      <c r="V60">
        <f>HYPERLINK("https://klasma.github.io/Logging_2305/klagomål/A 18898-2025 FSC-klagomål.docx", "A 18898-2025")</f>
        <v/>
      </c>
      <c r="W60">
        <f>HYPERLINK("https://klasma.github.io/Logging_2305/klagomålsmail/A 18898-2025 FSC-klagomål mail.docx", "A 18898-2025")</f>
        <v/>
      </c>
      <c r="X60">
        <f>HYPERLINK("https://klasma.github.io/Logging_2305/tillsyn/A 18898-2025 tillsynsbegäran.docx", "A 18898-2025")</f>
        <v/>
      </c>
      <c r="Y60">
        <f>HYPERLINK("https://klasma.github.io/Logging_2305/tillsynsmail/A 18898-2025 tillsynsbegäran mail.docx", "A 18898-2025")</f>
        <v/>
      </c>
      <c r="Z60">
        <f>HYPERLINK("https://klasma.github.io/Logging_2305/fåglar/A 18898-2025 prioriterade fågelarter.docx", "A 18898-2025")</f>
        <v/>
      </c>
    </row>
    <row r="61" ht="15" customHeight="1">
      <c r="A61" t="inlineStr">
        <is>
          <t>A 49540-2022</t>
        </is>
      </c>
      <c r="B61" s="1" t="n">
        <v>44861</v>
      </c>
      <c r="C61" s="1" t="n">
        <v>45891</v>
      </c>
      <c r="D61" t="inlineStr">
        <is>
          <t>JÄMTLANDS LÄN</t>
        </is>
      </c>
      <c r="E61" t="inlineStr">
        <is>
          <t>BRÄCKE</t>
        </is>
      </c>
      <c r="F61" t="inlineStr">
        <is>
          <t>SCA</t>
        </is>
      </c>
      <c r="G61" t="n">
        <v>10.5</v>
      </c>
      <c r="H61" t="n">
        <v>2</v>
      </c>
      <c r="I61" t="n">
        <v>0</v>
      </c>
      <c r="J61" t="n">
        <v>4</v>
      </c>
      <c r="K61" t="n">
        <v>2</v>
      </c>
      <c r="L61" t="n">
        <v>0</v>
      </c>
      <c r="M61" t="n">
        <v>0</v>
      </c>
      <c r="N61" t="n">
        <v>0</v>
      </c>
      <c r="O61" t="n">
        <v>6</v>
      </c>
      <c r="P61" t="n">
        <v>2</v>
      </c>
      <c r="Q61" t="n">
        <v>6</v>
      </c>
      <c r="R61" s="2" t="inlineStr">
        <is>
          <t>Knärot
Rynkskinn
Rosenticka
Talltita
Ullticka
Äggvaxskivling</t>
        </is>
      </c>
      <c r="S61">
        <f>HYPERLINK("https://klasma.github.io/Logging_2305/artfynd/A 49540-2022 artfynd.xlsx", "A 49540-2022")</f>
        <v/>
      </c>
      <c r="T61">
        <f>HYPERLINK("https://klasma.github.io/Logging_2305/kartor/A 49540-2022 karta.png", "A 49540-2022")</f>
        <v/>
      </c>
      <c r="U61">
        <f>HYPERLINK("https://klasma.github.io/Logging_2305/knärot/A 49540-2022 karta knärot.png", "A 49540-2022")</f>
        <v/>
      </c>
      <c r="V61">
        <f>HYPERLINK("https://klasma.github.io/Logging_2305/klagomål/A 49540-2022 FSC-klagomål.docx", "A 49540-2022")</f>
        <v/>
      </c>
      <c r="W61">
        <f>HYPERLINK("https://klasma.github.io/Logging_2305/klagomålsmail/A 49540-2022 FSC-klagomål mail.docx", "A 49540-2022")</f>
        <v/>
      </c>
      <c r="X61">
        <f>HYPERLINK("https://klasma.github.io/Logging_2305/tillsyn/A 49540-2022 tillsynsbegäran.docx", "A 49540-2022")</f>
        <v/>
      </c>
      <c r="Y61">
        <f>HYPERLINK("https://klasma.github.io/Logging_2305/tillsynsmail/A 49540-2022 tillsynsbegäran mail.docx", "A 49540-2022")</f>
        <v/>
      </c>
      <c r="Z61">
        <f>HYPERLINK("https://klasma.github.io/Logging_2305/fåglar/A 49540-2022 prioriterade fågelarter.docx", "A 49540-2022")</f>
        <v/>
      </c>
    </row>
    <row r="62" ht="15" customHeight="1">
      <c r="A62" t="inlineStr">
        <is>
          <t>A 14576-2024</t>
        </is>
      </c>
      <c r="B62" s="1" t="n">
        <v>45394.95033564815</v>
      </c>
      <c r="C62" s="1" t="n">
        <v>45891</v>
      </c>
      <c r="D62" t="inlineStr">
        <is>
          <t>JÄMTLANDS LÄN</t>
        </is>
      </c>
      <c r="E62" t="inlineStr">
        <is>
          <t>BRÄCKE</t>
        </is>
      </c>
      <c r="F62" t="inlineStr">
        <is>
          <t>SCA</t>
        </is>
      </c>
      <c r="G62" t="n">
        <v>2.1</v>
      </c>
      <c r="H62" t="n">
        <v>0</v>
      </c>
      <c r="I62" t="n">
        <v>3</v>
      </c>
      <c r="J62" t="n">
        <v>3</v>
      </c>
      <c r="K62" t="n">
        <v>0</v>
      </c>
      <c r="L62" t="n">
        <v>0</v>
      </c>
      <c r="M62" t="n">
        <v>0</v>
      </c>
      <c r="N62" t="n">
        <v>0</v>
      </c>
      <c r="O62" t="n">
        <v>3</v>
      </c>
      <c r="P62" t="n">
        <v>0</v>
      </c>
      <c r="Q62" t="n">
        <v>6</v>
      </c>
      <c r="R62" s="2" t="inlineStr">
        <is>
          <t>Lunglav
Skrovellav
Ullticka
Korallblylav
Skinnlav
Stuplav</t>
        </is>
      </c>
      <c r="S62">
        <f>HYPERLINK("https://klasma.github.io/Logging_2305/artfynd/A 14576-2024 artfynd.xlsx", "A 14576-2024")</f>
        <v/>
      </c>
      <c r="T62">
        <f>HYPERLINK("https://klasma.github.io/Logging_2305/kartor/A 14576-2024 karta.png", "A 14576-2024")</f>
        <v/>
      </c>
      <c r="V62">
        <f>HYPERLINK("https://klasma.github.io/Logging_2305/klagomål/A 14576-2024 FSC-klagomål.docx", "A 14576-2024")</f>
        <v/>
      </c>
      <c r="W62">
        <f>HYPERLINK("https://klasma.github.io/Logging_2305/klagomålsmail/A 14576-2024 FSC-klagomål mail.docx", "A 14576-2024")</f>
        <v/>
      </c>
      <c r="X62">
        <f>HYPERLINK("https://klasma.github.io/Logging_2305/tillsyn/A 14576-2024 tillsynsbegäran.docx", "A 14576-2024")</f>
        <v/>
      </c>
      <c r="Y62">
        <f>HYPERLINK("https://klasma.github.io/Logging_2305/tillsynsmail/A 14576-2024 tillsynsbegäran mail.docx", "A 14576-2024")</f>
        <v/>
      </c>
    </row>
    <row r="63" ht="15" customHeight="1">
      <c r="A63" t="inlineStr">
        <is>
          <t>A 40376-2024</t>
        </is>
      </c>
      <c r="B63" s="1" t="n">
        <v>45555.4065162037</v>
      </c>
      <c r="C63" s="1" t="n">
        <v>45891</v>
      </c>
      <c r="D63" t="inlineStr">
        <is>
          <t>JÄMTLANDS LÄN</t>
        </is>
      </c>
      <c r="E63" t="inlineStr">
        <is>
          <t>BRÄCKE</t>
        </is>
      </c>
      <c r="F63" t="inlineStr">
        <is>
          <t>Naturvårdsverket</t>
        </is>
      </c>
      <c r="G63" t="n">
        <v>2.9</v>
      </c>
      <c r="H63" t="n">
        <v>0</v>
      </c>
      <c r="I63" t="n">
        <v>1</v>
      </c>
      <c r="J63" t="n">
        <v>5</v>
      </c>
      <c r="K63" t="n">
        <v>0</v>
      </c>
      <c r="L63" t="n">
        <v>0</v>
      </c>
      <c r="M63" t="n">
        <v>0</v>
      </c>
      <c r="N63" t="n">
        <v>0</v>
      </c>
      <c r="O63" t="n">
        <v>5</v>
      </c>
      <c r="P63" t="n">
        <v>0</v>
      </c>
      <c r="Q63" t="n">
        <v>6</v>
      </c>
      <c r="R63" s="2" t="inlineStr">
        <is>
          <t>Dvärgbägarlav
Kolflarnlav
Mörk kolflarnlav
Vedflamlav
Vedskivlav
Dropptaggsvamp</t>
        </is>
      </c>
      <c r="S63">
        <f>HYPERLINK("https://klasma.github.io/Logging_2305/artfynd/A 40376-2024 artfynd.xlsx", "A 40376-2024")</f>
        <v/>
      </c>
      <c r="T63">
        <f>HYPERLINK("https://klasma.github.io/Logging_2305/kartor/A 40376-2024 karta.png", "A 40376-2024")</f>
        <v/>
      </c>
      <c r="U63">
        <f>HYPERLINK("https://klasma.github.io/Logging_2305/knärot/A 40376-2024 karta knärot.png", "A 40376-2024")</f>
        <v/>
      </c>
      <c r="V63">
        <f>HYPERLINK("https://klasma.github.io/Logging_2305/klagomål/A 40376-2024 FSC-klagomål.docx", "A 40376-2024")</f>
        <v/>
      </c>
      <c r="W63">
        <f>HYPERLINK("https://klasma.github.io/Logging_2305/klagomålsmail/A 40376-2024 FSC-klagomål mail.docx", "A 40376-2024")</f>
        <v/>
      </c>
      <c r="X63">
        <f>HYPERLINK("https://klasma.github.io/Logging_2305/tillsyn/A 40376-2024 tillsynsbegäran.docx", "A 40376-2024")</f>
        <v/>
      </c>
      <c r="Y63">
        <f>HYPERLINK("https://klasma.github.io/Logging_2305/tillsynsmail/A 40376-2024 tillsynsbegäran mail.docx", "A 40376-2024")</f>
        <v/>
      </c>
    </row>
    <row r="64" ht="15" customHeight="1">
      <c r="A64" t="inlineStr">
        <is>
          <t>A 35419-2024</t>
        </is>
      </c>
      <c r="B64" s="1" t="n">
        <v>45531.40895833333</v>
      </c>
      <c r="C64" s="1" t="n">
        <v>45891</v>
      </c>
      <c r="D64" t="inlineStr">
        <is>
          <t>JÄMTLANDS LÄN</t>
        </is>
      </c>
      <c r="E64" t="inlineStr">
        <is>
          <t>BRÄCKE</t>
        </is>
      </c>
      <c r="F64" t="inlineStr">
        <is>
          <t>SCA</t>
        </is>
      </c>
      <c r="G64" t="n">
        <v>3.6</v>
      </c>
      <c r="H64" t="n">
        <v>3</v>
      </c>
      <c r="I64" t="n">
        <v>1</v>
      </c>
      <c r="J64" t="n">
        <v>3</v>
      </c>
      <c r="K64" t="n">
        <v>0</v>
      </c>
      <c r="L64" t="n">
        <v>0</v>
      </c>
      <c r="M64" t="n">
        <v>0</v>
      </c>
      <c r="N64" t="n">
        <v>0</v>
      </c>
      <c r="O64" t="n">
        <v>3</v>
      </c>
      <c r="P64" t="n">
        <v>0</v>
      </c>
      <c r="Q64" t="n">
        <v>6</v>
      </c>
      <c r="R64" s="2" t="inlineStr">
        <is>
          <t>Lunglav
Skrovellav
Talltita
Stuplav
Kungsfågel
Nattviol</t>
        </is>
      </c>
      <c r="S64">
        <f>HYPERLINK("https://klasma.github.io/Logging_2305/artfynd/A 35419-2024 artfynd.xlsx", "A 35419-2024")</f>
        <v/>
      </c>
      <c r="T64">
        <f>HYPERLINK("https://klasma.github.io/Logging_2305/kartor/A 35419-2024 karta.png", "A 35419-2024")</f>
        <v/>
      </c>
      <c r="V64">
        <f>HYPERLINK("https://klasma.github.io/Logging_2305/klagomål/A 35419-2024 FSC-klagomål.docx", "A 35419-2024")</f>
        <v/>
      </c>
      <c r="W64">
        <f>HYPERLINK("https://klasma.github.io/Logging_2305/klagomålsmail/A 35419-2024 FSC-klagomål mail.docx", "A 35419-2024")</f>
        <v/>
      </c>
      <c r="X64">
        <f>HYPERLINK("https://klasma.github.io/Logging_2305/tillsyn/A 35419-2024 tillsynsbegäran.docx", "A 35419-2024")</f>
        <v/>
      </c>
      <c r="Y64">
        <f>HYPERLINK("https://klasma.github.io/Logging_2305/tillsynsmail/A 35419-2024 tillsynsbegäran mail.docx", "A 35419-2024")</f>
        <v/>
      </c>
      <c r="Z64">
        <f>HYPERLINK("https://klasma.github.io/Logging_2305/fåglar/A 35419-2024 prioriterade fågelarter.docx", "A 35419-2024")</f>
        <v/>
      </c>
    </row>
    <row r="65" ht="15" customHeight="1">
      <c r="A65" t="inlineStr">
        <is>
          <t>A 13548-2024</t>
        </is>
      </c>
      <c r="B65" s="1" t="n">
        <v>45387.95348379629</v>
      </c>
      <c r="C65" s="1" t="n">
        <v>45891</v>
      </c>
      <c r="D65" t="inlineStr">
        <is>
          <t>JÄMTLANDS LÄN</t>
        </is>
      </c>
      <c r="E65" t="inlineStr">
        <is>
          <t>BRÄCKE</t>
        </is>
      </c>
      <c r="F65" t="inlineStr">
        <is>
          <t>SCA</t>
        </is>
      </c>
      <c r="G65" t="n">
        <v>1.3</v>
      </c>
      <c r="H65" t="n">
        <v>0</v>
      </c>
      <c r="I65" t="n">
        <v>2</v>
      </c>
      <c r="J65" t="n">
        <v>4</v>
      </c>
      <c r="K65" t="n">
        <v>0</v>
      </c>
      <c r="L65" t="n">
        <v>0</v>
      </c>
      <c r="M65" t="n">
        <v>0</v>
      </c>
      <c r="N65" t="n">
        <v>0</v>
      </c>
      <c r="O65" t="n">
        <v>4</v>
      </c>
      <c r="P65" t="n">
        <v>0</v>
      </c>
      <c r="Q65" t="n">
        <v>6</v>
      </c>
      <c r="R65" s="2" t="inlineStr">
        <is>
          <t>Blå taggsvamp
Dvärgbägarlav
Kolflarnlav
Motaggsvamp
Skinnlav
Vedticka</t>
        </is>
      </c>
      <c r="S65">
        <f>HYPERLINK("https://klasma.github.io/Logging_2305/artfynd/A 13548-2024 artfynd.xlsx", "A 13548-2024")</f>
        <v/>
      </c>
      <c r="T65">
        <f>HYPERLINK("https://klasma.github.io/Logging_2305/kartor/A 13548-2024 karta.png", "A 13548-2024")</f>
        <v/>
      </c>
      <c r="V65">
        <f>HYPERLINK("https://klasma.github.io/Logging_2305/klagomål/A 13548-2024 FSC-klagomål.docx", "A 13548-2024")</f>
        <v/>
      </c>
      <c r="W65">
        <f>HYPERLINK("https://klasma.github.io/Logging_2305/klagomålsmail/A 13548-2024 FSC-klagomål mail.docx", "A 13548-2024")</f>
        <v/>
      </c>
      <c r="X65">
        <f>HYPERLINK("https://klasma.github.io/Logging_2305/tillsyn/A 13548-2024 tillsynsbegäran.docx", "A 13548-2024")</f>
        <v/>
      </c>
      <c r="Y65">
        <f>HYPERLINK("https://klasma.github.io/Logging_2305/tillsynsmail/A 13548-2024 tillsynsbegäran mail.docx", "A 13548-2024")</f>
        <v/>
      </c>
    </row>
    <row r="66" ht="15" customHeight="1">
      <c r="A66" t="inlineStr">
        <is>
          <t>A 29464-2024</t>
        </is>
      </c>
      <c r="B66" s="1" t="n">
        <v>45483.97010416666</v>
      </c>
      <c r="C66" s="1" t="n">
        <v>45891</v>
      </c>
      <c r="D66" t="inlineStr">
        <is>
          <t>JÄMTLANDS LÄN</t>
        </is>
      </c>
      <c r="E66" t="inlineStr">
        <is>
          <t>BRÄCKE</t>
        </is>
      </c>
      <c r="F66" t="inlineStr">
        <is>
          <t>SCA</t>
        </is>
      </c>
      <c r="G66" t="n">
        <v>4</v>
      </c>
      <c r="H66" t="n">
        <v>0</v>
      </c>
      <c r="I66" t="n">
        <v>1</v>
      </c>
      <c r="J66" t="n">
        <v>5</v>
      </c>
      <c r="K66" t="n">
        <v>0</v>
      </c>
      <c r="L66" t="n">
        <v>0</v>
      </c>
      <c r="M66" t="n">
        <v>0</v>
      </c>
      <c r="N66" t="n">
        <v>0</v>
      </c>
      <c r="O66" t="n">
        <v>5</v>
      </c>
      <c r="P66" t="n">
        <v>0</v>
      </c>
      <c r="Q66" t="n">
        <v>6</v>
      </c>
      <c r="R66" s="2" t="inlineStr">
        <is>
          <t>Gammelgransskål
Garnlav
Granticka
Kolflarnlav
Lunglav
Stuplav</t>
        </is>
      </c>
      <c r="S66">
        <f>HYPERLINK("https://klasma.github.io/Logging_2305/artfynd/A 29464-2024 artfynd.xlsx", "A 29464-2024")</f>
        <v/>
      </c>
      <c r="T66">
        <f>HYPERLINK("https://klasma.github.io/Logging_2305/kartor/A 29464-2024 karta.png", "A 29464-2024")</f>
        <v/>
      </c>
      <c r="V66">
        <f>HYPERLINK("https://klasma.github.io/Logging_2305/klagomål/A 29464-2024 FSC-klagomål.docx", "A 29464-2024")</f>
        <v/>
      </c>
      <c r="W66">
        <f>HYPERLINK("https://klasma.github.io/Logging_2305/klagomålsmail/A 29464-2024 FSC-klagomål mail.docx", "A 29464-2024")</f>
        <v/>
      </c>
      <c r="X66">
        <f>HYPERLINK("https://klasma.github.io/Logging_2305/tillsyn/A 29464-2024 tillsynsbegäran.docx", "A 29464-2024")</f>
        <v/>
      </c>
      <c r="Y66">
        <f>HYPERLINK("https://klasma.github.io/Logging_2305/tillsynsmail/A 29464-2024 tillsynsbegäran mail.docx", "A 29464-2024")</f>
        <v/>
      </c>
    </row>
    <row r="67" ht="15" customHeight="1">
      <c r="A67" t="inlineStr">
        <is>
          <t>A 59719-2024</t>
        </is>
      </c>
      <c r="B67" s="1" t="n">
        <v>45639.47033564815</v>
      </c>
      <c r="C67" s="1" t="n">
        <v>45891</v>
      </c>
      <c r="D67" t="inlineStr">
        <is>
          <t>JÄMTLANDS LÄN</t>
        </is>
      </c>
      <c r="E67" t="inlineStr">
        <is>
          <t>BRÄCKE</t>
        </is>
      </c>
      <c r="F67" t="inlineStr">
        <is>
          <t>SCA</t>
        </is>
      </c>
      <c r="G67" t="n">
        <v>1.8</v>
      </c>
      <c r="H67" t="n">
        <v>1</v>
      </c>
      <c r="I67" t="n">
        <v>2</v>
      </c>
      <c r="J67" t="n">
        <v>4</v>
      </c>
      <c r="K67" t="n">
        <v>0</v>
      </c>
      <c r="L67" t="n">
        <v>0</v>
      </c>
      <c r="M67" t="n">
        <v>0</v>
      </c>
      <c r="N67" t="n">
        <v>0</v>
      </c>
      <c r="O67" t="n">
        <v>4</v>
      </c>
      <c r="P67" t="n">
        <v>0</v>
      </c>
      <c r="Q67" t="n">
        <v>6</v>
      </c>
      <c r="R67" s="2" t="inlineStr">
        <is>
          <t>Granticka
Lunglav
Tretåig hackspett
Ullticka
Trådticka
Vedticka</t>
        </is>
      </c>
      <c r="S67">
        <f>HYPERLINK("https://klasma.github.io/Logging_2305/artfynd/A 59719-2024 artfynd.xlsx", "A 59719-2024")</f>
        <v/>
      </c>
      <c r="T67">
        <f>HYPERLINK("https://klasma.github.io/Logging_2305/kartor/A 59719-2024 karta.png", "A 59719-2024")</f>
        <v/>
      </c>
      <c r="V67">
        <f>HYPERLINK("https://klasma.github.io/Logging_2305/klagomål/A 59719-2024 FSC-klagomål.docx", "A 59719-2024")</f>
        <v/>
      </c>
      <c r="W67">
        <f>HYPERLINK("https://klasma.github.io/Logging_2305/klagomålsmail/A 59719-2024 FSC-klagomål mail.docx", "A 59719-2024")</f>
        <v/>
      </c>
      <c r="X67">
        <f>HYPERLINK("https://klasma.github.io/Logging_2305/tillsyn/A 59719-2024 tillsynsbegäran.docx", "A 59719-2024")</f>
        <v/>
      </c>
      <c r="Y67">
        <f>HYPERLINK("https://klasma.github.io/Logging_2305/tillsynsmail/A 59719-2024 tillsynsbegäran mail.docx", "A 59719-2024")</f>
        <v/>
      </c>
      <c r="Z67">
        <f>HYPERLINK("https://klasma.github.io/Logging_2305/fåglar/A 59719-2024 prioriterade fågelarter.docx", "A 59719-2024")</f>
        <v/>
      </c>
    </row>
    <row r="68" ht="15" customHeight="1">
      <c r="A68" t="inlineStr">
        <is>
          <t>A 52152-2024</t>
        </is>
      </c>
      <c r="B68" s="1" t="n">
        <v>45608.52387731482</v>
      </c>
      <c r="C68" s="1" t="n">
        <v>45891</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29141-2025</t>
        </is>
      </c>
      <c r="B69" s="1" t="n">
        <v>45821.61508101852</v>
      </c>
      <c r="C69" s="1" t="n">
        <v>45891</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32580-2025</t>
        </is>
      </c>
      <c r="B70" s="1" t="n">
        <v>45838.59434027778</v>
      </c>
      <c r="C70" s="1" t="n">
        <v>45891</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29272-2024</t>
        </is>
      </c>
      <c r="B71" s="1" t="n">
        <v>45482.94998842593</v>
      </c>
      <c r="C71" s="1" t="n">
        <v>45891</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43982-2023</t>
        </is>
      </c>
      <c r="B72" s="1" t="n">
        <v>45187</v>
      </c>
      <c r="C72" s="1" t="n">
        <v>45891</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43989-2023</t>
        </is>
      </c>
      <c r="B73" s="1" t="n">
        <v>45187</v>
      </c>
      <c r="C73" s="1" t="n">
        <v>45891</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28601-2021</t>
        </is>
      </c>
      <c r="B74" s="1" t="n">
        <v>44356</v>
      </c>
      <c r="C74" s="1" t="n">
        <v>45891</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23729-2024</t>
        </is>
      </c>
      <c r="B75" s="1" t="n">
        <v>45454.95868055556</v>
      </c>
      <c r="C75" s="1" t="n">
        <v>45891</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45891</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45891</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45891</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45891</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36183-2025</t>
        </is>
      </c>
      <c r="B80" s="1" t="n">
        <v>45867.41709490741</v>
      </c>
      <c r="C80" s="1" t="n">
        <v>45891</v>
      </c>
      <c r="D80" t="inlineStr">
        <is>
          <t>JÄMTLANDS LÄN</t>
        </is>
      </c>
      <c r="E80" t="inlineStr">
        <is>
          <t>BRÄCKE</t>
        </is>
      </c>
      <c r="G80" t="n">
        <v>28.8</v>
      </c>
      <c r="H80" t="n">
        <v>3</v>
      </c>
      <c r="I80" t="n">
        <v>0</v>
      </c>
      <c r="J80" t="n">
        <v>3</v>
      </c>
      <c r="K80" t="n">
        <v>1</v>
      </c>
      <c r="L80" t="n">
        <v>0</v>
      </c>
      <c r="M80" t="n">
        <v>0</v>
      </c>
      <c r="N80" t="n">
        <v>0</v>
      </c>
      <c r="O80" t="n">
        <v>4</v>
      </c>
      <c r="P80" t="n">
        <v>1</v>
      </c>
      <c r="Q80" t="n">
        <v>5</v>
      </c>
      <c r="R80" s="2" t="inlineStr">
        <is>
          <t>Doftticka
Järpe
Lunglav
Skrovellav
Nattviol</t>
        </is>
      </c>
      <c r="S80">
        <f>HYPERLINK("https://klasma.github.io/Logging_2305/artfynd/A 36183-2025 artfynd.xlsx", "A 36183-2025")</f>
        <v/>
      </c>
      <c r="T80">
        <f>HYPERLINK("https://klasma.github.io/Logging_2305/kartor/A 36183-2025 karta.png", "A 36183-2025")</f>
        <v/>
      </c>
      <c r="V80">
        <f>HYPERLINK("https://klasma.github.io/Logging_2305/klagomål/A 36183-2025 FSC-klagomål.docx", "A 36183-2025")</f>
        <v/>
      </c>
      <c r="W80">
        <f>HYPERLINK("https://klasma.github.io/Logging_2305/klagomålsmail/A 36183-2025 FSC-klagomål mail.docx", "A 36183-2025")</f>
        <v/>
      </c>
      <c r="X80">
        <f>HYPERLINK("https://klasma.github.io/Logging_2305/tillsyn/A 36183-2025 tillsynsbegäran.docx", "A 36183-2025")</f>
        <v/>
      </c>
      <c r="Y80">
        <f>HYPERLINK("https://klasma.github.io/Logging_2305/tillsynsmail/A 36183-2025 tillsynsbegäran mail.docx", "A 36183-2025")</f>
        <v/>
      </c>
      <c r="Z80">
        <f>HYPERLINK("https://klasma.github.io/Logging_2305/fåglar/A 36183-2025 prioriterade fågelarter.docx", "A 36183-2025")</f>
        <v/>
      </c>
    </row>
    <row r="81" ht="15" customHeight="1">
      <c r="A81" t="inlineStr">
        <is>
          <t>A 30620-2025</t>
        </is>
      </c>
      <c r="B81" s="1" t="n">
        <v>45831.46936342592</v>
      </c>
      <c r="C81" s="1" t="n">
        <v>45891</v>
      </c>
      <c r="D81" t="inlineStr">
        <is>
          <t>JÄMTLANDS LÄN</t>
        </is>
      </c>
      <c r="E81" t="inlineStr">
        <is>
          <t>BRÄCKE</t>
        </is>
      </c>
      <c r="G81" t="n">
        <v>4</v>
      </c>
      <c r="H81" t="n">
        <v>0</v>
      </c>
      <c r="I81" t="n">
        <v>1</v>
      </c>
      <c r="J81" t="n">
        <v>4</v>
      </c>
      <c r="K81" t="n">
        <v>0</v>
      </c>
      <c r="L81" t="n">
        <v>0</v>
      </c>
      <c r="M81" t="n">
        <v>0</v>
      </c>
      <c r="N81" t="n">
        <v>0</v>
      </c>
      <c r="O81" t="n">
        <v>4</v>
      </c>
      <c r="P81" t="n">
        <v>0</v>
      </c>
      <c r="Q81" t="n">
        <v>5</v>
      </c>
      <c r="R81" s="2" t="inlineStr">
        <is>
          <t>Garnlav
Granticka
Lunglav
Ullticka
Rödgul trumpetsvamp</t>
        </is>
      </c>
      <c r="S81">
        <f>HYPERLINK("https://klasma.github.io/Logging_2305/artfynd/A 30620-2025 artfynd.xlsx", "A 30620-2025")</f>
        <v/>
      </c>
      <c r="T81">
        <f>HYPERLINK("https://klasma.github.io/Logging_2305/kartor/A 30620-2025 karta.png", "A 30620-2025")</f>
        <v/>
      </c>
      <c r="V81">
        <f>HYPERLINK("https://klasma.github.io/Logging_2305/klagomål/A 30620-2025 FSC-klagomål.docx", "A 30620-2025")</f>
        <v/>
      </c>
      <c r="W81">
        <f>HYPERLINK("https://klasma.github.io/Logging_2305/klagomålsmail/A 30620-2025 FSC-klagomål mail.docx", "A 30620-2025")</f>
        <v/>
      </c>
      <c r="X81">
        <f>HYPERLINK("https://klasma.github.io/Logging_2305/tillsyn/A 30620-2025 tillsynsbegäran.docx", "A 30620-2025")</f>
        <v/>
      </c>
      <c r="Y81">
        <f>HYPERLINK("https://klasma.github.io/Logging_2305/tillsynsmail/A 30620-2025 tillsynsbegäran mail.docx", "A 30620-2025")</f>
        <v/>
      </c>
    </row>
    <row r="82" ht="15" customHeight="1">
      <c r="A82" t="inlineStr">
        <is>
          <t>A 30991-2024</t>
        </is>
      </c>
      <c r="B82" s="1" t="n">
        <v>45499.55119212963</v>
      </c>
      <c r="C82" s="1" t="n">
        <v>45891</v>
      </c>
      <c r="D82" t="inlineStr">
        <is>
          <t>JÄMTLANDS LÄN</t>
        </is>
      </c>
      <c r="E82" t="inlineStr">
        <is>
          <t>BRÄCKE</t>
        </is>
      </c>
      <c r="F82" t="inlineStr">
        <is>
          <t>Sveaskog</t>
        </is>
      </c>
      <c r="G82" t="n">
        <v>4.7</v>
      </c>
      <c r="H82" t="n">
        <v>3</v>
      </c>
      <c r="I82" t="n">
        <v>0</v>
      </c>
      <c r="J82" t="n">
        <v>3</v>
      </c>
      <c r="K82" t="n">
        <v>1</v>
      </c>
      <c r="L82" t="n">
        <v>0</v>
      </c>
      <c r="M82" t="n">
        <v>0</v>
      </c>
      <c r="N82" t="n">
        <v>0</v>
      </c>
      <c r="O82" t="n">
        <v>4</v>
      </c>
      <c r="P82" t="n">
        <v>1</v>
      </c>
      <c r="Q82" t="n">
        <v>5</v>
      </c>
      <c r="R82" s="2" t="inlineStr">
        <is>
          <t>Knärot
Granticka
Lunglav
Tretåig hackspett
Fläcknycklar</t>
        </is>
      </c>
      <c r="S82">
        <f>HYPERLINK("https://klasma.github.io/Logging_2305/artfynd/A 30991-2024 artfynd.xlsx", "A 30991-2024")</f>
        <v/>
      </c>
      <c r="T82">
        <f>HYPERLINK("https://klasma.github.io/Logging_2305/kartor/A 30991-2024 karta.png", "A 30991-2024")</f>
        <v/>
      </c>
      <c r="U82">
        <f>HYPERLINK("https://klasma.github.io/Logging_2305/knärot/A 30991-2024 karta knärot.png", "A 30991-2024")</f>
        <v/>
      </c>
      <c r="V82">
        <f>HYPERLINK("https://klasma.github.io/Logging_2305/klagomål/A 30991-2024 FSC-klagomål.docx", "A 30991-2024")</f>
        <v/>
      </c>
      <c r="W82">
        <f>HYPERLINK("https://klasma.github.io/Logging_2305/klagomålsmail/A 30991-2024 FSC-klagomål mail.docx", "A 30991-2024")</f>
        <v/>
      </c>
      <c r="X82">
        <f>HYPERLINK("https://klasma.github.io/Logging_2305/tillsyn/A 30991-2024 tillsynsbegäran.docx", "A 30991-2024")</f>
        <v/>
      </c>
      <c r="Y82">
        <f>HYPERLINK("https://klasma.github.io/Logging_2305/tillsynsmail/A 30991-2024 tillsynsbegäran mail.docx", "A 30991-2024")</f>
        <v/>
      </c>
      <c r="Z82">
        <f>HYPERLINK("https://klasma.github.io/Logging_2305/fåglar/A 30991-2024 prioriterade fågelarter.docx", "A 30991-2024")</f>
        <v/>
      </c>
    </row>
    <row r="83" ht="15" customHeight="1">
      <c r="A83" t="inlineStr">
        <is>
          <t>A 31592-2025</t>
        </is>
      </c>
      <c r="B83" s="1" t="n">
        <v>45833.69836805556</v>
      </c>
      <c r="C83" s="1" t="n">
        <v>45891</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45891</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45891</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45891</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62113-2023</t>
        </is>
      </c>
      <c r="B87" s="1" t="n">
        <v>45266</v>
      </c>
      <c r="C87" s="1" t="n">
        <v>45891</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38527-2025</t>
        </is>
      </c>
      <c r="B88" s="1" t="n">
        <v>45884.40715277778</v>
      </c>
      <c r="C88" s="1" t="n">
        <v>45891</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34748-2025</t>
        </is>
      </c>
      <c r="B89" s="1" t="n">
        <v>45848.6153587963</v>
      </c>
      <c r="C89" s="1" t="n">
        <v>45891</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36820-2021</t>
        </is>
      </c>
      <c r="B90" s="1" t="n">
        <v>44392</v>
      </c>
      <c r="C90" s="1" t="n">
        <v>45891</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45891</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45891</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12863-2024</t>
        </is>
      </c>
      <c r="B93" s="1" t="n">
        <v>45384.94145833333</v>
      </c>
      <c r="C93" s="1" t="n">
        <v>45891</v>
      </c>
      <c r="D93" t="inlineStr">
        <is>
          <t>JÄMTLANDS LÄN</t>
        </is>
      </c>
      <c r="E93" t="inlineStr">
        <is>
          <t>BRÄCKE</t>
        </is>
      </c>
      <c r="F93" t="inlineStr">
        <is>
          <t>SCA</t>
        </is>
      </c>
      <c r="G93" t="n">
        <v>10.2</v>
      </c>
      <c r="H93" t="n">
        <v>0</v>
      </c>
      <c r="I93" t="n">
        <v>1</v>
      </c>
      <c r="J93" t="n">
        <v>2</v>
      </c>
      <c r="K93" t="n">
        <v>1</v>
      </c>
      <c r="L93" t="n">
        <v>0</v>
      </c>
      <c r="M93" t="n">
        <v>0</v>
      </c>
      <c r="N93" t="n">
        <v>0</v>
      </c>
      <c r="O93" t="n">
        <v>3</v>
      </c>
      <c r="P93" t="n">
        <v>1</v>
      </c>
      <c r="Q93" t="n">
        <v>4</v>
      </c>
      <c r="R93" s="2" t="inlineStr">
        <is>
          <t>Gräddporing
Dvärgbägarlav
Skrovellav
Dropptaggsvamp</t>
        </is>
      </c>
      <c r="S93">
        <f>HYPERLINK("https://klasma.github.io/Logging_2305/artfynd/A 12863-2024 artfynd.xlsx", "A 12863-2024")</f>
        <v/>
      </c>
      <c r="T93">
        <f>HYPERLINK("https://klasma.github.io/Logging_2305/kartor/A 12863-2024 karta.png", "A 12863-2024")</f>
        <v/>
      </c>
      <c r="V93">
        <f>HYPERLINK("https://klasma.github.io/Logging_2305/klagomål/A 12863-2024 FSC-klagomål.docx", "A 12863-2024")</f>
        <v/>
      </c>
      <c r="W93">
        <f>HYPERLINK("https://klasma.github.io/Logging_2305/klagomålsmail/A 12863-2024 FSC-klagomål mail.docx", "A 12863-2024")</f>
        <v/>
      </c>
      <c r="X93">
        <f>HYPERLINK("https://klasma.github.io/Logging_2305/tillsyn/A 12863-2024 tillsynsbegäran.docx", "A 12863-2024")</f>
        <v/>
      </c>
      <c r="Y93">
        <f>HYPERLINK("https://klasma.github.io/Logging_2305/tillsynsmail/A 12863-2024 tillsynsbegäran mail.docx", "A 12863-2024")</f>
        <v/>
      </c>
    </row>
    <row r="94" ht="15" customHeight="1">
      <c r="A94" t="inlineStr">
        <is>
          <t>A 48431-2023</t>
        </is>
      </c>
      <c r="B94" s="1" t="n">
        <v>45205</v>
      </c>
      <c r="C94" s="1" t="n">
        <v>45891</v>
      </c>
      <c r="D94" t="inlineStr">
        <is>
          <t>JÄMTLANDS LÄN</t>
        </is>
      </c>
      <c r="E94" t="inlineStr">
        <is>
          <t>BRÄCKE</t>
        </is>
      </c>
      <c r="F94" t="inlineStr">
        <is>
          <t>SCA</t>
        </is>
      </c>
      <c r="G94" t="n">
        <v>8.1</v>
      </c>
      <c r="H94" t="n">
        <v>0</v>
      </c>
      <c r="I94" t="n">
        <v>3</v>
      </c>
      <c r="J94" t="n">
        <v>1</v>
      </c>
      <c r="K94" t="n">
        <v>0</v>
      </c>
      <c r="L94" t="n">
        <v>0</v>
      </c>
      <c r="M94" t="n">
        <v>0</v>
      </c>
      <c r="N94" t="n">
        <v>0</v>
      </c>
      <c r="O94" t="n">
        <v>1</v>
      </c>
      <c r="P94" t="n">
        <v>0</v>
      </c>
      <c r="Q94" t="n">
        <v>4</v>
      </c>
      <c r="R94" s="2" t="inlineStr">
        <is>
          <t>Tallticka
Gytterlav
Korallblylav
Stuplav</t>
        </is>
      </c>
      <c r="S94">
        <f>HYPERLINK("https://klasma.github.io/Logging_2305/artfynd/A 48431-2023 artfynd.xlsx", "A 48431-2023")</f>
        <v/>
      </c>
      <c r="T94">
        <f>HYPERLINK("https://klasma.github.io/Logging_2305/kartor/A 48431-2023 karta.png", "A 48431-2023")</f>
        <v/>
      </c>
      <c r="V94">
        <f>HYPERLINK("https://klasma.github.io/Logging_2305/klagomål/A 48431-2023 FSC-klagomål.docx", "A 48431-2023")</f>
        <v/>
      </c>
      <c r="W94">
        <f>HYPERLINK("https://klasma.github.io/Logging_2305/klagomålsmail/A 48431-2023 FSC-klagomål mail.docx", "A 48431-2023")</f>
        <v/>
      </c>
      <c r="X94">
        <f>HYPERLINK("https://klasma.github.io/Logging_2305/tillsyn/A 48431-2023 tillsynsbegäran.docx", "A 48431-2023")</f>
        <v/>
      </c>
      <c r="Y94">
        <f>HYPERLINK("https://klasma.github.io/Logging_2305/tillsynsmail/A 48431-2023 tillsynsbegäran mail.docx", "A 48431-2023")</f>
        <v/>
      </c>
    </row>
    <row r="95" ht="15" customHeight="1">
      <c r="A95" t="inlineStr">
        <is>
          <t>A 46649-2022</t>
        </is>
      </c>
      <c r="B95" s="1" t="n">
        <v>44849</v>
      </c>
      <c r="C95" s="1" t="n">
        <v>45891</v>
      </c>
      <c r="D95" t="inlineStr">
        <is>
          <t>JÄMTLANDS LÄN</t>
        </is>
      </c>
      <c r="E95" t="inlineStr">
        <is>
          <t>BRÄCKE</t>
        </is>
      </c>
      <c r="F95" t="inlineStr">
        <is>
          <t>SCA</t>
        </is>
      </c>
      <c r="G95" t="n">
        <v>1.8</v>
      </c>
      <c r="H95" t="n">
        <v>1</v>
      </c>
      <c r="I95" t="n">
        <v>3</v>
      </c>
      <c r="J95" t="n">
        <v>1</v>
      </c>
      <c r="K95" t="n">
        <v>0</v>
      </c>
      <c r="L95" t="n">
        <v>0</v>
      </c>
      <c r="M95" t="n">
        <v>0</v>
      </c>
      <c r="N95" t="n">
        <v>0</v>
      </c>
      <c r="O95" t="n">
        <v>1</v>
      </c>
      <c r="P95" t="n">
        <v>0</v>
      </c>
      <c r="Q95" t="n">
        <v>4</v>
      </c>
      <c r="R95" s="2" t="inlineStr">
        <is>
          <t>Talltita
Rödgul trumpetsvamp
Skarp dropptaggsvamp
Svavelriska</t>
        </is>
      </c>
      <c r="S95">
        <f>HYPERLINK("https://klasma.github.io/Logging_2305/artfynd/A 46649-2022 artfynd.xlsx", "A 46649-2022")</f>
        <v/>
      </c>
      <c r="T95">
        <f>HYPERLINK("https://klasma.github.io/Logging_2305/kartor/A 46649-2022 karta.png", "A 46649-2022")</f>
        <v/>
      </c>
      <c r="V95">
        <f>HYPERLINK("https://klasma.github.io/Logging_2305/klagomål/A 46649-2022 FSC-klagomål.docx", "A 46649-2022")</f>
        <v/>
      </c>
      <c r="W95">
        <f>HYPERLINK("https://klasma.github.io/Logging_2305/klagomålsmail/A 46649-2022 FSC-klagomål mail.docx", "A 46649-2022")</f>
        <v/>
      </c>
      <c r="X95">
        <f>HYPERLINK("https://klasma.github.io/Logging_2305/tillsyn/A 46649-2022 tillsynsbegäran.docx", "A 46649-2022")</f>
        <v/>
      </c>
      <c r="Y95">
        <f>HYPERLINK("https://klasma.github.io/Logging_2305/tillsynsmail/A 46649-2022 tillsynsbegäran mail.docx", "A 46649-2022")</f>
        <v/>
      </c>
      <c r="Z95">
        <f>HYPERLINK("https://klasma.github.io/Logging_2305/fåglar/A 46649-2022 prioriterade fågelarter.docx", "A 46649-2022")</f>
        <v/>
      </c>
    </row>
    <row r="96" ht="15" customHeight="1">
      <c r="A96" t="inlineStr">
        <is>
          <t>A 57606-2024</t>
        </is>
      </c>
      <c r="B96" s="1" t="n">
        <v>45630.53204861111</v>
      </c>
      <c r="C96" s="1" t="n">
        <v>45891</v>
      </c>
      <c r="D96" t="inlineStr">
        <is>
          <t>JÄMTLANDS LÄN</t>
        </is>
      </c>
      <c r="E96" t="inlineStr">
        <is>
          <t>BRÄCKE</t>
        </is>
      </c>
      <c r="F96" t="inlineStr">
        <is>
          <t>SCA</t>
        </is>
      </c>
      <c r="G96" t="n">
        <v>3.3</v>
      </c>
      <c r="H96" t="n">
        <v>4</v>
      </c>
      <c r="I96" t="n">
        <v>0</v>
      </c>
      <c r="J96" t="n">
        <v>2</v>
      </c>
      <c r="K96" t="n">
        <v>1</v>
      </c>
      <c r="L96" t="n">
        <v>0</v>
      </c>
      <c r="M96" t="n">
        <v>0</v>
      </c>
      <c r="N96" t="n">
        <v>0</v>
      </c>
      <c r="O96" t="n">
        <v>3</v>
      </c>
      <c r="P96" t="n">
        <v>1</v>
      </c>
      <c r="Q96" t="n">
        <v>4</v>
      </c>
      <c r="R96" s="2" t="inlineStr">
        <is>
          <t>Knärot
Spillkråka
Tretåig hackspett
Gråspett</t>
        </is>
      </c>
      <c r="S96">
        <f>HYPERLINK("https://klasma.github.io/Logging_2305/artfynd/A 57606-2024 artfynd.xlsx", "A 57606-2024")</f>
        <v/>
      </c>
      <c r="T96">
        <f>HYPERLINK("https://klasma.github.io/Logging_2305/kartor/A 57606-2024 karta.png", "A 57606-2024")</f>
        <v/>
      </c>
      <c r="U96">
        <f>HYPERLINK("https://klasma.github.io/Logging_2305/knärot/A 57606-2024 karta knärot.png", "A 57606-2024")</f>
        <v/>
      </c>
      <c r="V96">
        <f>HYPERLINK("https://klasma.github.io/Logging_2305/klagomål/A 57606-2024 FSC-klagomål.docx", "A 57606-2024")</f>
        <v/>
      </c>
      <c r="W96">
        <f>HYPERLINK("https://klasma.github.io/Logging_2305/klagomålsmail/A 57606-2024 FSC-klagomål mail.docx", "A 57606-2024")</f>
        <v/>
      </c>
      <c r="X96">
        <f>HYPERLINK("https://klasma.github.io/Logging_2305/tillsyn/A 57606-2024 tillsynsbegäran.docx", "A 57606-2024")</f>
        <v/>
      </c>
      <c r="Y96">
        <f>HYPERLINK("https://klasma.github.io/Logging_2305/tillsynsmail/A 57606-2024 tillsynsbegäran mail.docx", "A 57606-2024")</f>
        <v/>
      </c>
      <c r="Z96">
        <f>HYPERLINK("https://klasma.github.io/Logging_2305/fåglar/A 57606-2024 prioriterade fågelarter.docx", "A 57606-2024")</f>
        <v/>
      </c>
    </row>
    <row r="97" ht="15" customHeight="1">
      <c r="A97" t="inlineStr">
        <is>
          <t>A 45420-2022</t>
        </is>
      </c>
      <c r="B97" s="1" t="n">
        <v>44844</v>
      </c>
      <c r="C97" s="1" t="n">
        <v>45891</v>
      </c>
      <c r="D97" t="inlineStr">
        <is>
          <t>JÄMTLANDS LÄN</t>
        </is>
      </c>
      <c r="E97" t="inlineStr">
        <is>
          <t>BRÄCKE</t>
        </is>
      </c>
      <c r="F97" t="inlineStr">
        <is>
          <t>SCA</t>
        </is>
      </c>
      <c r="G97" t="n">
        <v>1.6</v>
      </c>
      <c r="H97" t="n">
        <v>1</v>
      </c>
      <c r="I97" t="n">
        <v>2</v>
      </c>
      <c r="J97" t="n">
        <v>2</v>
      </c>
      <c r="K97" t="n">
        <v>0</v>
      </c>
      <c r="L97" t="n">
        <v>0</v>
      </c>
      <c r="M97" t="n">
        <v>0</v>
      </c>
      <c r="N97" t="n">
        <v>0</v>
      </c>
      <c r="O97" t="n">
        <v>2</v>
      </c>
      <c r="P97" t="n">
        <v>0</v>
      </c>
      <c r="Q97" t="n">
        <v>4</v>
      </c>
      <c r="R97" s="2" t="inlineStr">
        <is>
          <t>Talltita
Vitgrynig nållav
Rödgul trumpetsvamp
Svavelriska</t>
        </is>
      </c>
      <c r="S97">
        <f>HYPERLINK("https://klasma.github.io/Logging_2305/artfynd/A 45420-2022 artfynd.xlsx", "A 45420-2022")</f>
        <v/>
      </c>
      <c r="T97">
        <f>HYPERLINK("https://klasma.github.io/Logging_2305/kartor/A 45420-2022 karta.png", "A 45420-2022")</f>
        <v/>
      </c>
      <c r="V97">
        <f>HYPERLINK("https://klasma.github.io/Logging_2305/klagomål/A 45420-2022 FSC-klagomål.docx", "A 45420-2022")</f>
        <v/>
      </c>
      <c r="W97">
        <f>HYPERLINK("https://klasma.github.io/Logging_2305/klagomålsmail/A 45420-2022 FSC-klagomål mail.docx", "A 45420-2022")</f>
        <v/>
      </c>
      <c r="X97">
        <f>HYPERLINK("https://klasma.github.io/Logging_2305/tillsyn/A 45420-2022 tillsynsbegäran.docx", "A 45420-2022")</f>
        <v/>
      </c>
      <c r="Y97">
        <f>HYPERLINK("https://klasma.github.io/Logging_2305/tillsynsmail/A 45420-2022 tillsynsbegäran mail.docx", "A 45420-2022")</f>
        <v/>
      </c>
      <c r="Z97">
        <f>HYPERLINK("https://klasma.github.io/Logging_2305/fåglar/A 45420-2022 prioriterade fågelarter.docx", "A 45420-2022")</f>
        <v/>
      </c>
    </row>
    <row r="98" ht="15" customHeight="1">
      <c r="A98" t="inlineStr">
        <is>
          <t>A 28553-2024</t>
        </is>
      </c>
      <c r="B98" s="1" t="n">
        <v>45478</v>
      </c>
      <c r="C98" s="1" t="n">
        <v>45891</v>
      </c>
      <c r="D98" t="inlineStr">
        <is>
          <t>JÄMTLANDS LÄN</t>
        </is>
      </c>
      <c r="E98" t="inlineStr">
        <is>
          <t>BRÄCKE</t>
        </is>
      </c>
      <c r="G98" t="n">
        <v>14.5</v>
      </c>
      <c r="H98" t="n">
        <v>2</v>
      </c>
      <c r="I98" t="n">
        <v>0</v>
      </c>
      <c r="J98" t="n">
        <v>3</v>
      </c>
      <c r="K98" t="n">
        <v>1</v>
      </c>
      <c r="L98" t="n">
        <v>0</v>
      </c>
      <c r="M98" t="n">
        <v>0</v>
      </c>
      <c r="N98" t="n">
        <v>0</v>
      </c>
      <c r="O98" t="n">
        <v>4</v>
      </c>
      <c r="P98" t="n">
        <v>1</v>
      </c>
      <c r="Q98" t="n">
        <v>4</v>
      </c>
      <c r="R98" s="2" t="inlineStr">
        <is>
          <t>Knärot
Granticka
Lunglav
Tretåig hackspett</t>
        </is>
      </c>
      <c r="S98">
        <f>HYPERLINK("https://klasma.github.io/Logging_2305/artfynd/A 28553-2024 artfynd.xlsx", "A 28553-2024")</f>
        <v/>
      </c>
      <c r="T98">
        <f>HYPERLINK("https://klasma.github.io/Logging_2305/kartor/A 28553-2024 karta.png", "A 28553-2024")</f>
        <v/>
      </c>
      <c r="U98">
        <f>HYPERLINK("https://klasma.github.io/Logging_2305/knärot/A 28553-2024 karta knärot.png", "A 28553-2024")</f>
        <v/>
      </c>
      <c r="V98">
        <f>HYPERLINK("https://klasma.github.io/Logging_2305/klagomål/A 28553-2024 FSC-klagomål.docx", "A 28553-2024")</f>
        <v/>
      </c>
      <c r="W98">
        <f>HYPERLINK("https://klasma.github.io/Logging_2305/klagomålsmail/A 28553-2024 FSC-klagomål mail.docx", "A 28553-2024")</f>
        <v/>
      </c>
      <c r="X98">
        <f>HYPERLINK("https://klasma.github.io/Logging_2305/tillsyn/A 28553-2024 tillsynsbegäran.docx", "A 28553-2024")</f>
        <v/>
      </c>
      <c r="Y98">
        <f>HYPERLINK("https://klasma.github.io/Logging_2305/tillsynsmail/A 28553-2024 tillsynsbegäran mail.docx", "A 28553-2024")</f>
        <v/>
      </c>
      <c r="Z98">
        <f>HYPERLINK("https://klasma.github.io/Logging_2305/fåglar/A 28553-2024 prioriterade fågelarter.docx", "A 28553-2024")</f>
        <v/>
      </c>
    </row>
    <row r="99" ht="15" customHeight="1">
      <c r="A99" t="inlineStr">
        <is>
          <t>A 49375-2024</t>
        </is>
      </c>
      <c r="B99" s="1" t="n">
        <v>45595.64222222222</v>
      </c>
      <c r="C99" s="1" t="n">
        <v>45891</v>
      </c>
      <c r="D99" t="inlineStr">
        <is>
          <t>JÄMTLANDS LÄN</t>
        </is>
      </c>
      <c r="E99" t="inlineStr">
        <is>
          <t>BRÄCKE</t>
        </is>
      </c>
      <c r="F99" t="inlineStr">
        <is>
          <t>SCA</t>
        </is>
      </c>
      <c r="G99" t="n">
        <v>8.5</v>
      </c>
      <c r="H99" t="n">
        <v>0</v>
      </c>
      <c r="I99" t="n">
        <v>0</v>
      </c>
      <c r="J99" t="n">
        <v>4</v>
      </c>
      <c r="K99" t="n">
        <v>0</v>
      </c>
      <c r="L99" t="n">
        <v>0</v>
      </c>
      <c r="M99" t="n">
        <v>0</v>
      </c>
      <c r="N99" t="n">
        <v>0</v>
      </c>
      <c r="O99" t="n">
        <v>4</v>
      </c>
      <c r="P99" t="n">
        <v>0</v>
      </c>
      <c r="Q99" t="n">
        <v>4</v>
      </c>
      <c r="R99" s="2" t="inlineStr">
        <is>
          <t>Doftskinn
Granticka
Lunglav
Skrovellav</t>
        </is>
      </c>
      <c r="S99">
        <f>HYPERLINK("https://klasma.github.io/Logging_2305/artfynd/A 49375-2024 artfynd.xlsx", "A 49375-2024")</f>
        <v/>
      </c>
      <c r="T99">
        <f>HYPERLINK("https://klasma.github.io/Logging_2305/kartor/A 49375-2024 karta.png", "A 49375-2024")</f>
        <v/>
      </c>
      <c r="V99">
        <f>HYPERLINK("https://klasma.github.io/Logging_2305/klagomål/A 49375-2024 FSC-klagomål.docx", "A 49375-2024")</f>
        <v/>
      </c>
      <c r="W99">
        <f>HYPERLINK("https://klasma.github.io/Logging_2305/klagomålsmail/A 49375-2024 FSC-klagomål mail.docx", "A 49375-2024")</f>
        <v/>
      </c>
      <c r="X99">
        <f>HYPERLINK("https://klasma.github.io/Logging_2305/tillsyn/A 49375-2024 tillsynsbegäran.docx", "A 49375-2024")</f>
        <v/>
      </c>
      <c r="Y99">
        <f>HYPERLINK("https://klasma.github.io/Logging_2305/tillsynsmail/A 49375-2024 tillsynsbegäran mail.docx", "A 49375-2024")</f>
        <v/>
      </c>
    </row>
    <row r="100" ht="15" customHeight="1">
      <c r="A100" t="inlineStr">
        <is>
          <t>A 15263-2025</t>
        </is>
      </c>
      <c r="B100" s="1" t="n">
        <v>45744.65704861111</v>
      </c>
      <c r="C100" s="1" t="n">
        <v>45891</v>
      </c>
      <c r="D100" t="inlineStr">
        <is>
          <t>JÄMTLANDS LÄN</t>
        </is>
      </c>
      <c r="E100" t="inlineStr">
        <is>
          <t>BRÄCKE</t>
        </is>
      </c>
      <c r="F100" t="inlineStr">
        <is>
          <t>SCA</t>
        </is>
      </c>
      <c r="G100" t="n">
        <v>2</v>
      </c>
      <c r="H100" t="n">
        <v>0</v>
      </c>
      <c r="I100" t="n">
        <v>1</v>
      </c>
      <c r="J100" t="n">
        <v>3</v>
      </c>
      <c r="K100" t="n">
        <v>0</v>
      </c>
      <c r="L100" t="n">
        <v>0</v>
      </c>
      <c r="M100" t="n">
        <v>0</v>
      </c>
      <c r="N100" t="n">
        <v>0</v>
      </c>
      <c r="O100" t="n">
        <v>3</v>
      </c>
      <c r="P100" t="n">
        <v>0</v>
      </c>
      <c r="Q100" t="n">
        <v>4</v>
      </c>
      <c r="R100" s="2" t="inlineStr">
        <is>
          <t>Garnlav
Lunglav
Skrovellav
Stuplav</t>
        </is>
      </c>
      <c r="S100">
        <f>HYPERLINK("https://klasma.github.io/Logging_2305/artfynd/A 15263-2025 artfynd.xlsx", "A 15263-2025")</f>
        <v/>
      </c>
      <c r="T100">
        <f>HYPERLINK("https://klasma.github.io/Logging_2305/kartor/A 15263-2025 karta.png", "A 15263-2025")</f>
        <v/>
      </c>
      <c r="V100">
        <f>HYPERLINK("https://klasma.github.io/Logging_2305/klagomål/A 15263-2025 FSC-klagomål.docx", "A 15263-2025")</f>
        <v/>
      </c>
      <c r="W100">
        <f>HYPERLINK("https://klasma.github.io/Logging_2305/klagomålsmail/A 15263-2025 FSC-klagomål mail.docx", "A 15263-2025")</f>
        <v/>
      </c>
      <c r="X100">
        <f>HYPERLINK("https://klasma.github.io/Logging_2305/tillsyn/A 15263-2025 tillsynsbegäran.docx", "A 15263-2025")</f>
        <v/>
      </c>
      <c r="Y100">
        <f>HYPERLINK("https://klasma.github.io/Logging_2305/tillsynsmail/A 15263-2025 tillsynsbegäran mail.docx", "A 15263-2025")</f>
        <v/>
      </c>
    </row>
    <row r="101" ht="15" customHeight="1">
      <c r="A101" t="inlineStr">
        <is>
          <t>A 33928-2022</t>
        </is>
      </c>
      <c r="B101" s="1" t="n">
        <v>44790</v>
      </c>
      <c r="C101" s="1" t="n">
        <v>45891</v>
      </c>
      <c r="D101" t="inlineStr">
        <is>
          <t>JÄMTLANDS LÄN</t>
        </is>
      </c>
      <c r="E101" t="inlineStr">
        <is>
          <t>BRÄCKE</t>
        </is>
      </c>
      <c r="G101" t="n">
        <v>5.3</v>
      </c>
      <c r="H101" t="n">
        <v>3</v>
      </c>
      <c r="I101" t="n">
        <v>3</v>
      </c>
      <c r="J101" t="n">
        <v>0</v>
      </c>
      <c r="K101" t="n">
        <v>0</v>
      </c>
      <c r="L101" t="n">
        <v>0</v>
      </c>
      <c r="M101" t="n">
        <v>0</v>
      </c>
      <c r="N101" t="n">
        <v>0</v>
      </c>
      <c r="O101" t="n">
        <v>0</v>
      </c>
      <c r="P101" t="n">
        <v>0</v>
      </c>
      <c r="Q101" t="n">
        <v>4</v>
      </c>
      <c r="R101" s="2" t="inlineStr">
        <is>
          <t>Gräsull
Korallrot
Tvåblad
Dactylorhiza incarnata subsp. incarnata</t>
        </is>
      </c>
      <c r="S101">
        <f>HYPERLINK("https://klasma.github.io/Logging_2305/artfynd/A 33928-2022 artfynd.xlsx", "A 33928-2022")</f>
        <v/>
      </c>
      <c r="T101">
        <f>HYPERLINK("https://klasma.github.io/Logging_2305/kartor/A 33928-2022 karta.png", "A 33928-2022")</f>
        <v/>
      </c>
      <c r="V101">
        <f>HYPERLINK("https://klasma.github.io/Logging_2305/klagomål/A 33928-2022 FSC-klagomål.docx", "A 33928-2022")</f>
        <v/>
      </c>
      <c r="W101">
        <f>HYPERLINK("https://klasma.github.io/Logging_2305/klagomålsmail/A 33928-2022 FSC-klagomål mail.docx", "A 33928-2022")</f>
        <v/>
      </c>
      <c r="X101">
        <f>HYPERLINK("https://klasma.github.io/Logging_2305/tillsyn/A 33928-2022 tillsynsbegäran.docx", "A 33928-2022")</f>
        <v/>
      </c>
      <c r="Y101">
        <f>HYPERLINK("https://klasma.github.io/Logging_2305/tillsynsmail/A 33928-2022 tillsynsbegäran mail.docx", "A 33928-2022")</f>
        <v/>
      </c>
    </row>
    <row r="102" ht="15" customHeight="1">
      <c r="A102" t="inlineStr">
        <is>
          <t>A 14253-2025</t>
        </is>
      </c>
      <c r="B102" s="1" t="n">
        <v>45740.61614583333</v>
      </c>
      <c r="C102" s="1" t="n">
        <v>45891</v>
      </c>
      <c r="D102" t="inlineStr">
        <is>
          <t>JÄMTLANDS LÄN</t>
        </is>
      </c>
      <c r="E102" t="inlineStr">
        <is>
          <t>BRÄCKE</t>
        </is>
      </c>
      <c r="F102" t="inlineStr">
        <is>
          <t>SCA</t>
        </is>
      </c>
      <c r="G102" t="n">
        <v>7.3</v>
      </c>
      <c r="H102" t="n">
        <v>1</v>
      </c>
      <c r="I102" t="n">
        <v>2</v>
      </c>
      <c r="J102" t="n">
        <v>1</v>
      </c>
      <c r="K102" t="n">
        <v>0</v>
      </c>
      <c r="L102" t="n">
        <v>0</v>
      </c>
      <c r="M102" t="n">
        <v>0</v>
      </c>
      <c r="N102" t="n">
        <v>0</v>
      </c>
      <c r="O102" t="n">
        <v>1</v>
      </c>
      <c r="P102" t="n">
        <v>0</v>
      </c>
      <c r="Q102" t="n">
        <v>4</v>
      </c>
      <c r="R102" s="2" t="inlineStr">
        <is>
          <t>Blå taggsvamp
Dropptaggsvamp
Skarp dropptaggsvamp
Grönsiska</t>
        </is>
      </c>
      <c r="S102">
        <f>HYPERLINK("https://klasma.github.io/Logging_2305/artfynd/A 14253-2025 artfynd.xlsx", "A 14253-2025")</f>
        <v/>
      </c>
      <c r="T102">
        <f>HYPERLINK("https://klasma.github.io/Logging_2305/kartor/A 14253-2025 karta.png", "A 14253-2025")</f>
        <v/>
      </c>
      <c r="V102">
        <f>HYPERLINK("https://klasma.github.io/Logging_2305/klagomål/A 14253-2025 FSC-klagomål.docx", "A 14253-2025")</f>
        <v/>
      </c>
      <c r="W102">
        <f>HYPERLINK("https://klasma.github.io/Logging_2305/klagomålsmail/A 14253-2025 FSC-klagomål mail.docx", "A 14253-2025")</f>
        <v/>
      </c>
      <c r="X102">
        <f>HYPERLINK("https://klasma.github.io/Logging_2305/tillsyn/A 14253-2025 tillsynsbegäran.docx", "A 14253-2025")</f>
        <v/>
      </c>
      <c r="Y102">
        <f>HYPERLINK("https://klasma.github.io/Logging_2305/tillsynsmail/A 14253-2025 tillsynsbegäran mail.docx", "A 14253-2025")</f>
        <v/>
      </c>
      <c r="Z102">
        <f>HYPERLINK("https://klasma.github.io/Logging_2305/fåglar/A 14253-2025 prioriterade fågelarter.docx", "A 14253-2025")</f>
        <v/>
      </c>
    </row>
    <row r="103" ht="15" customHeight="1">
      <c r="A103" t="inlineStr">
        <is>
          <t>A 14978-2025</t>
        </is>
      </c>
      <c r="B103" s="1" t="n">
        <v>45743.59503472222</v>
      </c>
      <c r="C103" s="1" t="n">
        <v>45891</v>
      </c>
      <c r="D103" t="inlineStr">
        <is>
          <t>JÄMTLANDS LÄN</t>
        </is>
      </c>
      <c r="E103" t="inlineStr">
        <is>
          <t>BRÄCKE</t>
        </is>
      </c>
      <c r="F103" t="inlineStr">
        <is>
          <t>SCA</t>
        </is>
      </c>
      <c r="G103" t="n">
        <v>4.2</v>
      </c>
      <c r="H103" t="n">
        <v>1</v>
      </c>
      <c r="I103" t="n">
        <v>0</v>
      </c>
      <c r="J103" t="n">
        <v>4</v>
      </c>
      <c r="K103" t="n">
        <v>0</v>
      </c>
      <c r="L103" t="n">
        <v>0</v>
      </c>
      <c r="M103" t="n">
        <v>0</v>
      </c>
      <c r="N103" t="n">
        <v>0</v>
      </c>
      <c r="O103" t="n">
        <v>4</v>
      </c>
      <c r="P103" t="n">
        <v>0</v>
      </c>
      <c r="Q103" t="n">
        <v>4</v>
      </c>
      <c r="R103" s="2" t="inlineStr">
        <is>
          <t>Granticka
Lunglav
Tretåig hackspett
Vitgrynig nållav</t>
        </is>
      </c>
      <c r="S103">
        <f>HYPERLINK("https://klasma.github.io/Logging_2305/artfynd/A 14978-2025 artfynd.xlsx", "A 14978-2025")</f>
        <v/>
      </c>
      <c r="T103">
        <f>HYPERLINK("https://klasma.github.io/Logging_2305/kartor/A 14978-2025 karta.png", "A 14978-2025")</f>
        <v/>
      </c>
      <c r="V103">
        <f>HYPERLINK("https://klasma.github.io/Logging_2305/klagomål/A 14978-2025 FSC-klagomål.docx", "A 14978-2025")</f>
        <v/>
      </c>
      <c r="W103">
        <f>HYPERLINK("https://klasma.github.io/Logging_2305/klagomålsmail/A 14978-2025 FSC-klagomål mail.docx", "A 14978-2025")</f>
        <v/>
      </c>
      <c r="X103">
        <f>HYPERLINK("https://klasma.github.io/Logging_2305/tillsyn/A 14978-2025 tillsynsbegäran.docx", "A 14978-2025")</f>
        <v/>
      </c>
      <c r="Y103">
        <f>HYPERLINK("https://klasma.github.io/Logging_2305/tillsynsmail/A 14978-2025 tillsynsbegäran mail.docx", "A 14978-2025")</f>
        <v/>
      </c>
      <c r="Z103">
        <f>HYPERLINK("https://klasma.github.io/Logging_2305/fåglar/A 14978-2025 prioriterade fågelarter.docx", "A 14978-2025")</f>
        <v/>
      </c>
    </row>
    <row r="104" ht="15" customHeight="1">
      <c r="A104" t="inlineStr">
        <is>
          <t>A 32260-2024</t>
        </is>
      </c>
      <c r="B104" s="1" t="n">
        <v>45511.95291666667</v>
      </c>
      <c r="C104" s="1" t="n">
        <v>45891</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21412-2025</t>
        </is>
      </c>
      <c r="B105" s="1" t="n">
        <v>45782.49100694444</v>
      </c>
      <c r="C105" s="1" t="n">
        <v>45891</v>
      </c>
      <c r="D105" t="inlineStr">
        <is>
          <t>JÄMTLANDS LÄN</t>
        </is>
      </c>
      <c r="E105" t="inlineStr">
        <is>
          <t>BRÄCKE</t>
        </is>
      </c>
      <c r="F105" t="inlineStr">
        <is>
          <t>SCA</t>
        </is>
      </c>
      <c r="G105" t="n">
        <v>1.7</v>
      </c>
      <c r="H105" t="n">
        <v>1</v>
      </c>
      <c r="I105" t="n">
        <v>2</v>
      </c>
      <c r="J105" t="n">
        <v>1</v>
      </c>
      <c r="K105" t="n">
        <v>0</v>
      </c>
      <c r="L105" t="n">
        <v>0</v>
      </c>
      <c r="M105" t="n">
        <v>0</v>
      </c>
      <c r="N105" t="n">
        <v>0</v>
      </c>
      <c r="O105" t="n">
        <v>1</v>
      </c>
      <c r="P105" t="n">
        <v>0</v>
      </c>
      <c r="Q105" t="n">
        <v>4</v>
      </c>
      <c r="R105" s="2" t="inlineStr">
        <is>
          <t>Lunglav
Kransrams
Svart trolldruva
Fläcknycklar</t>
        </is>
      </c>
      <c r="S105">
        <f>HYPERLINK("https://klasma.github.io/Logging_2305/artfynd/A 21412-2025 artfynd.xlsx", "A 21412-2025")</f>
        <v/>
      </c>
      <c r="T105">
        <f>HYPERLINK("https://klasma.github.io/Logging_2305/kartor/A 21412-2025 karta.png", "A 21412-2025")</f>
        <v/>
      </c>
      <c r="V105">
        <f>HYPERLINK("https://klasma.github.io/Logging_2305/klagomål/A 21412-2025 FSC-klagomål.docx", "A 21412-2025")</f>
        <v/>
      </c>
      <c r="W105">
        <f>HYPERLINK("https://klasma.github.io/Logging_2305/klagomålsmail/A 21412-2025 FSC-klagomål mail.docx", "A 21412-2025")</f>
        <v/>
      </c>
      <c r="X105">
        <f>HYPERLINK("https://klasma.github.io/Logging_2305/tillsyn/A 21412-2025 tillsynsbegäran.docx", "A 21412-2025")</f>
        <v/>
      </c>
      <c r="Y105">
        <f>HYPERLINK("https://klasma.github.io/Logging_2305/tillsynsmail/A 21412-2025 tillsynsbegäran mail.docx", "A 21412-2025")</f>
        <v/>
      </c>
    </row>
    <row r="106" ht="15" customHeight="1">
      <c r="A106" t="inlineStr">
        <is>
          <t>A 21441-2025</t>
        </is>
      </c>
      <c r="B106" s="1" t="n">
        <v>45782.53157407408</v>
      </c>
      <c r="C106" s="1" t="n">
        <v>45891</v>
      </c>
      <c r="D106" t="inlineStr">
        <is>
          <t>JÄMTLANDS LÄN</t>
        </is>
      </c>
      <c r="E106" t="inlineStr">
        <is>
          <t>BRÄCKE</t>
        </is>
      </c>
      <c r="F106" t="inlineStr">
        <is>
          <t>SCA</t>
        </is>
      </c>
      <c r="G106" t="n">
        <v>5.5</v>
      </c>
      <c r="H106" t="n">
        <v>2</v>
      </c>
      <c r="I106" t="n">
        <v>1</v>
      </c>
      <c r="J106" t="n">
        <v>3</v>
      </c>
      <c r="K106" t="n">
        <v>0</v>
      </c>
      <c r="L106" t="n">
        <v>0</v>
      </c>
      <c r="M106" t="n">
        <v>0</v>
      </c>
      <c r="N106" t="n">
        <v>0</v>
      </c>
      <c r="O106" t="n">
        <v>3</v>
      </c>
      <c r="P106" t="n">
        <v>0</v>
      </c>
      <c r="Q106" t="n">
        <v>4</v>
      </c>
      <c r="R106" s="2" t="inlineStr">
        <is>
          <t>Garnlav
Lunglav
Tretåig hackspett
Spindelblomster</t>
        </is>
      </c>
      <c r="S106">
        <f>HYPERLINK("https://klasma.github.io/Logging_2305/artfynd/A 21441-2025 artfynd.xlsx", "A 21441-2025")</f>
        <v/>
      </c>
      <c r="T106">
        <f>HYPERLINK("https://klasma.github.io/Logging_2305/kartor/A 21441-2025 karta.png", "A 21441-2025")</f>
        <v/>
      </c>
      <c r="V106">
        <f>HYPERLINK("https://klasma.github.io/Logging_2305/klagomål/A 21441-2025 FSC-klagomål.docx", "A 21441-2025")</f>
        <v/>
      </c>
      <c r="W106">
        <f>HYPERLINK("https://klasma.github.io/Logging_2305/klagomålsmail/A 21441-2025 FSC-klagomål mail.docx", "A 21441-2025")</f>
        <v/>
      </c>
      <c r="X106">
        <f>HYPERLINK("https://klasma.github.io/Logging_2305/tillsyn/A 21441-2025 tillsynsbegäran.docx", "A 21441-2025")</f>
        <v/>
      </c>
      <c r="Y106">
        <f>HYPERLINK("https://klasma.github.io/Logging_2305/tillsynsmail/A 21441-2025 tillsynsbegäran mail.docx", "A 21441-2025")</f>
        <v/>
      </c>
      <c r="Z106">
        <f>HYPERLINK("https://klasma.github.io/Logging_2305/fåglar/A 21441-2025 prioriterade fågelarter.docx", "A 21441-2025")</f>
        <v/>
      </c>
    </row>
    <row r="107" ht="15" customHeight="1">
      <c r="A107" t="inlineStr">
        <is>
          <t>A 57076-2024</t>
        </is>
      </c>
      <c r="B107" s="1" t="n">
        <v>45629.35486111111</v>
      </c>
      <c r="C107" s="1" t="n">
        <v>45891</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48479-2023</t>
        </is>
      </c>
      <c r="B108" s="1" t="n">
        <v>45206</v>
      </c>
      <c r="C108" s="1" t="n">
        <v>45891</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48479-2023 artfynd.xlsx", "A 48479-2023")</f>
        <v/>
      </c>
      <c r="T108">
        <f>HYPERLINK("https://klasma.github.io/Logging_2305/kartor/A 48479-2023 karta.png", "A 48479-2023")</f>
        <v/>
      </c>
      <c r="V108">
        <f>HYPERLINK("https://klasma.github.io/Logging_2305/klagomål/A 48479-2023 FSC-klagomål.docx", "A 48479-2023")</f>
        <v/>
      </c>
      <c r="W108">
        <f>HYPERLINK("https://klasma.github.io/Logging_2305/klagomålsmail/A 48479-2023 FSC-klagomål mail.docx", "A 48479-2023")</f>
        <v/>
      </c>
      <c r="X108">
        <f>HYPERLINK("https://klasma.github.io/Logging_2305/tillsyn/A 48479-2023 tillsynsbegäran.docx", "A 48479-2023")</f>
        <v/>
      </c>
      <c r="Y108">
        <f>HYPERLINK("https://klasma.github.io/Logging_2305/tillsynsmail/A 48479-2023 tillsynsbegäran mail.docx", "A 48479-2023")</f>
        <v/>
      </c>
    </row>
    <row r="109" ht="15" customHeight="1">
      <c r="A109" t="inlineStr">
        <is>
          <t>A 57079-2023</t>
        </is>
      </c>
      <c r="B109" s="1" t="n">
        <v>45244</v>
      </c>
      <c r="C109" s="1" t="n">
        <v>45891</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32654-2024</t>
        </is>
      </c>
      <c r="B110" s="1" t="n">
        <v>45513.96465277778</v>
      </c>
      <c r="C110" s="1" t="n">
        <v>45891</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47499-2023</t>
        </is>
      </c>
      <c r="B111" s="1" t="n">
        <v>45202</v>
      </c>
      <c r="C111" s="1" t="n">
        <v>45891</v>
      </c>
      <c r="D111" t="inlineStr">
        <is>
          <t>JÄMTLANDS LÄN</t>
        </is>
      </c>
      <c r="E111" t="inlineStr">
        <is>
          <t>BRÄCKE</t>
        </is>
      </c>
      <c r="F111" t="inlineStr">
        <is>
          <t>SCA</t>
        </is>
      </c>
      <c r="G111" t="n">
        <v>8.1</v>
      </c>
      <c r="H111" t="n">
        <v>2</v>
      </c>
      <c r="I111" t="n">
        <v>2</v>
      </c>
      <c r="J111" t="n">
        <v>2</v>
      </c>
      <c r="K111" t="n">
        <v>0</v>
      </c>
      <c r="L111" t="n">
        <v>0</v>
      </c>
      <c r="M111" t="n">
        <v>0</v>
      </c>
      <c r="N111" t="n">
        <v>0</v>
      </c>
      <c r="O111" t="n">
        <v>2</v>
      </c>
      <c r="P111" t="n">
        <v>0</v>
      </c>
      <c r="Q111" t="n">
        <v>4</v>
      </c>
      <c r="R111" s="2" t="inlineStr">
        <is>
          <t>Garnlav
Lunglav
Korallrot
Lappranunkel</t>
        </is>
      </c>
      <c r="S111">
        <f>HYPERLINK("https://klasma.github.io/Logging_2305/artfynd/A 47499-2023 artfynd.xlsx", "A 47499-2023")</f>
        <v/>
      </c>
      <c r="T111">
        <f>HYPERLINK("https://klasma.github.io/Logging_2305/kartor/A 47499-2023 karta.png", "A 47499-2023")</f>
        <v/>
      </c>
      <c r="V111">
        <f>HYPERLINK("https://klasma.github.io/Logging_2305/klagomål/A 47499-2023 FSC-klagomål.docx", "A 47499-2023")</f>
        <v/>
      </c>
      <c r="W111">
        <f>HYPERLINK("https://klasma.github.io/Logging_2305/klagomålsmail/A 47499-2023 FSC-klagomål mail.docx", "A 47499-2023")</f>
        <v/>
      </c>
      <c r="X111">
        <f>HYPERLINK("https://klasma.github.io/Logging_2305/tillsyn/A 47499-2023 tillsynsbegäran.docx", "A 47499-2023")</f>
        <v/>
      </c>
      <c r="Y111">
        <f>HYPERLINK("https://klasma.github.io/Logging_2305/tillsynsmail/A 47499-2023 tillsynsbegäran mail.docx", "A 47499-2023")</f>
        <v/>
      </c>
    </row>
    <row r="112" ht="15" customHeight="1">
      <c r="A112" t="inlineStr">
        <is>
          <t>A 5269-2024</t>
        </is>
      </c>
      <c r="B112" s="1" t="n">
        <v>45330</v>
      </c>
      <c r="C112" s="1" t="n">
        <v>45891</v>
      </c>
      <c r="D112" t="inlineStr">
        <is>
          <t>JÄMTLANDS LÄN</t>
        </is>
      </c>
      <c r="E112" t="inlineStr">
        <is>
          <t>BRÄCKE</t>
        </is>
      </c>
      <c r="F112" t="inlineStr">
        <is>
          <t>SCA</t>
        </is>
      </c>
      <c r="G112" t="n">
        <v>8.300000000000001</v>
      </c>
      <c r="H112" t="n">
        <v>1</v>
      </c>
      <c r="I112" t="n">
        <v>0</v>
      </c>
      <c r="J112" t="n">
        <v>4</v>
      </c>
      <c r="K112" t="n">
        <v>0</v>
      </c>
      <c r="L112" t="n">
        <v>0</v>
      </c>
      <c r="M112" t="n">
        <v>0</v>
      </c>
      <c r="N112" t="n">
        <v>0</v>
      </c>
      <c r="O112" t="n">
        <v>4</v>
      </c>
      <c r="P112" t="n">
        <v>0</v>
      </c>
      <c r="Q112" t="n">
        <v>4</v>
      </c>
      <c r="R112" s="2" t="inlineStr">
        <is>
          <t>Granticka
Lunglav
Skogshare
Tretåig hackspett</t>
        </is>
      </c>
      <c r="S112">
        <f>HYPERLINK("https://klasma.github.io/Logging_2305/artfynd/A 5269-2024 artfynd.xlsx", "A 5269-2024")</f>
        <v/>
      </c>
      <c r="T112">
        <f>HYPERLINK("https://klasma.github.io/Logging_2305/kartor/A 5269-2024 karta.png", "A 5269-2024")</f>
        <v/>
      </c>
      <c r="V112">
        <f>HYPERLINK("https://klasma.github.io/Logging_2305/klagomål/A 5269-2024 FSC-klagomål.docx", "A 5269-2024")</f>
        <v/>
      </c>
      <c r="W112">
        <f>HYPERLINK("https://klasma.github.io/Logging_2305/klagomålsmail/A 5269-2024 FSC-klagomål mail.docx", "A 5269-2024")</f>
        <v/>
      </c>
      <c r="X112">
        <f>HYPERLINK("https://klasma.github.io/Logging_2305/tillsyn/A 5269-2024 tillsynsbegäran.docx", "A 5269-2024")</f>
        <v/>
      </c>
      <c r="Y112">
        <f>HYPERLINK("https://klasma.github.io/Logging_2305/tillsynsmail/A 5269-2024 tillsynsbegäran mail.docx", "A 5269-2024")</f>
        <v/>
      </c>
      <c r="Z112">
        <f>HYPERLINK("https://klasma.github.io/Logging_2305/fåglar/A 5269-2024 prioriterade fågelarter.docx", "A 5269-2024")</f>
        <v/>
      </c>
    </row>
    <row r="113" ht="15" customHeight="1">
      <c r="A113" t="inlineStr">
        <is>
          <t>A 7445-2025</t>
        </is>
      </c>
      <c r="B113" s="1" t="n">
        <v>45705.40694444445</v>
      </c>
      <c r="C113" s="1" t="n">
        <v>45891</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45891</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30881-2025</t>
        </is>
      </c>
      <c r="B115" s="1" t="n">
        <v>45832.34538194445</v>
      </c>
      <c r="C115" s="1" t="n">
        <v>45891</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20496-2025</t>
        </is>
      </c>
      <c r="B116" s="1" t="n">
        <v>45775.57347222222</v>
      </c>
      <c r="C116" s="1" t="n">
        <v>45891</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43620-2023</t>
        </is>
      </c>
      <c r="B117" s="1" t="n">
        <v>45184</v>
      </c>
      <c r="C117" s="1" t="n">
        <v>45891</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42105-2024</t>
        </is>
      </c>
      <c r="B118" s="1" t="n">
        <v>45562.3650462963</v>
      </c>
      <c r="C118" s="1" t="n">
        <v>45891</v>
      </c>
      <c r="D118" t="inlineStr">
        <is>
          <t>JÄMTLANDS LÄN</t>
        </is>
      </c>
      <c r="E118" t="inlineStr">
        <is>
          <t>BRÄCKE</t>
        </is>
      </c>
      <c r="F118" t="inlineStr">
        <is>
          <t>SCA</t>
        </is>
      </c>
      <c r="G118" t="n">
        <v>2.2</v>
      </c>
      <c r="H118" t="n">
        <v>0</v>
      </c>
      <c r="I118" t="n">
        <v>0</v>
      </c>
      <c r="J118" t="n">
        <v>4</v>
      </c>
      <c r="K118" t="n">
        <v>0</v>
      </c>
      <c r="L118" t="n">
        <v>0</v>
      </c>
      <c r="M118" t="n">
        <v>0</v>
      </c>
      <c r="N118" t="n">
        <v>0</v>
      </c>
      <c r="O118" t="n">
        <v>4</v>
      </c>
      <c r="P118" t="n">
        <v>0</v>
      </c>
      <c r="Q118" t="n">
        <v>4</v>
      </c>
      <c r="R118" s="2" t="inlineStr">
        <is>
          <t>Gränsticka
Mörk kolflarnlav
Ullticka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34540-2025</t>
        </is>
      </c>
      <c r="B119" s="1" t="n">
        <v>45847.53170138889</v>
      </c>
      <c r="C119" s="1" t="n">
        <v>45891</v>
      </c>
      <c r="D119" t="inlineStr">
        <is>
          <t>JÄMTLANDS LÄN</t>
        </is>
      </c>
      <c r="E119" t="inlineStr">
        <is>
          <t>BRÄCKE</t>
        </is>
      </c>
      <c r="F119" t="inlineStr">
        <is>
          <t>SCA</t>
        </is>
      </c>
      <c r="G119" t="n">
        <v>1.5</v>
      </c>
      <c r="H119" t="n">
        <v>0</v>
      </c>
      <c r="I119" t="n">
        <v>1</v>
      </c>
      <c r="J119" t="n">
        <v>2</v>
      </c>
      <c r="K119" t="n">
        <v>1</v>
      </c>
      <c r="L119" t="n">
        <v>0</v>
      </c>
      <c r="M119" t="n">
        <v>0</v>
      </c>
      <c r="N119" t="n">
        <v>0</v>
      </c>
      <c r="O119" t="n">
        <v>3</v>
      </c>
      <c r="P119" t="n">
        <v>1</v>
      </c>
      <c r="Q119" t="n">
        <v>4</v>
      </c>
      <c r="R119" s="2" t="inlineStr">
        <is>
          <t>Tallgråticka
Skrovlig taggsvamp
Tallriska
Skarp dropptaggsvamp</t>
        </is>
      </c>
      <c r="S119">
        <f>HYPERLINK("https://klasma.github.io/Logging_2305/artfynd/A 34540-2025 artfynd.xlsx", "A 34540-2025")</f>
        <v/>
      </c>
      <c r="T119">
        <f>HYPERLINK("https://klasma.github.io/Logging_2305/kartor/A 34540-2025 karta.png", "A 34540-2025")</f>
        <v/>
      </c>
      <c r="V119">
        <f>HYPERLINK("https://klasma.github.io/Logging_2305/klagomål/A 34540-2025 FSC-klagomål.docx", "A 34540-2025")</f>
        <v/>
      </c>
      <c r="W119">
        <f>HYPERLINK("https://klasma.github.io/Logging_2305/klagomålsmail/A 34540-2025 FSC-klagomål mail.docx", "A 34540-2025")</f>
        <v/>
      </c>
      <c r="X119">
        <f>HYPERLINK("https://klasma.github.io/Logging_2305/tillsyn/A 34540-2025 tillsynsbegäran.docx", "A 34540-2025")</f>
        <v/>
      </c>
      <c r="Y119">
        <f>HYPERLINK("https://klasma.github.io/Logging_2305/tillsynsmail/A 34540-2025 tillsynsbegäran mail.docx", "A 34540-2025")</f>
        <v/>
      </c>
    </row>
    <row r="120" ht="15" customHeight="1">
      <c r="A120" t="inlineStr">
        <is>
          <t>A 56222-2021</t>
        </is>
      </c>
      <c r="B120" s="1" t="n">
        <v>44477</v>
      </c>
      <c r="C120" s="1" t="n">
        <v>45891</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45891</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45891</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17912-2025</t>
        </is>
      </c>
      <c r="B123" s="1" t="n">
        <v>45758.75871527778</v>
      </c>
      <c r="C123" s="1" t="n">
        <v>45891</v>
      </c>
      <c r="D123" t="inlineStr">
        <is>
          <t>JÄMTLANDS LÄN</t>
        </is>
      </c>
      <c r="E123" t="inlineStr">
        <is>
          <t>BRÄCKE</t>
        </is>
      </c>
      <c r="G123" t="n">
        <v>2</v>
      </c>
      <c r="H123" t="n">
        <v>0</v>
      </c>
      <c r="I123" t="n">
        <v>1</v>
      </c>
      <c r="J123" t="n">
        <v>2</v>
      </c>
      <c r="K123" t="n">
        <v>0</v>
      </c>
      <c r="L123" t="n">
        <v>0</v>
      </c>
      <c r="M123" t="n">
        <v>0</v>
      </c>
      <c r="N123" t="n">
        <v>0</v>
      </c>
      <c r="O123" t="n">
        <v>2</v>
      </c>
      <c r="P123" t="n">
        <v>0</v>
      </c>
      <c r="Q123" t="n">
        <v>3</v>
      </c>
      <c r="R123" s="2" t="inlineStr">
        <is>
          <t>Kolflarnlav
Lunglav
Grönpyrola</t>
        </is>
      </c>
      <c r="S123">
        <f>HYPERLINK("https://klasma.github.io/Logging_2305/artfynd/A 17912-2025 artfynd.xlsx", "A 17912-2025")</f>
        <v/>
      </c>
      <c r="T123">
        <f>HYPERLINK("https://klasma.github.io/Logging_2305/kartor/A 17912-2025 karta.png", "A 17912-2025")</f>
        <v/>
      </c>
      <c r="V123">
        <f>HYPERLINK("https://klasma.github.io/Logging_2305/klagomål/A 17912-2025 FSC-klagomål.docx", "A 17912-2025")</f>
        <v/>
      </c>
      <c r="W123">
        <f>HYPERLINK("https://klasma.github.io/Logging_2305/klagomålsmail/A 17912-2025 FSC-klagomål mail.docx", "A 17912-2025")</f>
        <v/>
      </c>
      <c r="X123">
        <f>HYPERLINK("https://klasma.github.io/Logging_2305/tillsyn/A 17912-2025 tillsynsbegäran.docx", "A 17912-2025")</f>
        <v/>
      </c>
      <c r="Y123">
        <f>HYPERLINK("https://klasma.github.io/Logging_2305/tillsynsmail/A 17912-2025 tillsynsbegäran mail.docx", "A 17912-2025")</f>
        <v/>
      </c>
    </row>
    <row r="124" ht="15" customHeight="1">
      <c r="A124" t="inlineStr">
        <is>
          <t>A 57105-2024</t>
        </is>
      </c>
      <c r="B124" s="1" t="n">
        <v>45629.35895833333</v>
      </c>
      <c r="C124" s="1" t="n">
        <v>45891</v>
      </c>
      <c r="D124" t="inlineStr">
        <is>
          <t>JÄMTLANDS LÄN</t>
        </is>
      </c>
      <c r="E124" t="inlineStr">
        <is>
          <t>BRÄCKE</t>
        </is>
      </c>
      <c r="G124" t="n">
        <v>1.7</v>
      </c>
      <c r="H124" t="n">
        <v>0</v>
      </c>
      <c r="I124" t="n">
        <v>0</v>
      </c>
      <c r="J124" t="n">
        <v>3</v>
      </c>
      <c r="K124" t="n">
        <v>0</v>
      </c>
      <c r="L124" t="n">
        <v>0</v>
      </c>
      <c r="M124" t="n">
        <v>0</v>
      </c>
      <c r="N124" t="n">
        <v>0</v>
      </c>
      <c r="O124" t="n">
        <v>3</v>
      </c>
      <c r="P124" t="n">
        <v>0</v>
      </c>
      <c r="Q124" t="n">
        <v>3</v>
      </c>
      <c r="R124" s="2" t="inlineStr">
        <is>
          <t>Garnlav
Lunglav
Ullticka</t>
        </is>
      </c>
      <c r="S124">
        <f>HYPERLINK("https://klasma.github.io/Logging_2305/artfynd/A 57105-2024 artfynd.xlsx", "A 57105-2024")</f>
        <v/>
      </c>
      <c r="T124">
        <f>HYPERLINK("https://klasma.github.io/Logging_2305/kartor/A 57105-2024 karta.png", "A 57105-2024")</f>
        <v/>
      </c>
      <c r="V124">
        <f>HYPERLINK("https://klasma.github.io/Logging_2305/klagomål/A 57105-2024 FSC-klagomål.docx", "A 57105-2024")</f>
        <v/>
      </c>
      <c r="W124">
        <f>HYPERLINK("https://klasma.github.io/Logging_2305/klagomålsmail/A 57105-2024 FSC-klagomål mail.docx", "A 57105-2024")</f>
        <v/>
      </c>
      <c r="X124">
        <f>HYPERLINK("https://klasma.github.io/Logging_2305/tillsyn/A 57105-2024 tillsynsbegäran.docx", "A 57105-2024")</f>
        <v/>
      </c>
      <c r="Y124">
        <f>HYPERLINK("https://klasma.github.io/Logging_2305/tillsynsmail/A 57105-2024 tillsynsbegäran mail.docx", "A 57105-2024")</f>
        <v/>
      </c>
    </row>
    <row r="125" ht="15" customHeight="1">
      <c r="A125" t="inlineStr">
        <is>
          <t>A 103-2025</t>
        </is>
      </c>
      <c r="B125" s="1" t="n">
        <v>45659</v>
      </c>
      <c r="C125" s="1" t="n">
        <v>45891</v>
      </c>
      <c r="D125" t="inlineStr">
        <is>
          <t>JÄMTLANDS LÄN</t>
        </is>
      </c>
      <c r="E125" t="inlineStr">
        <is>
          <t>BRÄCKE</t>
        </is>
      </c>
      <c r="F125" t="inlineStr">
        <is>
          <t>SCA</t>
        </is>
      </c>
      <c r="G125" t="n">
        <v>10.2</v>
      </c>
      <c r="H125" t="n">
        <v>3</v>
      </c>
      <c r="I125" t="n">
        <v>0</v>
      </c>
      <c r="J125" t="n">
        <v>2</v>
      </c>
      <c r="K125" t="n">
        <v>0</v>
      </c>
      <c r="L125" t="n">
        <v>0</v>
      </c>
      <c r="M125" t="n">
        <v>0</v>
      </c>
      <c r="N125" t="n">
        <v>0</v>
      </c>
      <c r="O125" t="n">
        <v>2</v>
      </c>
      <c r="P125" t="n">
        <v>0</v>
      </c>
      <c r="Q125" t="n">
        <v>3</v>
      </c>
      <c r="R125" s="2" t="inlineStr">
        <is>
          <t>Talltita
Tretåig hackspett
Orre</t>
        </is>
      </c>
      <c r="S125">
        <f>HYPERLINK("https://klasma.github.io/Logging_2305/artfynd/A 103-2025 artfynd.xlsx", "A 103-2025")</f>
        <v/>
      </c>
      <c r="T125">
        <f>HYPERLINK("https://klasma.github.io/Logging_2305/kartor/A 103-2025 karta.png", "A 103-2025")</f>
        <v/>
      </c>
      <c r="V125">
        <f>HYPERLINK("https://klasma.github.io/Logging_2305/klagomål/A 103-2025 FSC-klagomål.docx", "A 103-2025")</f>
        <v/>
      </c>
      <c r="W125">
        <f>HYPERLINK("https://klasma.github.io/Logging_2305/klagomålsmail/A 103-2025 FSC-klagomål mail.docx", "A 103-2025")</f>
        <v/>
      </c>
      <c r="X125">
        <f>HYPERLINK("https://klasma.github.io/Logging_2305/tillsyn/A 103-2025 tillsynsbegäran.docx", "A 103-2025")</f>
        <v/>
      </c>
      <c r="Y125">
        <f>HYPERLINK("https://klasma.github.io/Logging_2305/tillsynsmail/A 103-2025 tillsynsbegäran mail.docx", "A 103-2025")</f>
        <v/>
      </c>
      <c r="Z125">
        <f>HYPERLINK("https://klasma.github.io/Logging_2305/fåglar/A 103-2025 prioriterade fågelarter.docx", "A 103-2025")</f>
        <v/>
      </c>
    </row>
    <row r="126" ht="15" customHeight="1">
      <c r="A126" t="inlineStr">
        <is>
          <t>A 25717-2024</t>
        </is>
      </c>
      <c r="B126" s="1" t="n">
        <v>45463.94459490741</v>
      </c>
      <c r="C126" s="1" t="n">
        <v>45891</v>
      </c>
      <c r="D126" t="inlineStr">
        <is>
          <t>JÄMTLANDS LÄN</t>
        </is>
      </c>
      <c r="E126" t="inlineStr">
        <is>
          <t>BRÄCKE</t>
        </is>
      </c>
      <c r="G126" t="n">
        <v>2.9</v>
      </c>
      <c r="H126" t="n">
        <v>1</v>
      </c>
      <c r="I126" t="n">
        <v>1</v>
      </c>
      <c r="J126" t="n">
        <v>1</v>
      </c>
      <c r="K126" t="n">
        <v>1</v>
      </c>
      <c r="L126" t="n">
        <v>0</v>
      </c>
      <c r="M126" t="n">
        <v>0</v>
      </c>
      <c r="N126" t="n">
        <v>0</v>
      </c>
      <c r="O126" t="n">
        <v>2</v>
      </c>
      <c r="P126" t="n">
        <v>1</v>
      </c>
      <c r="Q126" t="n">
        <v>3</v>
      </c>
      <c r="R126" s="2" t="inlineStr">
        <is>
          <t>Knärot
Lunglav
Skinnlav</t>
        </is>
      </c>
      <c r="S126">
        <f>HYPERLINK("https://klasma.github.io/Logging_2305/artfynd/A 25717-2024 artfynd.xlsx", "A 25717-2024")</f>
        <v/>
      </c>
      <c r="T126">
        <f>HYPERLINK("https://klasma.github.io/Logging_2305/kartor/A 25717-2024 karta.png", "A 25717-2024")</f>
        <v/>
      </c>
      <c r="U126">
        <f>HYPERLINK("https://klasma.github.io/Logging_2305/knärot/A 25717-2024 karta knärot.png", "A 25717-2024")</f>
        <v/>
      </c>
      <c r="V126">
        <f>HYPERLINK("https://klasma.github.io/Logging_2305/klagomål/A 25717-2024 FSC-klagomål.docx", "A 25717-2024")</f>
        <v/>
      </c>
      <c r="W126">
        <f>HYPERLINK("https://klasma.github.io/Logging_2305/klagomålsmail/A 25717-2024 FSC-klagomål mail.docx", "A 25717-2024")</f>
        <v/>
      </c>
      <c r="X126">
        <f>HYPERLINK("https://klasma.github.io/Logging_2305/tillsyn/A 25717-2024 tillsynsbegäran.docx", "A 25717-2024")</f>
        <v/>
      </c>
      <c r="Y126">
        <f>HYPERLINK("https://klasma.github.io/Logging_2305/tillsynsmail/A 25717-2024 tillsynsbegäran mail.docx", "A 25717-2024")</f>
        <v/>
      </c>
    </row>
    <row r="127" ht="15" customHeight="1">
      <c r="A127" t="inlineStr">
        <is>
          <t>A 40405-2020</t>
        </is>
      </c>
      <c r="B127" s="1" t="n">
        <v>44068</v>
      </c>
      <c r="C127" s="1" t="n">
        <v>45891</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29689-2024</t>
        </is>
      </c>
      <c r="B128" s="1" t="n">
        <v>45484.94427083333</v>
      </c>
      <c r="C128" s="1" t="n">
        <v>45891</v>
      </c>
      <c r="D128" t="inlineStr">
        <is>
          <t>JÄMTLANDS LÄN</t>
        </is>
      </c>
      <c r="E128" t="inlineStr">
        <is>
          <t>BRÄCKE</t>
        </is>
      </c>
      <c r="F128" t="inlineStr">
        <is>
          <t>SCA</t>
        </is>
      </c>
      <c r="G128" t="n">
        <v>6.3</v>
      </c>
      <c r="H128" t="n">
        <v>0</v>
      </c>
      <c r="I128" t="n">
        <v>1</v>
      </c>
      <c r="J128" t="n">
        <v>2</v>
      </c>
      <c r="K128" t="n">
        <v>0</v>
      </c>
      <c r="L128" t="n">
        <v>0</v>
      </c>
      <c r="M128" t="n">
        <v>0</v>
      </c>
      <c r="N128" t="n">
        <v>0</v>
      </c>
      <c r="O128" t="n">
        <v>2</v>
      </c>
      <c r="P128" t="n">
        <v>0</v>
      </c>
      <c r="Q128" t="n">
        <v>3</v>
      </c>
      <c r="R128" s="2" t="inlineStr">
        <is>
          <t>Garnlav
Granticka
Vedticka</t>
        </is>
      </c>
      <c r="S128">
        <f>HYPERLINK("https://klasma.github.io/Logging_2305/artfynd/A 29689-2024 artfynd.xlsx", "A 29689-2024")</f>
        <v/>
      </c>
      <c r="T128">
        <f>HYPERLINK("https://klasma.github.io/Logging_2305/kartor/A 29689-2024 karta.png", "A 29689-2024")</f>
        <v/>
      </c>
      <c r="V128">
        <f>HYPERLINK("https://klasma.github.io/Logging_2305/klagomål/A 29689-2024 FSC-klagomål.docx", "A 29689-2024")</f>
        <v/>
      </c>
      <c r="W128">
        <f>HYPERLINK("https://klasma.github.io/Logging_2305/klagomålsmail/A 29689-2024 FSC-klagomål mail.docx", "A 29689-2024")</f>
        <v/>
      </c>
      <c r="X128">
        <f>HYPERLINK("https://klasma.github.io/Logging_2305/tillsyn/A 29689-2024 tillsynsbegäran.docx", "A 29689-2024")</f>
        <v/>
      </c>
      <c r="Y128">
        <f>HYPERLINK("https://klasma.github.io/Logging_2305/tillsynsmail/A 29689-2024 tillsynsbegäran mail.docx", "A 29689-2024")</f>
        <v/>
      </c>
    </row>
    <row r="129" ht="15" customHeight="1">
      <c r="A129" t="inlineStr">
        <is>
          <t>A 29455-2024</t>
        </is>
      </c>
      <c r="B129" s="1" t="n">
        <v>45483</v>
      </c>
      <c r="C129" s="1" t="n">
        <v>45891</v>
      </c>
      <c r="D129" t="inlineStr">
        <is>
          <t>JÄMTLANDS LÄN</t>
        </is>
      </c>
      <c r="E129" t="inlineStr">
        <is>
          <t>BRÄCKE</t>
        </is>
      </c>
      <c r="F129" t="inlineStr">
        <is>
          <t>SCA</t>
        </is>
      </c>
      <c r="G129" t="n">
        <v>6</v>
      </c>
      <c r="H129" t="n">
        <v>0</v>
      </c>
      <c r="I129" t="n">
        <v>0</v>
      </c>
      <c r="J129" t="n">
        <v>3</v>
      </c>
      <c r="K129" t="n">
        <v>0</v>
      </c>
      <c r="L129" t="n">
        <v>0</v>
      </c>
      <c r="M129" t="n">
        <v>0</v>
      </c>
      <c r="N129" t="n">
        <v>0</v>
      </c>
      <c r="O129" t="n">
        <v>3</v>
      </c>
      <c r="P129" t="n">
        <v>0</v>
      </c>
      <c r="Q129" t="n">
        <v>3</v>
      </c>
      <c r="R129" s="2" t="inlineStr">
        <is>
          <t>Garnlav
Lunglav
Ullticka</t>
        </is>
      </c>
      <c r="S129">
        <f>HYPERLINK("https://klasma.github.io/Logging_2305/artfynd/A 29455-2024 artfynd.xlsx", "A 29455-2024")</f>
        <v/>
      </c>
      <c r="T129">
        <f>HYPERLINK("https://klasma.github.io/Logging_2305/kartor/A 29455-2024 karta.png", "A 29455-2024")</f>
        <v/>
      </c>
      <c r="V129">
        <f>HYPERLINK("https://klasma.github.io/Logging_2305/klagomål/A 29455-2024 FSC-klagomål.docx", "A 29455-2024")</f>
        <v/>
      </c>
      <c r="W129">
        <f>HYPERLINK("https://klasma.github.io/Logging_2305/klagomålsmail/A 29455-2024 FSC-klagomål mail.docx", "A 29455-2024")</f>
        <v/>
      </c>
      <c r="X129">
        <f>HYPERLINK("https://klasma.github.io/Logging_2305/tillsyn/A 29455-2024 tillsynsbegäran.docx", "A 29455-2024")</f>
        <v/>
      </c>
      <c r="Y129">
        <f>HYPERLINK("https://klasma.github.io/Logging_2305/tillsynsmail/A 29455-2024 tillsynsbegäran mail.docx", "A 29455-2024")</f>
        <v/>
      </c>
    </row>
    <row r="130" ht="15" customHeight="1">
      <c r="A130" t="inlineStr">
        <is>
          <t>A 58584-2021</t>
        </is>
      </c>
      <c r="B130" s="1" t="n">
        <v>44488</v>
      </c>
      <c r="C130" s="1" t="n">
        <v>45891</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50616-2024</t>
        </is>
      </c>
      <c r="B131" s="1" t="n">
        <v>45601.63574074074</v>
      </c>
      <c r="C131" s="1" t="n">
        <v>45891</v>
      </c>
      <c r="D131" t="inlineStr">
        <is>
          <t>JÄMTLANDS LÄN</t>
        </is>
      </c>
      <c r="E131" t="inlineStr">
        <is>
          <t>BRÄCKE</t>
        </is>
      </c>
      <c r="F131" t="inlineStr">
        <is>
          <t>SCA</t>
        </is>
      </c>
      <c r="G131" t="n">
        <v>3.5</v>
      </c>
      <c r="H131" t="n">
        <v>0</v>
      </c>
      <c r="I131" t="n">
        <v>1</v>
      </c>
      <c r="J131" t="n">
        <v>2</v>
      </c>
      <c r="K131" t="n">
        <v>0</v>
      </c>
      <c r="L131" t="n">
        <v>0</v>
      </c>
      <c r="M131" t="n">
        <v>0</v>
      </c>
      <c r="N131" t="n">
        <v>0</v>
      </c>
      <c r="O131" t="n">
        <v>2</v>
      </c>
      <c r="P131" t="n">
        <v>0</v>
      </c>
      <c r="Q131" t="n">
        <v>3</v>
      </c>
      <c r="R131" s="2" t="inlineStr">
        <is>
          <t>Garnlav
Lunglav
Stuplav</t>
        </is>
      </c>
      <c r="S131">
        <f>HYPERLINK("https://klasma.github.io/Logging_2305/artfynd/A 50616-2024 artfynd.xlsx", "A 50616-2024")</f>
        <v/>
      </c>
      <c r="T131">
        <f>HYPERLINK("https://klasma.github.io/Logging_2305/kartor/A 50616-2024 karta.png", "A 50616-2024")</f>
        <v/>
      </c>
      <c r="V131">
        <f>HYPERLINK("https://klasma.github.io/Logging_2305/klagomål/A 50616-2024 FSC-klagomål.docx", "A 50616-2024")</f>
        <v/>
      </c>
      <c r="W131">
        <f>HYPERLINK("https://klasma.github.io/Logging_2305/klagomålsmail/A 50616-2024 FSC-klagomål mail.docx", "A 50616-2024")</f>
        <v/>
      </c>
      <c r="X131">
        <f>HYPERLINK("https://klasma.github.io/Logging_2305/tillsyn/A 50616-2024 tillsynsbegäran.docx", "A 50616-2024")</f>
        <v/>
      </c>
      <c r="Y131">
        <f>HYPERLINK("https://klasma.github.io/Logging_2305/tillsynsmail/A 50616-2024 tillsynsbegäran mail.docx", "A 50616-2024")</f>
        <v/>
      </c>
    </row>
    <row r="132" ht="15" customHeight="1">
      <c r="A132" t="inlineStr">
        <is>
          <t>A 30989-2024</t>
        </is>
      </c>
      <c r="B132" s="1" t="n">
        <v>45499.54851851852</v>
      </c>
      <c r="C132" s="1" t="n">
        <v>45891</v>
      </c>
      <c r="D132" t="inlineStr">
        <is>
          <t>JÄMTLANDS LÄN</t>
        </is>
      </c>
      <c r="E132" t="inlineStr">
        <is>
          <t>BRÄCKE</t>
        </is>
      </c>
      <c r="F132" t="inlineStr">
        <is>
          <t>Sveaskog</t>
        </is>
      </c>
      <c r="G132" t="n">
        <v>2.5</v>
      </c>
      <c r="H132" t="n">
        <v>1</v>
      </c>
      <c r="I132" t="n">
        <v>1</v>
      </c>
      <c r="J132" t="n">
        <v>2</v>
      </c>
      <c r="K132" t="n">
        <v>0</v>
      </c>
      <c r="L132" t="n">
        <v>0</v>
      </c>
      <c r="M132" t="n">
        <v>0</v>
      </c>
      <c r="N132" t="n">
        <v>0</v>
      </c>
      <c r="O132" t="n">
        <v>2</v>
      </c>
      <c r="P132" t="n">
        <v>0</v>
      </c>
      <c r="Q132" t="n">
        <v>3</v>
      </c>
      <c r="R132" s="2" t="inlineStr">
        <is>
          <t>Lunglav
Skrovellav
Tvåblad</t>
        </is>
      </c>
      <c r="S132">
        <f>HYPERLINK("https://klasma.github.io/Logging_2305/artfynd/A 30989-2024 artfynd.xlsx", "A 30989-2024")</f>
        <v/>
      </c>
      <c r="T132">
        <f>HYPERLINK("https://klasma.github.io/Logging_2305/kartor/A 30989-2024 karta.png", "A 30989-2024")</f>
        <v/>
      </c>
      <c r="V132">
        <f>HYPERLINK("https://klasma.github.io/Logging_2305/klagomål/A 30989-2024 FSC-klagomål.docx", "A 30989-2024")</f>
        <v/>
      </c>
      <c r="W132">
        <f>HYPERLINK("https://klasma.github.io/Logging_2305/klagomålsmail/A 30989-2024 FSC-klagomål mail.docx", "A 30989-2024")</f>
        <v/>
      </c>
      <c r="X132">
        <f>HYPERLINK("https://klasma.github.io/Logging_2305/tillsyn/A 30989-2024 tillsynsbegäran.docx", "A 30989-2024")</f>
        <v/>
      </c>
      <c r="Y132">
        <f>HYPERLINK("https://klasma.github.io/Logging_2305/tillsynsmail/A 30989-2024 tillsynsbegäran mail.docx", "A 30989-2024")</f>
        <v/>
      </c>
    </row>
    <row r="133" ht="15" customHeight="1">
      <c r="A133" t="inlineStr">
        <is>
          <t>A 4180-2022</t>
        </is>
      </c>
      <c r="B133" s="1" t="n">
        <v>44588</v>
      </c>
      <c r="C133" s="1" t="n">
        <v>45891</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47183-2023</t>
        </is>
      </c>
      <c r="B134" s="1" t="n">
        <v>45201</v>
      </c>
      <c r="C134" s="1" t="n">
        <v>45891</v>
      </c>
      <c r="D134" t="inlineStr">
        <is>
          <t>JÄMTLANDS LÄN</t>
        </is>
      </c>
      <c r="E134" t="inlineStr">
        <is>
          <t>BRÄCKE</t>
        </is>
      </c>
      <c r="F134" t="inlineStr">
        <is>
          <t>SCA</t>
        </is>
      </c>
      <c r="G134" t="n">
        <v>1.2</v>
      </c>
      <c r="H134" t="n">
        <v>2</v>
      </c>
      <c r="I134" t="n">
        <v>1</v>
      </c>
      <c r="J134" t="n">
        <v>1</v>
      </c>
      <c r="K134" t="n">
        <v>0</v>
      </c>
      <c r="L134" t="n">
        <v>0</v>
      </c>
      <c r="M134" t="n">
        <v>0</v>
      </c>
      <c r="N134" t="n">
        <v>0</v>
      </c>
      <c r="O134" t="n">
        <v>1</v>
      </c>
      <c r="P134" t="n">
        <v>0</v>
      </c>
      <c r="Q134" t="n">
        <v>3</v>
      </c>
      <c r="R134" s="2" t="inlineStr">
        <is>
          <t>Lunglav
Spindelblomster
Fläcknycklar</t>
        </is>
      </c>
      <c r="S134">
        <f>HYPERLINK("https://klasma.github.io/Logging_2305/artfynd/A 47183-2023 artfynd.xlsx", "A 47183-2023")</f>
        <v/>
      </c>
      <c r="T134">
        <f>HYPERLINK("https://klasma.github.io/Logging_2305/kartor/A 47183-2023 karta.png", "A 47183-2023")</f>
        <v/>
      </c>
      <c r="U134">
        <f>HYPERLINK("https://klasma.github.io/Logging_2305/knärot/A 47183-2023 karta knärot.png", "A 47183-2023")</f>
        <v/>
      </c>
      <c r="V134">
        <f>HYPERLINK("https://klasma.github.io/Logging_2305/klagomål/A 47183-2023 FSC-klagomål.docx", "A 47183-2023")</f>
        <v/>
      </c>
      <c r="W134">
        <f>HYPERLINK("https://klasma.github.io/Logging_2305/klagomålsmail/A 47183-2023 FSC-klagomål mail.docx", "A 47183-2023")</f>
        <v/>
      </c>
      <c r="X134">
        <f>HYPERLINK("https://klasma.github.io/Logging_2305/tillsyn/A 47183-2023 tillsynsbegäran.docx", "A 47183-2023")</f>
        <v/>
      </c>
      <c r="Y134">
        <f>HYPERLINK("https://klasma.github.io/Logging_2305/tillsynsmail/A 47183-2023 tillsynsbegäran mail.docx", "A 47183-2023")</f>
        <v/>
      </c>
    </row>
    <row r="135" ht="15" customHeight="1">
      <c r="A135" t="inlineStr">
        <is>
          <t>A 22190-2025</t>
        </is>
      </c>
      <c r="B135" s="1" t="n">
        <v>45785</v>
      </c>
      <c r="C135" s="1" t="n">
        <v>45891</v>
      </c>
      <c r="D135" t="inlineStr">
        <is>
          <t>JÄMTLANDS LÄN</t>
        </is>
      </c>
      <c r="E135" t="inlineStr">
        <is>
          <t>BRÄCKE</t>
        </is>
      </c>
      <c r="G135" t="n">
        <v>18.6</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HYPERLINK("https://klasma.github.io/Logging_2305/artfynd/A 22190-2025 artfynd.xlsx", "A 22190-2025")</f>
        <v/>
      </c>
      <c r="T135">
        <f>HYPERLINK("https://klasma.github.io/Logging_2305/kartor/A 22190-2025 karta.png", "A 22190-2025")</f>
        <v/>
      </c>
      <c r="U135">
        <f>HYPERLINK("https://klasma.github.io/Logging_2305/knärot/A 22190-2025 karta knärot.png", "A 22190-2025")</f>
        <v/>
      </c>
      <c r="V135">
        <f>HYPERLINK("https://klasma.github.io/Logging_2305/klagomål/A 22190-2025 FSC-klagomål.docx", "A 22190-2025")</f>
        <v/>
      </c>
      <c r="W135">
        <f>HYPERLINK("https://klasma.github.io/Logging_2305/klagomålsmail/A 22190-2025 FSC-klagomål mail.docx", "A 22190-2025")</f>
        <v/>
      </c>
      <c r="X135">
        <f>HYPERLINK("https://klasma.github.io/Logging_2305/tillsyn/A 22190-2025 tillsynsbegäran.docx", "A 22190-2025")</f>
        <v/>
      </c>
      <c r="Y135">
        <f>HYPERLINK("https://klasma.github.io/Logging_2305/tillsynsmail/A 22190-2025 tillsynsbegäran mail.docx", "A 22190-2025")</f>
        <v/>
      </c>
      <c r="Z135">
        <f>HYPERLINK("https://klasma.github.io/Logging_2305/fåglar/A 22190-2025 prioriterade fågelarter.docx", "A 22190-2025")</f>
        <v/>
      </c>
    </row>
    <row r="136" ht="15" customHeight="1">
      <c r="A136" t="inlineStr">
        <is>
          <t>A 22546-2025</t>
        </is>
      </c>
      <c r="B136" s="1" t="n">
        <v>45788.46329861111</v>
      </c>
      <c r="C136" s="1" t="n">
        <v>45891</v>
      </c>
      <c r="D136" t="inlineStr">
        <is>
          <t>JÄMTLANDS LÄN</t>
        </is>
      </c>
      <c r="E136" t="inlineStr">
        <is>
          <t>BRÄCKE</t>
        </is>
      </c>
      <c r="G136" t="n">
        <v>8.1</v>
      </c>
      <c r="H136" t="n">
        <v>2</v>
      </c>
      <c r="I136" t="n">
        <v>0</v>
      </c>
      <c r="J136" t="n">
        <v>1</v>
      </c>
      <c r="K136" t="n">
        <v>1</v>
      </c>
      <c r="L136" t="n">
        <v>0</v>
      </c>
      <c r="M136" t="n">
        <v>0</v>
      </c>
      <c r="N136" t="n">
        <v>0</v>
      </c>
      <c r="O136" t="n">
        <v>2</v>
      </c>
      <c r="P136" t="n">
        <v>1</v>
      </c>
      <c r="Q136" t="n">
        <v>3</v>
      </c>
      <c r="R136" s="2" t="inlineStr">
        <is>
          <t>Myrstarr
Skogsfru
Fläcknycklar</t>
        </is>
      </c>
      <c r="S136">
        <f>HYPERLINK("https://klasma.github.io/Logging_2305/artfynd/A 22546-2025 artfynd.xlsx", "A 22546-2025")</f>
        <v/>
      </c>
      <c r="T136">
        <f>HYPERLINK("https://klasma.github.io/Logging_2305/kartor/A 22546-2025 karta.png", "A 22546-2025")</f>
        <v/>
      </c>
      <c r="V136">
        <f>HYPERLINK("https://klasma.github.io/Logging_2305/klagomål/A 22546-2025 FSC-klagomål.docx", "A 22546-2025")</f>
        <v/>
      </c>
      <c r="W136">
        <f>HYPERLINK("https://klasma.github.io/Logging_2305/klagomålsmail/A 22546-2025 FSC-klagomål mail.docx", "A 22546-2025")</f>
        <v/>
      </c>
      <c r="X136">
        <f>HYPERLINK("https://klasma.github.io/Logging_2305/tillsyn/A 22546-2025 tillsynsbegäran.docx", "A 22546-2025")</f>
        <v/>
      </c>
      <c r="Y136">
        <f>HYPERLINK("https://klasma.github.io/Logging_2305/tillsynsmail/A 22546-2025 tillsynsbegäran mail.docx", "A 22546-2025")</f>
        <v/>
      </c>
    </row>
    <row r="137" ht="15" customHeight="1">
      <c r="A137" t="inlineStr">
        <is>
          <t>A 30486-2024</t>
        </is>
      </c>
      <c r="B137" s="1" t="n">
        <v>45491.95018518518</v>
      </c>
      <c r="C137" s="1" t="n">
        <v>45891</v>
      </c>
      <c r="D137" t="inlineStr">
        <is>
          <t>JÄMTLANDS LÄN</t>
        </is>
      </c>
      <c r="E137" t="inlineStr">
        <is>
          <t>BRÄCKE</t>
        </is>
      </c>
      <c r="F137" t="inlineStr">
        <is>
          <t>SCA</t>
        </is>
      </c>
      <c r="G137" t="n">
        <v>3.8</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30486-2024 artfynd.xlsx", "A 30486-2024")</f>
        <v/>
      </c>
      <c r="T137">
        <f>HYPERLINK("https://klasma.github.io/Logging_2305/kartor/A 30486-2024 karta.png", "A 30486-2024")</f>
        <v/>
      </c>
      <c r="V137">
        <f>HYPERLINK("https://klasma.github.io/Logging_2305/klagomål/A 30486-2024 FSC-klagomål.docx", "A 30486-2024")</f>
        <v/>
      </c>
      <c r="W137">
        <f>HYPERLINK("https://klasma.github.io/Logging_2305/klagomålsmail/A 30486-2024 FSC-klagomål mail.docx", "A 30486-2024")</f>
        <v/>
      </c>
      <c r="X137">
        <f>HYPERLINK("https://klasma.github.io/Logging_2305/tillsyn/A 30486-2024 tillsynsbegäran.docx", "A 30486-2024")</f>
        <v/>
      </c>
      <c r="Y137">
        <f>HYPERLINK("https://klasma.github.io/Logging_2305/tillsynsmail/A 30486-2024 tillsynsbegäran mail.docx", "A 30486-2024")</f>
        <v/>
      </c>
      <c r="Z137">
        <f>HYPERLINK("https://klasma.github.io/Logging_2305/fåglar/A 30486-2024 prioriterade fågelarter.docx", "A 30486-2024")</f>
        <v/>
      </c>
    </row>
    <row r="138" ht="15" customHeight="1">
      <c r="A138" t="inlineStr">
        <is>
          <t>A 29690-2024</t>
        </is>
      </c>
      <c r="B138" s="1" t="n">
        <v>45484.94436342592</v>
      </c>
      <c r="C138" s="1" t="n">
        <v>45891</v>
      </c>
      <c r="D138" t="inlineStr">
        <is>
          <t>JÄMTLANDS LÄN</t>
        </is>
      </c>
      <c r="E138" t="inlineStr">
        <is>
          <t>BRÄCKE</t>
        </is>
      </c>
      <c r="F138" t="inlineStr">
        <is>
          <t>SCA</t>
        </is>
      </c>
      <c r="G138" t="n">
        <v>12.7</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29690-2024 artfynd.xlsx", "A 29690-2024")</f>
        <v/>
      </c>
      <c r="T138">
        <f>HYPERLINK("https://klasma.github.io/Logging_2305/kartor/A 29690-2024 karta.png", "A 29690-2024")</f>
        <v/>
      </c>
      <c r="V138">
        <f>HYPERLINK("https://klasma.github.io/Logging_2305/klagomål/A 29690-2024 FSC-klagomål.docx", "A 29690-2024")</f>
        <v/>
      </c>
      <c r="W138">
        <f>HYPERLINK("https://klasma.github.io/Logging_2305/klagomålsmail/A 29690-2024 FSC-klagomål mail.docx", "A 29690-2024")</f>
        <v/>
      </c>
      <c r="X138">
        <f>HYPERLINK("https://klasma.github.io/Logging_2305/tillsyn/A 29690-2024 tillsynsbegäran.docx", "A 29690-2024")</f>
        <v/>
      </c>
      <c r="Y138">
        <f>HYPERLINK("https://klasma.github.io/Logging_2305/tillsynsmail/A 29690-2024 tillsynsbegäran mail.docx", "A 29690-2024")</f>
        <v/>
      </c>
    </row>
    <row r="139" ht="15" customHeight="1">
      <c r="A139" t="inlineStr">
        <is>
          <t>A 23592-2025</t>
        </is>
      </c>
      <c r="B139" s="1" t="n">
        <v>45792.63644675926</v>
      </c>
      <c r="C139" s="1" t="n">
        <v>45891</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23300-2025</t>
        </is>
      </c>
      <c r="B140" s="1" t="n">
        <v>45791.5946875</v>
      </c>
      <c r="C140" s="1" t="n">
        <v>45891</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23687-2025</t>
        </is>
      </c>
      <c r="B141" s="1" t="n">
        <v>45793.34428240741</v>
      </c>
      <c r="C141" s="1" t="n">
        <v>45891</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23854-2025</t>
        </is>
      </c>
      <c r="B142" s="1" t="n">
        <v>45793.65658564815</v>
      </c>
      <c r="C142" s="1" t="n">
        <v>45891</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2298-2025</t>
        </is>
      </c>
      <c r="B143" s="1" t="n">
        <v>45673.595</v>
      </c>
      <c r="C143" s="1" t="n">
        <v>45891</v>
      </c>
      <c r="D143" t="inlineStr">
        <is>
          <t>JÄMTLANDS LÄN</t>
        </is>
      </c>
      <c r="E143" t="inlineStr">
        <is>
          <t>BRÄCKE</t>
        </is>
      </c>
      <c r="F143" t="inlineStr">
        <is>
          <t>SCA</t>
        </is>
      </c>
      <c r="G143" t="n">
        <v>8.300000000000001</v>
      </c>
      <c r="H143" t="n">
        <v>0</v>
      </c>
      <c r="I143" t="n">
        <v>0</v>
      </c>
      <c r="J143" t="n">
        <v>2</v>
      </c>
      <c r="K143" t="n">
        <v>1</v>
      </c>
      <c r="L143" t="n">
        <v>0</v>
      </c>
      <c r="M143" t="n">
        <v>0</v>
      </c>
      <c r="N143" t="n">
        <v>0</v>
      </c>
      <c r="O143" t="n">
        <v>3</v>
      </c>
      <c r="P143" t="n">
        <v>1</v>
      </c>
      <c r="Q143" t="n">
        <v>3</v>
      </c>
      <c r="R143" s="2" t="inlineStr">
        <is>
          <t>Rynkskinn
Granticka
Vaddporing</t>
        </is>
      </c>
      <c r="S143">
        <f>HYPERLINK("https://klasma.github.io/Logging_2305/artfynd/A 2298-2025 artfynd.xlsx", "A 2298-2025")</f>
        <v/>
      </c>
      <c r="T143">
        <f>HYPERLINK("https://klasma.github.io/Logging_2305/kartor/A 2298-2025 karta.png", "A 2298-2025")</f>
        <v/>
      </c>
      <c r="V143">
        <f>HYPERLINK("https://klasma.github.io/Logging_2305/klagomål/A 2298-2025 FSC-klagomål.docx", "A 2298-2025")</f>
        <v/>
      </c>
      <c r="W143">
        <f>HYPERLINK("https://klasma.github.io/Logging_2305/klagomålsmail/A 2298-2025 FSC-klagomål mail.docx", "A 2298-2025")</f>
        <v/>
      </c>
      <c r="X143">
        <f>HYPERLINK("https://klasma.github.io/Logging_2305/tillsyn/A 2298-2025 tillsynsbegäran.docx", "A 2298-2025")</f>
        <v/>
      </c>
      <c r="Y143">
        <f>HYPERLINK("https://klasma.github.io/Logging_2305/tillsynsmail/A 2298-2025 tillsynsbegäran mail.docx", "A 2298-2025")</f>
        <v/>
      </c>
    </row>
    <row r="144" ht="15" customHeight="1">
      <c r="A144" t="inlineStr">
        <is>
          <t>A 24635-2025</t>
        </is>
      </c>
      <c r="B144" s="1" t="n">
        <v>45798.61513888889</v>
      </c>
      <c r="C144" s="1" t="n">
        <v>45891</v>
      </c>
      <c r="D144" t="inlineStr">
        <is>
          <t>JÄMTLANDS LÄN</t>
        </is>
      </c>
      <c r="E144" t="inlineStr">
        <is>
          <t>BRÄCKE</t>
        </is>
      </c>
      <c r="G144" t="n">
        <v>3.2</v>
      </c>
      <c r="H144" t="n">
        <v>1</v>
      </c>
      <c r="I144" t="n">
        <v>0</v>
      </c>
      <c r="J144" t="n">
        <v>3</v>
      </c>
      <c r="K144" t="n">
        <v>0</v>
      </c>
      <c r="L144" t="n">
        <v>0</v>
      </c>
      <c r="M144" t="n">
        <v>0</v>
      </c>
      <c r="N144" t="n">
        <v>0</v>
      </c>
      <c r="O144" t="n">
        <v>3</v>
      </c>
      <c r="P144" t="n">
        <v>0</v>
      </c>
      <c r="Q144" t="n">
        <v>3</v>
      </c>
      <c r="R144" s="2" t="inlineStr">
        <is>
          <t>Lunglav
Tretåig hackspett
Ullticka</t>
        </is>
      </c>
      <c r="S144">
        <f>HYPERLINK("https://klasma.github.io/Logging_2305/artfynd/A 24635-2025 artfynd.xlsx", "A 24635-2025")</f>
        <v/>
      </c>
      <c r="T144">
        <f>HYPERLINK("https://klasma.github.io/Logging_2305/kartor/A 24635-2025 karta.png", "A 24635-2025")</f>
        <v/>
      </c>
      <c r="V144">
        <f>HYPERLINK("https://klasma.github.io/Logging_2305/klagomål/A 24635-2025 FSC-klagomål.docx", "A 24635-2025")</f>
        <v/>
      </c>
      <c r="W144">
        <f>HYPERLINK("https://klasma.github.io/Logging_2305/klagomålsmail/A 24635-2025 FSC-klagomål mail.docx", "A 24635-2025")</f>
        <v/>
      </c>
      <c r="X144">
        <f>HYPERLINK("https://klasma.github.io/Logging_2305/tillsyn/A 24635-2025 tillsynsbegäran.docx", "A 24635-2025")</f>
        <v/>
      </c>
      <c r="Y144">
        <f>HYPERLINK("https://klasma.github.io/Logging_2305/tillsynsmail/A 24635-2025 tillsynsbegäran mail.docx", "A 24635-2025")</f>
        <v/>
      </c>
      <c r="Z144">
        <f>HYPERLINK("https://klasma.github.io/Logging_2305/fåglar/A 24635-2025 prioriterade fågelarter.docx", "A 24635-2025")</f>
        <v/>
      </c>
    </row>
    <row r="145" ht="15" customHeight="1">
      <c r="A145" t="inlineStr">
        <is>
          <t>A 48067-2023</t>
        </is>
      </c>
      <c r="B145" s="1" t="n">
        <v>45204</v>
      </c>
      <c r="C145" s="1" t="n">
        <v>45891</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45891</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26009-2024</t>
        </is>
      </c>
      <c r="B147" s="1" t="n">
        <v>45467</v>
      </c>
      <c r="C147" s="1" t="n">
        <v>45891</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41648-2023</t>
        </is>
      </c>
      <c r="B148" s="1" t="n">
        <v>45175</v>
      </c>
      <c r="C148" s="1" t="n">
        <v>45891</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35907-2025</t>
        </is>
      </c>
      <c r="B149" s="1" t="n">
        <v>45862.5109837963</v>
      </c>
      <c r="C149" s="1" t="n">
        <v>45891</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16959-2025</t>
        </is>
      </c>
      <c r="B150" s="1" t="n">
        <v>45755.44854166666</v>
      </c>
      <c r="C150" s="1" t="n">
        <v>45891</v>
      </c>
      <c r="D150" t="inlineStr">
        <is>
          <t>JÄMTLANDS LÄN</t>
        </is>
      </c>
      <c r="E150" t="inlineStr">
        <is>
          <t>BRÄCKE</t>
        </is>
      </c>
      <c r="F150" t="inlineStr">
        <is>
          <t>SCA</t>
        </is>
      </c>
      <c r="G150" t="n">
        <v>4.6</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HYPERLINK("https://klasma.github.io/Logging_2305/artfynd/A 16959-2025 artfynd.xlsx", "A 16959-2025")</f>
        <v/>
      </c>
      <c r="T150">
        <f>HYPERLINK("https://klasma.github.io/Logging_2305/kartor/A 16959-2025 karta.png", "A 16959-2025")</f>
        <v/>
      </c>
      <c r="U150">
        <f>HYPERLINK("https://klasma.github.io/Logging_2305/knärot/A 16959-2025 karta knärot.png", "A 16959-2025")</f>
        <v/>
      </c>
      <c r="V150">
        <f>HYPERLINK("https://klasma.github.io/Logging_2305/klagomål/A 16959-2025 FSC-klagomål.docx", "A 16959-2025")</f>
        <v/>
      </c>
      <c r="W150">
        <f>HYPERLINK("https://klasma.github.io/Logging_2305/klagomålsmail/A 16959-2025 FSC-klagomål mail.docx", "A 16959-2025")</f>
        <v/>
      </c>
      <c r="X150">
        <f>HYPERLINK("https://klasma.github.io/Logging_2305/tillsyn/A 16959-2025 tillsynsbegäran.docx", "A 16959-2025")</f>
        <v/>
      </c>
      <c r="Y150">
        <f>HYPERLINK("https://klasma.github.io/Logging_2305/tillsynsmail/A 16959-2025 tillsynsbegäran mail.docx", "A 16959-2025")</f>
        <v/>
      </c>
      <c r="Z150">
        <f>HYPERLINK("https://klasma.github.io/Logging_2305/fåglar/A 16959-2025 prioriterade fågelarter.docx", "A 16959-2025")</f>
        <v/>
      </c>
    </row>
    <row r="151" ht="15" customHeight="1">
      <c r="A151" t="inlineStr">
        <is>
          <t>A 30112-2025</t>
        </is>
      </c>
      <c r="B151" s="1" t="n">
        <v>45826.71938657408</v>
      </c>
      <c r="C151" s="1" t="n">
        <v>45891</v>
      </c>
      <c r="D151" t="inlineStr">
        <is>
          <t>JÄMTLANDS LÄN</t>
        </is>
      </c>
      <c r="E151" t="inlineStr">
        <is>
          <t>BRÄCKE</t>
        </is>
      </c>
      <c r="F151" t="inlineStr">
        <is>
          <t>SCA</t>
        </is>
      </c>
      <c r="G151" t="n">
        <v>8.9</v>
      </c>
      <c r="H151" t="n">
        <v>1</v>
      </c>
      <c r="I151" t="n">
        <v>1</v>
      </c>
      <c r="J151" t="n">
        <v>1</v>
      </c>
      <c r="K151" t="n">
        <v>1</v>
      </c>
      <c r="L151" t="n">
        <v>0</v>
      </c>
      <c r="M151" t="n">
        <v>0</v>
      </c>
      <c r="N151" t="n">
        <v>0</v>
      </c>
      <c r="O151" t="n">
        <v>2</v>
      </c>
      <c r="P151" t="n">
        <v>1</v>
      </c>
      <c r="Q151" t="n">
        <v>3</v>
      </c>
      <c r="R151" s="2" t="inlineStr">
        <is>
          <t>Knärot
Rosenticka
Kransrams</t>
        </is>
      </c>
      <c r="S151">
        <f>HYPERLINK("https://klasma.github.io/Logging_2305/artfynd/A 30112-2025 artfynd.xlsx", "A 30112-2025")</f>
        <v/>
      </c>
      <c r="T151">
        <f>HYPERLINK("https://klasma.github.io/Logging_2305/kartor/A 30112-2025 karta.png", "A 30112-2025")</f>
        <v/>
      </c>
      <c r="U151">
        <f>HYPERLINK("https://klasma.github.io/Logging_2305/knärot/A 30112-2025 karta knärot.png", "A 30112-2025")</f>
        <v/>
      </c>
      <c r="V151">
        <f>HYPERLINK("https://klasma.github.io/Logging_2305/klagomål/A 30112-2025 FSC-klagomål.docx", "A 30112-2025")</f>
        <v/>
      </c>
      <c r="W151">
        <f>HYPERLINK("https://klasma.github.io/Logging_2305/klagomålsmail/A 30112-2025 FSC-klagomål mail.docx", "A 30112-2025")</f>
        <v/>
      </c>
      <c r="X151">
        <f>HYPERLINK("https://klasma.github.io/Logging_2305/tillsyn/A 30112-2025 tillsynsbegäran.docx", "A 30112-2025")</f>
        <v/>
      </c>
      <c r="Y151">
        <f>HYPERLINK("https://klasma.github.io/Logging_2305/tillsynsmail/A 30112-2025 tillsynsbegäran mail.docx", "A 30112-2025")</f>
        <v/>
      </c>
    </row>
    <row r="152" ht="15" customHeight="1">
      <c r="A152" t="inlineStr">
        <is>
          <t>A 60610-2024</t>
        </is>
      </c>
      <c r="B152" s="1" t="n">
        <v>45644.38570601852</v>
      </c>
      <c r="C152" s="1" t="n">
        <v>45891</v>
      </c>
      <c r="D152" t="inlineStr">
        <is>
          <t>JÄMTLANDS LÄN</t>
        </is>
      </c>
      <c r="E152" t="inlineStr">
        <is>
          <t>BRÄCKE</t>
        </is>
      </c>
      <c r="F152" t="inlineStr">
        <is>
          <t>SCA</t>
        </is>
      </c>
      <c r="G152" t="n">
        <v>1.1</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HYPERLINK("https://klasma.github.io/Logging_2305/artfynd/A 60610-2024 artfynd.xlsx", "A 60610-2024")</f>
        <v/>
      </c>
      <c r="T152">
        <f>HYPERLINK("https://klasma.github.io/Logging_2305/kartor/A 60610-2024 karta.png", "A 60610-2024")</f>
        <v/>
      </c>
      <c r="V152">
        <f>HYPERLINK("https://klasma.github.io/Logging_2305/klagomål/A 60610-2024 FSC-klagomål.docx", "A 60610-2024")</f>
        <v/>
      </c>
      <c r="W152">
        <f>HYPERLINK("https://klasma.github.io/Logging_2305/klagomålsmail/A 60610-2024 FSC-klagomål mail.docx", "A 60610-2024")</f>
        <v/>
      </c>
      <c r="X152">
        <f>HYPERLINK("https://klasma.github.io/Logging_2305/tillsyn/A 60610-2024 tillsynsbegäran.docx", "A 60610-2024")</f>
        <v/>
      </c>
      <c r="Y152">
        <f>HYPERLINK("https://klasma.github.io/Logging_2305/tillsynsmail/A 60610-2024 tillsynsbegäran mail.docx", "A 60610-2024")</f>
        <v/>
      </c>
    </row>
    <row r="153" ht="15" customHeight="1">
      <c r="A153" t="inlineStr">
        <is>
          <t>A 32240-2025</t>
        </is>
      </c>
      <c r="B153" s="1" t="n">
        <v>45835.61524305555</v>
      </c>
      <c r="C153" s="1" t="n">
        <v>45891</v>
      </c>
      <c r="D153" t="inlineStr">
        <is>
          <t>JÄMTLANDS LÄN</t>
        </is>
      </c>
      <c r="E153" t="inlineStr">
        <is>
          <t>BRÄCKE</t>
        </is>
      </c>
      <c r="F153" t="inlineStr">
        <is>
          <t>Naturvårdsverket</t>
        </is>
      </c>
      <c r="G153" t="n">
        <v>21.1</v>
      </c>
      <c r="H153" t="n">
        <v>1</v>
      </c>
      <c r="I153" t="n">
        <v>1</v>
      </c>
      <c r="J153" t="n">
        <v>1</v>
      </c>
      <c r="K153" t="n">
        <v>0</v>
      </c>
      <c r="L153" t="n">
        <v>0</v>
      </c>
      <c r="M153" t="n">
        <v>0</v>
      </c>
      <c r="N153" t="n">
        <v>0</v>
      </c>
      <c r="O153" t="n">
        <v>1</v>
      </c>
      <c r="P153" t="n">
        <v>0</v>
      </c>
      <c r="Q153" t="n">
        <v>3</v>
      </c>
      <c r="R153" s="2" t="inlineStr">
        <is>
          <t>Lunglav
Stuplav
Lavskrika</t>
        </is>
      </c>
      <c r="S153">
        <f>HYPERLINK("https://klasma.github.io/Logging_2305/artfynd/A 32240-2025 artfynd.xlsx", "A 32240-2025")</f>
        <v/>
      </c>
      <c r="T153">
        <f>HYPERLINK("https://klasma.github.io/Logging_2305/kartor/A 32240-2025 karta.png", "A 32240-2025")</f>
        <v/>
      </c>
      <c r="U153">
        <f>HYPERLINK("https://klasma.github.io/Logging_2305/knärot/A 32240-2025 karta knärot.png", "A 32240-2025")</f>
        <v/>
      </c>
      <c r="V153">
        <f>HYPERLINK("https://klasma.github.io/Logging_2305/klagomål/A 32240-2025 FSC-klagomål.docx", "A 32240-2025")</f>
        <v/>
      </c>
      <c r="W153">
        <f>HYPERLINK("https://klasma.github.io/Logging_2305/klagomålsmail/A 32240-2025 FSC-klagomål mail.docx", "A 32240-2025")</f>
        <v/>
      </c>
      <c r="X153">
        <f>HYPERLINK("https://klasma.github.io/Logging_2305/tillsyn/A 32240-2025 tillsynsbegäran.docx", "A 32240-2025")</f>
        <v/>
      </c>
      <c r="Y153">
        <f>HYPERLINK("https://klasma.github.io/Logging_2305/tillsynsmail/A 32240-2025 tillsynsbegäran mail.docx", "A 32240-2025")</f>
        <v/>
      </c>
      <c r="Z153">
        <f>HYPERLINK("https://klasma.github.io/Logging_2305/fåglar/A 32240-2025 prioriterade fågelarter.docx", "A 32240-2025")</f>
        <v/>
      </c>
    </row>
    <row r="154" ht="15" customHeight="1">
      <c r="A154" t="inlineStr">
        <is>
          <t>A 37707-2025</t>
        </is>
      </c>
      <c r="B154" s="1" t="n">
        <v>45880.59423611111</v>
      </c>
      <c r="C154" s="1" t="n">
        <v>45891</v>
      </c>
      <c r="D154" t="inlineStr">
        <is>
          <t>JÄMTLANDS LÄN</t>
        </is>
      </c>
      <c r="E154" t="inlineStr">
        <is>
          <t>BRÄCKE</t>
        </is>
      </c>
      <c r="G154" t="n">
        <v>6.6</v>
      </c>
      <c r="H154" t="n">
        <v>0</v>
      </c>
      <c r="I154" t="n">
        <v>0</v>
      </c>
      <c r="J154" t="n">
        <v>3</v>
      </c>
      <c r="K154" t="n">
        <v>0</v>
      </c>
      <c r="L154" t="n">
        <v>0</v>
      </c>
      <c r="M154" t="n">
        <v>0</v>
      </c>
      <c r="N154" t="n">
        <v>0</v>
      </c>
      <c r="O154" t="n">
        <v>3</v>
      </c>
      <c r="P154" t="n">
        <v>0</v>
      </c>
      <c r="Q154" t="n">
        <v>3</v>
      </c>
      <c r="R154" s="2" t="inlineStr">
        <is>
          <t>Dvärgbägarlav
Mörk kolflarnlav
Vedflamlav</t>
        </is>
      </c>
      <c r="S154">
        <f>HYPERLINK("https://klasma.github.io/Logging_2305/artfynd/A 37707-2025 artfynd.xlsx", "A 37707-2025")</f>
        <v/>
      </c>
      <c r="T154">
        <f>HYPERLINK("https://klasma.github.io/Logging_2305/kartor/A 37707-2025 karta.png", "A 37707-2025")</f>
        <v/>
      </c>
      <c r="V154">
        <f>HYPERLINK("https://klasma.github.io/Logging_2305/klagomål/A 37707-2025 FSC-klagomål.docx", "A 37707-2025")</f>
        <v/>
      </c>
      <c r="W154">
        <f>HYPERLINK("https://klasma.github.io/Logging_2305/klagomålsmail/A 37707-2025 FSC-klagomål mail.docx", "A 37707-2025")</f>
        <v/>
      </c>
      <c r="X154">
        <f>HYPERLINK("https://klasma.github.io/Logging_2305/tillsyn/A 37707-2025 tillsynsbegäran.docx", "A 37707-2025")</f>
        <v/>
      </c>
      <c r="Y154">
        <f>HYPERLINK("https://klasma.github.io/Logging_2305/tillsynsmail/A 37707-2025 tillsynsbegäran mail.docx", "A 37707-2025")</f>
        <v/>
      </c>
    </row>
    <row r="155" ht="15" customHeight="1">
      <c r="A155" t="inlineStr">
        <is>
          <t>A 50516-2023</t>
        </is>
      </c>
      <c r="B155" s="1" t="n">
        <v>45216</v>
      </c>
      <c r="C155" s="1" t="n">
        <v>45891</v>
      </c>
      <c r="D155" t="inlineStr">
        <is>
          <t>JÄMTLANDS LÄN</t>
        </is>
      </c>
      <c r="E155" t="inlineStr">
        <is>
          <t>BRÄCKE</t>
        </is>
      </c>
      <c r="F155" t="inlineStr">
        <is>
          <t>SCA</t>
        </is>
      </c>
      <c r="G155" t="n">
        <v>3.1</v>
      </c>
      <c r="H155" t="n">
        <v>3</v>
      </c>
      <c r="I155" t="n">
        <v>0</v>
      </c>
      <c r="J155" t="n">
        <v>2</v>
      </c>
      <c r="K155" t="n">
        <v>0</v>
      </c>
      <c r="L155" t="n">
        <v>0</v>
      </c>
      <c r="M155" t="n">
        <v>0</v>
      </c>
      <c r="N155" t="n">
        <v>0</v>
      </c>
      <c r="O155" t="n">
        <v>2</v>
      </c>
      <c r="P155" t="n">
        <v>0</v>
      </c>
      <c r="Q155" t="n">
        <v>3</v>
      </c>
      <c r="R155" s="2" t="inlineStr">
        <is>
          <t>Spillkråka
Talltita
Grönsiska</t>
        </is>
      </c>
      <c r="S155">
        <f>HYPERLINK("https://klasma.github.io/Logging_2305/artfynd/A 50516-2023 artfynd.xlsx", "A 50516-2023")</f>
        <v/>
      </c>
      <c r="T155">
        <f>HYPERLINK("https://klasma.github.io/Logging_2305/kartor/A 50516-2023 karta.png", "A 50516-2023")</f>
        <v/>
      </c>
      <c r="V155">
        <f>HYPERLINK("https://klasma.github.io/Logging_2305/klagomål/A 50516-2023 FSC-klagomål.docx", "A 50516-2023")</f>
        <v/>
      </c>
      <c r="W155">
        <f>HYPERLINK("https://klasma.github.io/Logging_2305/klagomålsmail/A 50516-2023 FSC-klagomål mail.docx", "A 50516-2023")</f>
        <v/>
      </c>
      <c r="X155">
        <f>HYPERLINK("https://klasma.github.io/Logging_2305/tillsyn/A 50516-2023 tillsynsbegäran.docx", "A 50516-2023")</f>
        <v/>
      </c>
      <c r="Y155">
        <f>HYPERLINK("https://klasma.github.io/Logging_2305/tillsynsmail/A 50516-2023 tillsynsbegäran mail.docx", "A 50516-2023")</f>
        <v/>
      </c>
      <c r="Z155">
        <f>HYPERLINK("https://klasma.github.io/Logging_2305/fåglar/A 50516-2023 prioriterade fågelarter.docx", "A 50516-2023")</f>
        <v/>
      </c>
    </row>
    <row r="156" ht="15" customHeight="1">
      <c r="A156" t="inlineStr">
        <is>
          <t>A 11002-2022</t>
        </is>
      </c>
      <c r="B156" s="1" t="n">
        <v>44628</v>
      </c>
      <c r="C156" s="1" t="n">
        <v>45891</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33678-2025</t>
        </is>
      </c>
      <c r="B157" s="1" t="n">
        <v>45841.67853009259</v>
      </c>
      <c r="C157" s="1" t="n">
        <v>45891</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34529-2025</t>
        </is>
      </c>
      <c r="B158" s="1" t="n">
        <v>45847.48991898148</v>
      </c>
      <c r="C158" s="1" t="n">
        <v>45891</v>
      </c>
      <c r="D158" t="inlineStr">
        <is>
          <t>JÄMTLANDS LÄN</t>
        </is>
      </c>
      <c r="E158" t="inlineStr">
        <is>
          <t>BRÄCKE</t>
        </is>
      </c>
      <c r="F158" t="inlineStr">
        <is>
          <t>SCA</t>
        </is>
      </c>
      <c r="G158" t="n">
        <v>2.4</v>
      </c>
      <c r="H158" t="n">
        <v>0</v>
      </c>
      <c r="I158" t="n">
        <v>1</v>
      </c>
      <c r="J158" t="n">
        <v>2</v>
      </c>
      <c r="K158" t="n">
        <v>0</v>
      </c>
      <c r="L158" t="n">
        <v>0</v>
      </c>
      <c r="M158" t="n">
        <v>0</v>
      </c>
      <c r="N158" t="n">
        <v>0</v>
      </c>
      <c r="O158" t="n">
        <v>2</v>
      </c>
      <c r="P158" t="n">
        <v>0</v>
      </c>
      <c r="Q158" t="n">
        <v>3</v>
      </c>
      <c r="R158" s="2" t="inlineStr">
        <is>
          <t>Orange taggsvamp
Tallriska
Dropptaggsvamp</t>
        </is>
      </c>
      <c r="S158">
        <f>HYPERLINK("https://klasma.github.io/Logging_2305/artfynd/A 34529-2025 artfynd.xlsx", "A 34529-2025")</f>
        <v/>
      </c>
      <c r="T158">
        <f>HYPERLINK("https://klasma.github.io/Logging_2305/kartor/A 34529-2025 karta.png", "A 34529-2025")</f>
        <v/>
      </c>
      <c r="V158">
        <f>HYPERLINK("https://klasma.github.io/Logging_2305/klagomål/A 34529-2025 FSC-klagomål.docx", "A 34529-2025")</f>
        <v/>
      </c>
      <c r="W158">
        <f>HYPERLINK("https://klasma.github.io/Logging_2305/klagomålsmail/A 34529-2025 FSC-klagomål mail.docx", "A 34529-2025")</f>
        <v/>
      </c>
      <c r="X158">
        <f>HYPERLINK("https://klasma.github.io/Logging_2305/tillsyn/A 34529-2025 tillsynsbegäran.docx", "A 34529-2025")</f>
        <v/>
      </c>
      <c r="Y158">
        <f>HYPERLINK("https://klasma.github.io/Logging_2305/tillsynsmail/A 34529-2025 tillsynsbegäran mail.docx", "A 34529-2025")</f>
        <v/>
      </c>
    </row>
    <row r="159" ht="15" customHeight="1">
      <c r="A159" t="inlineStr">
        <is>
          <t>A 30607-2022</t>
        </is>
      </c>
      <c r="B159" s="1" t="n">
        <v>44762</v>
      </c>
      <c r="C159" s="1" t="n">
        <v>45891</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45891</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45891</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45891</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45891</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45891</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19916-2025</t>
        </is>
      </c>
      <c r="B165" s="1" t="n">
        <v>45771.61515046296</v>
      </c>
      <c r="C165" s="1" t="n">
        <v>45891</v>
      </c>
      <c r="D165" t="inlineStr">
        <is>
          <t>JÄMTLANDS LÄN</t>
        </is>
      </c>
      <c r="E165" t="inlineStr">
        <is>
          <t>BRÄCKE</t>
        </is>
      </c>
      <c r="F165" t="inlineStr">
        <is>
          <t>SCA</t>
        </is>
      </c>
      <c r="G165" t="n">
        <v>7.5</v>
      </c>
      <c r="H165" t="n">
        <v>0</v>
      </c>
      <c r="I165" t="n">
        <v>0</v>
      </c>
      <c r="J165" t="n">
        <v>2</v>
      </c>
      <c r="K165" t="n">
        <v>0</v>
      </c>
      <c r="L165" t="n">
        <v>0</v>
      </c>
      <c r="M165" t="n">
        <v>0</v>
      </c>
      <c r="N165" t="n">
        <v>0</v>
      </c>
      <c r="O165" t="n">
        <v>2</v>
      </c>
      <c r="P165" t="n">
        <v>0</v>
      </c>
      <c r="Q165" t="n">
        <v>2</v>
      </c>
      <c r="R165" s="2" t="inlineStr">
        <is>
          <t>Lunglav
Skrovellav</t>
        </is>
      </c>
      <c r="S165">
        <f>HYPERLINK("https://klasma.github.io/Logging_2305/artfynd/A 19916-2025 artfynd.xlsx", "A 19916-2025")</f>
        <v/>
      </c>
      <c r="T165">
        <f>HYPERLINK("https://klasma.github.io/Logging_2305/kartor/A 19916-2025 karta.png", "A 19916-2025")</f>
        <v/>
      </c>
      <c r="U165">
        <f>HYPERLINK("https://klasma.github.io/Logging_2305/knärot/A 19916-2025 karta knärot.png", "A 19916-2025")</f>
        <v/>
      </c>
      <c r="V165">
        <f>HYPERLINK("https://klasma.github.io/Logging_2305/klagomål/A 19916-2025 FSC-klagomål.docx", "A 19916-2025")</f>
        <v/>
      </c>
      <c r="W165">
        <f>HYPERLINK("https://klasma.github.io/Logging_2305/klagomålsmail/A 19916-2025 FSC-klagomål mail.docx", "A 19916-2025")</f>
        <v/>
      </c>
      <c r="X165">
        <f>HYPERLINK("https://klasma.github.io/Logging_2305/tillsyn/A 19916-2025 tillsynsbegäran.docx", "A 19916-2025")</f>
        <v/>
      </c>
      <c r="Y165">
        <f>HYPERLINK("https://klasma.github.io/Logging_2305/tillsynsmail/A 19916-2025 tillsynsbegäran mail.docx", "A 19916-2025")</f>
        <v/>
      </c>
    </row>
    <row r="166" ht="15" customHeight="1">
      <c r="A166" t="inlineStr">
        <is>
          <t>A 47295-2023</t>
        </is>
      </c>
      <c r="B166" s="1" t="n">
        <v>45196</v>
      </c>
      <c r="C166" s="1" t="n">
        <v>45891</v>
      </c>
      <c r="D166" t="inlineStr">
        <is>
          <t>JÄMTLANDS LÄN</t>
        </is>
      </c>
      <c r="E166" t="inlineStr">
        <is>
          <t>BRÄCKE</t>
        </is>
      </c>
      <c r="F166" t="inlineStr">
        <is>
          <t>SCA</t>
        </is>
      </c>
      <c r="G166" t="n">
        <v>11.4</v>
      </c>
      <c r="H166" t="n">
        <v>1</v>
      </c>
      <c r="I166" t="n">
        <v>0</v>
      </c>
      <c r="J166" t="n">
        <v>1</v>
      </c>
      <c r="K166" t="n">
        <v>1</v>
      </c>
      <c r="L166" t="n">
        <v>0</v>
      </c>
      <c r="M166" t="n">
        <v>0</v>
      </c>
      <c r="N166" t="n">
        <v>0</v>
      </c>
      <c r="O166" t="n">
        <v>2</v>
      </c>
      <c r="P166" t="n">
        <v>1</v>
      </c>
      <c r="Q166" t="n">
        <v>2</v>
      </c>
      <c r="R166" s="2" t="inlineStr">
        <is>
          <t>Knärot
Lunglav</t>
        </is>
      </c>
      <c r="S166">
        <f>HYPERLINK("https://klasma.github.io/Logging_2305/artfynd/A 47295-2023 artfynd.xlsx", "A 47295-2023")</f>
        <v/>
      </c>
      <c r="T166">
        <f>HYPERLINK("https://klasma.github.io/Logging_2305/kartor/A 47295-2023 karta.png", "A 47295-2023")</f>
        <v/>
      </c>
      <c r="U166">
        <f>HYPERLINK("https://klasma.github.io/Logging_2305/knärot/A 47295-2023 karta knärot.png", "A 47295-2023")</f>
        <v/>
      </c>
      <c r="V166">
        <f>HYPERLINK("https://klasma.github.io/Logging_2305/klagomål/A 47295-2023 FSC-klagomål.docx", "A 47295-2023")</f>
        <v/>
      </c>
      <c r="W166">
        <f>HYPERLINK("https://klasma.github.io/Logging_2305/klagomålsmail/A 47295-2023 FSC-klagomål mail.docx", "A 47295-2023")</f>
        <v/>
      </c>
      <c r="X166">
        <f>HYPERLINK("https://klasma.github.io/Logging_2305/tillsyn/A 47295-2023 tillsynsbegäran.docx", "A 47295-2023")</f>
        <v/>
      </c>
      <c r="Y166">
        <f>HYPERLINK("https://klasma.github.io/Logging_2305/tillsynsmail/A 47295-2023 tillsynsbegäran mail.docx", "A 47295-2023")</f>
        <v/>
      </c>
    </row>
    <row r="167" ht="15" customHeight="1">
      <c r="A167" t="inlineStr">
        <is>
          <t>A 36456-2021</t>
        </is>
      </c>
      <c r="B167" s="1" t="n">
        <v>44390</v>
      </c>
      <c r="C167" s="1" t="n">
        <v>45891</v>
      </c>
      <c r="D167" t="inlineStr">
        <is>
          <t>JÄMTLANDS LÄN</t>
        </is>
      </c>
      <c r="E167" t="inlineStr">
        <is>
          <t>BRÄCKE</t>
        </is>
      </c>
      <c r="F167" t="inlineStr">
        <is>
          <t>SCA</t>
        </is>
      </c>
      <c r="G167" t="n">
        <v>2.7</v>
      </c>
      <c r="H167" t="n">
        <v>0</v>
      </c>
      <c r="I167" t="n">
        <v>0</v>
      </c>
      <c r="J167" t="n">
        <v>2</v>
      </c>
      <c r="K167" t="n">
        <v>0</v>
      </c>
      <c r="L167" t="n">
        <v>0</v>
      </c>
      <c r="M167" t="n">
        <v>0</v>
      </c>
      <c r="N167" t="n">
        <v>0</v>
      </c>
      <c r="O167" t="n">
        <v>2</v>
      </c>
      <c r="P167" t="n">
        <v>0</v>
      </c>
      <c r="Q167" t="n">
        <v>2</v>
      </c>
      <c r="R167" s="2" t="inlineStr">
        <is>
          <t>Garnlav
Kolflarnlav</t>
        </is>
      </c>
      <c r="S167">
        <f>HYPERLINK("https://klasma.github.io/Logging_2305/artfynd/A 36456-2021 artfynd.xlsx", "A 36456-2021")</f>
        <v/>
      </c>
      <c r="T167">
        <f>HYPERLINK("https://klasma.github.io/Logging_2305/kartor/A 36456-2021 karta.png", "A 36456-2021")</f>
        <v/>
      </c>
      <c r="V167">
        <f>HYPERLINK("https://klasma.github.io/Logging_2305/klagomål/A 36456-2021 FSC-klagomål.docx", "A 36456-2021")</f>
        <v/>
      </c>
      <c r="W167">
        <f>HYPERLINK("https://klasma.github.io/Logging_2305/klagomålsmail/A 36456-2021 FSC-klagomål mail.docx", "A 36456-2021")</f>
        <v/>
      </c>
      <c r="X167">
        <f>HYPERLINK("https://klasma.github.io/Logging_2305/tillsyn/A 36456-2021 tillsynsbegäran.docx", "A 36456-2021")</f>
        <v/>
      </c>
      <c r="Y167">
        <f>HYPERLINK("https://klasma.github.io/Logging_2305/tillsynsmail/A 36456-2021 tillsynsbegäran mail.docx", "A 36456-2021")</f>
        <v/>
      </c>
    </row>
    <row r="168" ht="15" customHeight="1">
      <c r="A168" t="inlineStr">
        <is>
          <t>A 49328-2023</t>
        </is>
      </c>
      <c r="B168" s="1" t="n">
        <v>45210</v>
      </c>
      <c r="C168" s="1" t="n">
        <v>45891</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12588-2024</t>
        </is>
      </c>
      <c r="B169" s="1" t="n">
        <v>45379.93667824074</v>
      </c>
      <c r="C169" s="1" t="n">
        <v>45891</v>
      </c>
      <c r="D169" t="inlineStr">
        <is>
          <t>JÄMTLANDS LÄN</t>
        </is>
      </c>
      <c r="E169" t="inlineStr">
        <is>
          <t>BRÄCKE</t>
        </is>
      </c>
      <c r="F169" t="inlineStr">
        <is>
          <t>SCA</t>
        </is>
      </c>
      <c r="G169" t="n">
        <v>5.1</v>
      </c>
      <c r="H169" t="n">
        <v>0</v>
      </c>
      <c r="I169" t="n">
        <v>0</v>
      </c>
      <c r="J169" t="n">
        <v>2</v>
      </c>
      <c r="K169" t="n">
        <v>0</v>
      </c>
      <c r="L169" t="n">
        <v>0</v>
      </c>
      <c r="M169" t="n">
        <v>0</v>
      </c>
      <c r="N169" t="n">
        <v>0</v>
      </c>
      <c r="O169" t="n">
        <v>2</v>
      </c>
      <c r="P169" t="n">
        <v>0</v>
      </c>
      <c r="Q169" t="n">
        <v>2</v>
      </c>
      <c r="R169" s="2" t="inlineStr">
        <is>
          <t>Blå taggsvamp
Ullticka</t>
        </is>
      </c>
      <c r="S169">
        <f>HYPERLINK("https://klasma.github.io/Logging_2305/artfynd/A 12588-2024 artfynd.xlsx", "A 12588-2024")</f>
        <v/>
      </c>
      <c r="T169">
        <f>HYPERLINK("https://klasma.github.io/Logging_2305/kartor/A 12588-2024 karta.png", "A 12588-2024")</f>
        <v/>
      </c>
      <c r="V169">
        <f>HYPERLINK("https://klasma.github.io/Logging_2305/klagomål/A 12588-2024 FSC-klagomål.docx", "A 12588-2024")</f>
        <v/>
      </c>
      <c r="W169">
        <f>HYPERLINK("https://klasma.github.io/Logging_2305/klagomålsmail/A 12588-2024 FSC-klagomål mail.docx", "A 12588-2024")</f>
        <v/>
      </c>
      <c r="X169">
        <f>HYPERLINK("https://klasma.github.io/Logging_2305/tillsyn/A 12588-2024 tillsynsbegäran.docx", "A 12588-2024")</f>
        <v/>
      </c>
      <c r="Y169">
        <f>HYPERLINK("https://klasma.github.io/Logging_2305/tillsynsmail/A 12588-2024 tillsynsbegäran mail.docx", "A 12588-2024")</f>
        <v/>
      </c>
    </row>
    <row r="170" ht="15" customHeight="1">
      <c r="A170" t="inlineStr">
        <is>
          <t>A 55343-2023</t>
        </is>
      </c>
      <c r="B170" s="1" t="n">
        <v>45237</v>
      </c>
      <c r="C170" s="1" t="n">
        <v>45891</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33874-2023</t>
        </is>
      </c>
      <c r="B171" s="1" t="n">
        <v>45133</v>
      </c>
      <c r="C171" s="1" t="n">
        <v>45891</v>
      </c>
      <c r="D171" t="inlineStr">
        <is>
          <t>JÄMTLANDS LÄN</t>
        </is>
      </c>
      <c r="E171" t="inlineStr">
        <is>
          <t>BRÄCKE</t>
        </is>
      </c>
      <c r="F171" t="inlineStr">
        <is>
          <t>SCA</t>
        </is>
      </c>
      <c r="G171" t="n">
        <v>5.8</v>
      </c>
      <c r="H171" t="n">
        <v>1</v>
      </c>
      <c r="I171" t="n">
        <v>0</v>
      </c>
      <c r="J171" t="n">
        <v>1</v>
      </c>
      <c r="K171" t="n">
        <v>0</v>
      </c>
      <c r="L171" t="n">
        <v>0</v>
      </c>
      <c r="M171" t="n">
        <v>0</v>
      </c>
      <c r="N171" t="n">
        <v>0</v>
      </c>
      <c r="O171" t="n">
        <v>1</v>
      </c>
      <c r="P171" t="n">
        <v>0</v>
      </c>
      <c r="Q171" t="n">
        <v>2</v>
      </c>
      <c r="R171" s="2" t="inlineStr">
        <is>
          <t>Ullticka
Kungsfågel</t>
        </is>
      </c>
      <c r="S171">
        <f>HYPERLINK("https://klasma.github.io/Logging_2305/artfynd/A 33874-2023 artfynd.xlsx", "A 33874-2023")</f>
        <v/>
      </c>
      <c r="T171">
        <f>HYPERLINK("https://klasma.github.io/Logging_2305/kartor/A 33874-2023 karta.png", "A 33874-2023")</f>
        <v/>
      </c>
      <c r="V171">
        <f>HYPERLINK("https://klasma.github.io/Logging_2305/klagomål/A 33874-2023 FSC-klagomål.docx", "A 33874-2023")</f>
        <v/>
      </c>
      <c r="W171">
        <f>HYPERLINK("https://klasma.github.io/Logging_2305/klagomålsmail/A 33874-2023 FSC-klagomål mail.docx", "A 33874-2023")</f>
        <v/>
      </c>
      <c r="X171">
        <f>HYPERLINK("https://klasma.github.io/Logging_2305/tillsyn/A 33874-2023 tillsynsbegäran.docx", "A 33874-2023")</f>
        <v/>
      </c>
      <c r="Y171">
        <f>HYPERLINK("https://klasma.github.io/Logging_2305/tillsynsmail/A 33874-2023 tillsynsbegäran mail.docx", "A 33874-2023")</f>
        <v/>
      </c>
      <c r="Z171">
        <f>HYPERLINK("https://klasma.github.io/Logging_2305/fåglar/A 33874-2023 prioriterade fågelarter.docx", "A 33874-2023")</f>
        <v/>
      </c>
    </row>
    <row r="172" ht="15" customHeight="1">
      <c r="A172" t="inlineStr">
        <is>
          <t>A 17992-2025</t>
        </is>
      </c>
      <c r="B172" s="1" t="n">
        <v>45761.40657407408</v>
      </c>
      <c r="C172" s="1" t="n">
        <v>45891</v>
      </c>
      <c r="D172" t="inlineStr">
        <is>
          <t>JÄMTLANDS LÄN</t>
        </is>
      </c>
      <c r="E172" t="inlineStr">
        <is>
          <t>BRÄCKE</t>
        </is>
      </c>
      <c r="F172" t="inlineStr">
        <is>
          <t>SCA</t>
        </is>
      </c>
      <c r="G172" t="n">
        <v>1.4</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17992-2025 artfynd.xlsx", "A 17992-2025")</f>
        <v/>
      </c>
      <c r="T172">
        <f>HYPERLINK("https://klasma.github.io/Logging_2305/kartor/A 17992-2025 karta.png", "A 17992-2025")</f>
        <v/>
      </c>
      <c r="V172">
        <f>HYPERLINK("https://klasma.github.io/Logging_2305/klagomål/A 17992-2025 FSC-klagomål.docx", "A 17992-2025")</f>
        <v/>
      </c>
      <c r="W172">
        <f>HYPERLINK("https://klasma.github.io/Logging_2305/klagomålsmail/A 17992-2025 FSC-klagomål mail.docx", "A 17992-2025")</f>
        <v/>
      </c>
      <c r="X172">
        <f>HYPERLINK("https://klasma.github.io/Logging_2305/tillsyn/A 17992-2025 tillsynsbegäran.docx", "A 17992-2025")</f>
        <v/>
      </c>
      <c r="Y172">
        <f>HYPERLINK("https://klasma.github.io/Logging_2305/tillsynsmail/A 17992-2025 tillsynsbegäran mail.docx", "A 17992-2025")</f>
        <v/>
      </c>
    </row>
    <row r="173" ht="15" customHeight="1">
      <c r="A173" t="inlineStr">
        <is>
          <t>A 59324-2021</t>
        </is>
      </c>
      <c r="B173" s="1" t="n">
        <v>44490</v>
      </c>
      <c r="C173" s="1" t="n">
        <v>45891</v>
      </c>
      <c r="D173" t="inlineStr">
        <is>
          <t>JÄMTLANDS LÄN</t>
        </is>
      </c>
      <c r="E173" t="inlineStr">
        <is>
          <t>BRÄCKE</t>
        </is>
      </c>
      <c r="F173" t="inlineStr">
        <is>
          <t>SCA</t>
        </is>
      </c>
      <c r="G173" t="n">
        <v>8.6</v>
      </c>
      <c r="H173" t="n">
        <v>0</v>
      </c>
      <c r="I173" t="n">
        <v>0</v>
      </c>
      <c r="J173" t="n">
        <v>2</v>
      </c>
      <c r="K173" t="n">
        <v>0</v>
      </c>
      <c r="L173" t="n">
        <v>0</v>
      </c>
      <c r="M173" t="n">
        <v>0</v>
      </c>
      <c r="N173" t="n">
        <v>0</v>
      </c>
      <c r="O173" t="n">
        <v>2</v>
      </c>
      <c r="P173" t="n">
        <v>0</v>
      </c>
      <c r="Q173" t="n">
        <v>2</v>
      </c>
      <c r="R173" s="2" t="inlineStr">
        <is>
          <t>Ullticka
Veckticka</t>
        </is>
      </c>
      <c r="S173">
        <f>HYPERLINK("https://klasma.github.io/Logging_2305/artfynd/A 59324-2021 artfynd.xlsx", "A 59324-2021")</f>
        <v/>
      </c>
      <c r="T173">
        <f>HYPERLINK("https://klasma.github.io/Logging_2305/kartor/A 59324-2021 karta.png", "A 59324-2021")</f>
        <v/>
      </c>
      <c r="V173">
        <f>HYPERLINK("https://klasma.github.io/Logging_2305/klagomål/A 59324-2021 FSC-klagomål.docx", "A 59324-2021")</f>
        <v/>
      </c>
      <c r="W173">
        <f>HYPERLINK("https://klasma.github.io/Logging_2305/klagomålsmail/A 59324-2021 FSC-klagomål mail.docx", "A 59324-2021")</f>
        <v/>
      </c>
      <c r="X173">
        <f>HYPERLINK("https://klasma.github.io/Logging_2305/tillsyn/A 59324-2021 tillsynsbegäran.docx", "A 59324-2021")</f>
        <v/>
      </c>
      <c r="Y173">
        <f>HYPERLINK("https://klasma.github.io/Logging_2305/tillsynsmail/A 59324-2021 tillsynsbegäran mail.docx", "A 59324-2021")</f>
        <v/>
      </c>
    </row>
    <row r="174" ht="15" customHeight="1">
      <c r="A174" t="inlineStr">
        <is>
          <t>A 17489-2025</t>
        </is>
      </c>
      <c r="B174" s="1" t="n">
        <v>45757.51074074074</v>
      </c>
      <c r="C174" s="1" t="n">
        <v>45891</v>
      </c>
      <c r="D174" t="inlineStr">
        <is>
          <t>JÄMTLANDS LÄN</t>
        </is>
      </c>
      <c r="E174" t="inlineStr">
        <is>
          <t>BRÄCKE</t>
        </is>
      </c>
      <c r="F174" t="inlineStr">
        <is>
          <t>SCA</t>
        </is>
      </c>
      <c r="G174" t="n">
        <v>4.6</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17489-2025 artfynd.xlsx", "A 17489-2025")</f>
        <v/>
      </c>
      <c r="T174">
        <f>HYPERLINK("https://klasma.github.io/Logging_2305/kartor/A 17489-2025 karta.png", "A 17489-2025")</f>
        <v/>
      </c>
      <c r="V174">
        <f>HYPERLINK("https://klasma.github.io/Logging_2305/klagomål/A 17489-2025 FSC-klagomål.docx", "A 17489-2025")</f>
        <v/>
      </c>
      <c r="W174">
        <f>HYPERLINK("https://klasma.github.io/Logging_2305/klagomålsmail/A 17489-2025 FSC-klagomål mail.docx", "A 17489-2025")</f>
        <v/>
      </c>
      <c r="X174">
        <f>HYPERLINK("https://klasma.github.io/Logging_2305/tillsyn/A 17489-2025 tillsynsbegäran.docx", "A 17489-2025")</f>
        <v/>
      </c>
      <c r="Y174">
        <f>HYPERLINK("https://klasma.github.io/Logging_2305/tillsynsmail/A 17489-2025 tillsynsbegäran mail.docx", "A 17489-2025")</f>
        <v/>
      </c>
    </row>
    <row r="175" ht="15" customHeight="1">
      <c r="A175" t="inlineStr">
        <is>
          <t>A 15146-2024</t>
        </is>
      </c>
      <c r="B175" s="1" t="n">
        <v>45399.94361111111</v>
      </c>
      <c r="C175" s="1" t="n">
        <v>45891</v>
      </c>
      <c r="D175" t="inlineStr">
        <is>
          <t>JÄMTLANDS LÄN</t>
        </is>
      </c>
      <c r="E175" t="inlineStr">
        <is>
          <t>BRÄCKE</t>
        </is>
      </c>
      <c r="F175" t="inlineStr">
        <is>
          <t>Naturvårdsverket</t>
        </is>
      </c>
      <c r="G175" t="n">
        <v>2.2</v>
      </c>
      <c r="H175" t="n">
        <v>0</v>
      </c>
      <c r="I175" t="n">
        <v>0</v>
      </c>
      <c r="J175" t="n">
        <v>2</v>
      </c>
      <c r="K175" t="n">
        <v>0</v>
      </c>
      <c r="L175" t="n">
        <v>0</v>
      </c>
      <c r="M175" t="n">
        <v>0</v>
      </c>
      <c r="N175" t="n">
        <v>0</v>
      </c>
      <c r="O175" t="n">
        <v>2</v>
      </c>
      <c r="P175" t="n">
        <v>0</v>
      </c>
      <c r="Q175" t="n">
        <v>2</v>
      </c>
      <c r="R175" s="2" t="inlineStr">
        <is>
          <t>Garnlav
Ullticka</t>
        </is>
      </c>
      <c r="S175">
        <f>HYPERLINK("https://klasma.github.io/Logging_2305/artfynd/A 15146-2024 artfynd.xlsx", "A 15146-2024")</f>
        <v/>
      </c>
      <c r="T175">
        <f>HYPERLINK("https://klasma.github.io/Logging_2305/kartor/A 15146-2024 karta.png", "A 15146-2024")</f>
        <v/>
      </c>
      <c r="V175">
        <f>HYPERLINK("https://klasma.github.io/Logging_2305/klagomål/A 15146-2024 FSC-klagomål.docx", "A 15146-2024")</f>
        <v/>
      </c>
      <c r="W175">
        <f>HYPERLINK("https://klasma.github.io/Logging_2305/klagomålsmail/A 15146-2024 FSC-klagomål mail.docx", "A 15146-2024")</f>
        <v/>
      </c>
      <c r="X175">
        <f>HYPERLINK("https://klasma.github.io/Logging_2305/tillsyn/A 15146-2024 tillsynsbegäran.docx", "A 15146-2024")</f>
        <v/>
      </c>
      <c r="Y175">
        <f>HYPERLINK("https://klasma.github.io/Logging_2305/tillsynsmail/A 15146-2024 tillsynsbegäran mail.docx", "A 15146-2024")</f>
        <v/>
      </c>
    </row>
    <row r="176" ht="15" customHeight="1">
      <c r="A176" t="inlineStr">
        <is>
          <t>A 10105-2025</t>
        </is>
      </c>
      <c r="B176" s="1" t="n">
        <v>45719.58310185185</v>
      </c>
      <c r="C176" s="1" t="n">
        <v>45891</v>
      </c>
      <c r="D176" t="inlineStr">
        <is>
          <t>JÄMTLANDS LÄN</t>
        </is>
      </c>
      <c r="E176" t="inlineStr">
        <is>
          <t>BRÄCKE</t>
        </is>
      </c>
      <c r="G176" t="n">
        <v>0.6</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10105-2025 artfynd.xlsx", "A 10105-2025")</f>
        <v/>
      </c>
      <c r="T176">
        <f>HYPERLINK("https://klasma.github.io/Logging_2305/kartor/A 10105-2025 karta.png", "A 10105-2025")</f>
        <v/>
      </c>
      <c r="V176">
        <f>HYPERLINK("https://klasma.github.io/Logging_2305/klagomål/A 10105-2025 FSC-klagomål.docx", "A 10105-2025")</f>
        <v/>
      </c>
      <c r="W176">
        <f>HYPERLINK("https://klasma.github.io/Logging_2305/klagomålsmail/A 10105-2025 FSC-klagomål mail.docx", "A 10105-2025")</f>
        <v/>
      </c>
      <c r="X176">
        <f>HYPERLINK("https://klasma.github.io/Logging_2305/tillsyn/A 10105-2025 tillsynsbegäran.docx", "A 10105-2025")</f>
        <v/>
      </c>
      <c r="Y176">
        <f>HYPERLINK("https://klasma.github.io/Logging_2305/tillsynsmail/A 10105-2025 tillsynsbegäran mail.docx", "A 10105-2025")</f>
        <v/>
      </c>
    </row>
    <row r="177" ht="15" customHeight="1">
      <c r="A177" t="inlineStr">
        <is>
          <t>A 43141-2022</t>
        </is>
      </c>
      <c r="B177" s="1" t="n">
        <v>44833</v>
      </c>
      <c r="C177" s="1" t="n">
        <v>45891</v>
      </c>
      <c r="D177" t="inlineStr">
        <is>
          <t>JÄMTLANDS LÄN</t>
        </is>
      </c>
      <c r="E177" t="inlineStr">
        <is>
          <t>BRÄCKE</t>
        </is>
      </c>
      <c r="F177" t="inlineStr">
        <is>
          <t>SCA</t>
        </is>
      </c>
      <c r="G177" t="n">
        <v>2</v>
      </c>
      <c r="H177" t="n">
        <v>1</v>
      </c>
      <c r="I177" t="n">
        <v>0</v>
      </c>
      <c r="J177" t="n">
        <v>0</v>
      </c>
      <c r="K177" t="n">
        <v>2</v>
      </c>
      <c r="L177" t="n">
        <v>0</v>
      </c>
      <c r="M177" t="n">
        <v>0</v>
      </c>
      <c r="N177" t="n">
        <v>0</v>
      </c>
      <c r="O177" t="n">
        <v>2</v>
      </c>
      <c r="P177" t="n">
        <v>2</v>
      </c>
      <c r="Q177" t="n">
        <v>2</v>
      </c>
      <c r="R177" s="2" t="inlineStr">
        <is>
          <t>Frösöstarr
Knärot</t>
        </is>
      </c>
      <c r="S177">
        <f>HYPERLINK("https://klasma.github.io/Logging_2305/artfynd/A 43141-2022 artfynd.xlsx", "A 43141-2022")</f>
        <v/>
      </c>
      <c r="T177">
        <f>HYPERLINK("https://klasma.github.io/Logging_2305/kartor/A 43141-2022 karta.png", "A 43141-2022")</f>
        <v/>
      </c>
      <c r="U177">
        <f>HYPERLINK("https://klasma.github.io/Logging_2305/knärot/A 43141-2022 karta knärot.png", "A 43141-2022")</f>
        <v/>
      </c>
      <c r="V177">
        <f>HYPERLINK("https://klasma.github.io/Logging_2305/klagomål/A 43141-2022 FSC-klagomål.docx", "A 43141-2022")</f>
        <v/>
      </c>
      <c r="W177">
        <f>HYPERLINK("https://klasma.github.io/Logging_2305/klagomålsmail/A 43141-2022 FSC-klagomål mail.docx", "A 43141-2022")</f>
        <v/>
      </c>
      <c r="X177">
        <f>HYPERLINK("https://klasma.github.io/Logging_2305/tillsyn/A 43141-2022 tillsynsbegäran.docx", "A 43141-2022")</f>
        <v/>
      </c>
      <c r="Y177">
        <f>HYPERLINK("https://klasma.github.io/Logging_2305/tillsynsmail/A 43141-2022 tillsynsbegäran mail.docx", "A 43141-2022")</f>
        <v/>
      </c>
    </row>
    <row r="178" ht="15" customHeight="1">
      <c r="A178" t="inlineStr">
        <is>
          <t>A 22382-2024</t>
        </is>
      </c>
      <c r="B178" s="1" t="n">
        <v>45446</v>
      </c>
      <c r="C178" s="1" t="n">
        <v>45891</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30988-2024</t>
        </is>
      </c>
      <c r="B179" s="1" t="n">
        <v>45499.54738425926</v>
      </c>
      <c r="C179" s="1" t="n">
        <v>45891</v>
      </c>
      <c r="D179" t="inlineStr">
        <is>
          <t>JÄMTLANDS LÄN</t>
        </is>
      </c>
      <c r="E179" t="inlineStr">
        <is>
          <t>BRÄCKE</t>
        </is>
      </c>
      <c r="F179" t="inlineStr">
        <is>
          <t>Sveaskog</t>
        </is>
      </c>
      <c r="G179" t="n">
        <v>4.8</v>
      </c>
      <c r="H179" t="n">
        <v>1</v>
      </c>
      <c r="I179" t="n">
        <v>1</v>
      </c>
      <c r="J179" t="n">
        <v>1</v>
      </c>
      <c r="K179" t="n">
        <v>0</v>
      </c>
      <c r="L179" t="n">
        <v>0</v>
      </c>
      <c r="M179" t="n">
        <v>0</v>
      </c>
      <c r="N179" t="n">
        <v>0</v>
      </c>
      <c r="O179" t="n">
        <v>1</v>
      </c>
      <c r="P179" t="n">
        <v>0</v>
      </c>
      <c r="Q179" t="n">
        <v>2</v>
      </c>
      <c r="R179" s="2" t="inlineStr">
        <is>
          <t>Lunglav
Tvåblad</t>
        </is>
      </c>
      <c r="S179">
        <f>HYPERLINK("https://klasma.github.io/Logging_2305/artfynd/A 30988-2024 artfynd.xlsx", "A 30988-2024")</f>
        <v/>
      </c>
      <c r="T179">
        <f>HYPERLINK("https://klasma.github.io/Logging_2305/kartor/A 30988-2024 karta.png", "A 30988-2024")</f>
        <v/>
      </c>
      <c r="V179">
        <f>HYPERLINK("https://klasma.github.io/Logging_2305/klagomål/A 30988-2024 FSC-klagomål.docx", "A 30988-2024")</f>
        <v/>
      </c>
      <c r="W179">
        <f>HYPERLINK("https://klasma.github.io/Logging_2305/klagomålsmail/A 30988-2024 FSC-klagomål mail.docx", "A 30988-2024")</f>
        <v/>
      </c>
      <c r="X179">
        <f>HYPERLINK("https://klasma.github.io/Logging_2305/tillsyn/A 30988-2024 tillsynsbegäran.docx", "A 30988-2024")</f>
        <v/>
      </c>
      <c r="Y179">
        <f>HYPERLINK("https://klasma.github.io/Logging_2305/tillsynsmail/A 30988-2024 tillsynsbegäran mail.docx", "A 30988-2024")</f>
        <v/>
      </c>
    </row>
    <row r="180" ht="15" customHeight="1">
      <c r="A180" t="inlineStr">
        <is>
          <t>A 40818-2024</t>
        </is>
      </c>
      <c r="B180" s="1" t="n">
        <v>45558.55251157407</v>
      </c>
      <c r="C180" s="1" t="n">
        <v>45891</v>
      </c>
      <c r="D180" t="inlineStr">
        <is>
          <t>JÄMTLANDS LÄN</t>
        </is>
      </c>
      <c r="E180" t="inlineStr">
        <is>
          <t>BRÄCKE</t>
        </is>
      </c>
      <c r="G180" t="n">
        <v>2.7</v>
      </c>
      <c r="H180" t="n">
        <v>0</v>
      </c>
      <c r="I180" t="n">
        <v>0</v>
      </c>
      <c r="J180" t="n">
        <v>2</v>
      </c>
      <c r="K180" t="n">
        <v>0</v>
      </c>
      <c r="L180" t="n">
        <v>0</v>
      </c>
      <c r="M180" t="n">
        <v>0</v>
      </c>
      <c r="N180" t="n">
        <v>0</v>
      </c>
      <c r="O180" t="n">
        <v>2</v>
      </c>
      <c r="P180" t="n">
        <v>0</v>
      </c>
      <c r="Q180" t="n">
        <v>2</v>
      </c>
      <c r="R180" s="2" t="inlineStr">
        <is>
          <t>Skrovlig taggsvamp
Svart taggsvamp</t>
        </is>
      </c>
      <c r="S180">
        <f>HYPERLINK("https://klasma.github.io/Logging_2305/artfynd/A 40818-2024 artfynd.xlsx", "A 40818-2024")</f>
        <v/>
      </c>
      <c r="T180">
        <f>HYPERLINK("https://klasma.github.io/Logging_2305/kartor/A 40818-2024 karta.png", "A 40818-2024")</f>
        <v/>
      </c>
      <c r="V180">
        <f>HYPERLINK("https://klasma.github.io/Logging_2305/klagomål/A 40818-2024 FSC-klagomål.docx", "A 40818-2024")</f>
        <v/>
      </c>
      <c r="W180">
        <f>HYPERLINK("https://klasma.github.io/Logging_2305/klagomålsmail/A 40818-2024 FSC-klagomål mail.docx", "A 40818-2024")</f>
        <v/>
      </c>
      <c r="X180">
        <f>HYPERLINK("https://klasma.github.io/Logging_2305/tillsyn/A 40818-2024 tillsynsbegäran.docx", "A 40818-2024")</f>
        <v/>
      </c>
      <c r="Y180">
        <f>HYPERLINK("https://klasma.github.io/Logging_2305/tillsynsmail/A 40818-2024 tillsynsbegäran mail.docx", "A 40818-2024")</f>
        <v/>
      </c>
    </row>
    <row r="181" ht="15" customHeight="1">
      <c r="A181" t="inlineStr">
        <is>
          <t>A 30990-2024</t>
        </is>
      </c>
      <c r="B181" s="1" t="n">
        <v>45499.54975694444</v>
      </c>
      <c r="C181" s="1" t="n">
        <v>45891</v>
      </c>
      <c r="D181" t="inlineStr">
        <is>
          <t>JÄMTLANDS LÄN</t>
        </is>
      </c>
      <c r="E181" t="inlineStr">
        <is>
          <t>BRÄCKE</t>
        </is>
      </c>
      <c r="F181" t="inlineStr">
        <is>
          <t>Sveaskog</t>
        </is>
      </c>
      <c r="G181" t="n">
        <v>4.9</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30990-2024 artfynd.xlsx", "A 30990-2024")</f>
        <v/>
      </c>
      <c r="T181">
        <f>HYPERLINK("https://klasma.github.io/Logging_2305/kartor/A 30990-2024 karta.png", "A 30990-2024")</f>
        <v/>
      </c>
      <c r="U181">
        <f>HYPERLINK("https://klasma.github.io/Logging_2305/knärot/A 30990-2024 karta knärot.png", "A 30990-2024")</f>
        <v/>
      </c>
      <c r="V181">
        <f>HYPERLINK("https://klasma.github.io/Logging_2305/klagomål/A 30990-2024 FSC-klagomål.docx", "A 30990-2024")</f>
        <v/>
      </c>
      <c r="W181">
        <f>HYPERLINK("https://klasma.github.io/Logging_2305/klagomålsmail/A 30990-2024 FSC-klagomål mail.docx", "A 30990-2024")</f>
        <v/>
      </c>
      <c r="X181">
        <f>HYPERLINK("https://klasma.github.io/Logging_2305/tillsyn/A 30990-2024 tillsynsbegäran.docx", "A 30990-2024")</f>
        <v/>
      </c>
      <c r="Y181">
        <f>HYPERLINK("https://klasma.github.io/Logging_2305/tillsynsmail/A 30990-2024 tillsynsbegäran mail.docx", "A 30990-2024")</f>
        <v/>
      </c>
    </row>
    <row r="182" ht="15" customHeight="1">
      <c r="A182" t="inlineStr">
        <is>
          <t>A 48772-2024</t>
        </is>
      </c>
      <c r="B182" s="1" t="n">
        <v>45593.61495370371</v>
      </c>
      <c r="C182" s="1" t="n">
        <v>45891</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48772-2024 artfynd.xlsx", "A 48772-2024")</f>
        <v/>
      </c>
      <c r="T182">
        <f>HYPERLINK("https://klasma.github.io/Logging_2305/kartor/A 48772-2024 karta.png", "A 48772-2024")</f>
        <v/>
      </c>
      <c r="V182">
        <f>HYPERLINK("https://klasma.github.io/Logging_2305/klagomål/A 48772-2024 FSC-klagomål.docx", "A 48772-2024")</f>
        <v/>
      </c>
      <c r="W182">
        <f>HYPERLINK("https://klasma.github.io/Logging_2305/klagomålsmail/A 48772-2024 FSC-klagomål mail.docx", "A 48772-2024")</f>
        <v/>
      </c>
      <c r="X182">
        <f>HYPERLINK("https://klasma.github.io/Logging_2305/tillsyn/A 48772-2024 tillsynsbegäran.docx", "A 48772-2024")</f>
        <v/>
      </c>
      <c r="Y182">
        <f>HYPERLINK("https://klasma.github.io/Logging_2305/tillsynsmail/A 48772-2024 tillsynsbegäran mail.docx", "A 48772-2024")</f>
        <v/>
      </c>
    </row>
    <row r="183" ht="15" customHeight="1">
      <c r="A183" t="inlineStr">
        <is>
          <t>A 21408-2025</t>
        </is>
      </c>
      <c r="B183" s="1" t="n">
        <v>45782.4906712963</v>
      </c>
      <c r="C183" s="1" t="n">
        <v>45891</v>
      </c>
      <c r="D183" t="inlineStr">
        <is>
          <t>JÄMTLANDS LÄN</t>
        </is>
      </c>
      <c r="E183" t="inlineStr">
        <is>
          <t>BRÄCKE</t>
        </is>
      </c>
      <c r="F183" t="inlineStr">
        <is>
          <t>SCA</t>
        </is>
      </c>
      <c r="G183" t="n">
        <v>1.2</v>
      </c>
      <c r="H183" t="n">
        <v>1</v>
      </c>
      <c r="I183" t="n">
        <v>1</v>
      </c>
      <c r="J183" t="n">
        <v>0</v>
      </c>
      <c r="K183" t="n">
        <v>0</v>
      </c>
      <c r="L183" t="n">
        <v>0</v>
      </c>
      <c r="M183" t="n">
        <v>0</v>
      </c>
      <c r="N183" t="n">
        <v>0</v>
      </c>
      <c r="O183" t="n">
        <v>0</v>
      </c>
      <c r="P183" t="n">
        <v>0</v>
      </c>
      <c r="Q183" t="n">
        <v>2</v>
      </c>
      <c r="R183" s="2" t="inlineStr">
        <is>
          <t>Underviol
Blåsippa</t>
        </is>
      </c>
      <c r="S183">
        <f>HYPERLINK("https://klasma.github.io/Logging_2305/artfynd/A 21408-2025 artfynd.xlsx", "A 21408-2025")</f>
        <v/>
      </c>
      <c r="T183">
        <f>HYPERLINK("https://klasma.github.io/Logging_2305/kartor/A 21408-2025 karta.png", "A 21408-2025")</f>
        <v/>
      </c>
      <c r="V183">
        <f>HYPERLINK("https://klasma.github.io/Logging_2305/klagomål/A 21408-2025 FSC-klagomål.docx", "A 21408-2025")</f>
        <v/>
      </c>
      <c r="W183">
        <f>HYPERLINK("https://klasma.github.io/Logging_2305/klagomålsmail/A 21408-2025 FSC-klagomål mail.docx", "A 21408-2025")</f>
        <v/>
      </c>
      <c r="X183">
        <f>HYPERLINK("https://klasma.github.io/Logging_2305/tillsyn/A 21408-2025 tillsynsbegäran.docx", "A 21408-2025")</f>
        <v/>
      </c>
      <c r="Y183">
        <f>HYPERLINK("https://klasma.github.io/Logging_2305/tillsynsmail/A 21408-2025 tillsynsbegäran mail.docx", "A 21408-2025")</f>
        <v/>
      </c>
    </row>
    <row r="184" ht="15" customHeight="1">
      <c r="A184" t="inlineStr">
        <is>
          <t>A 10856-2025</t>
        </is>
      </c>
      <c r="B184" s="1" t="n">
        <v>45722.59428240741</v>
      </c>
      <c r="C184" s="1" t="n">
        <v>45891</v>
      </c>
      <c r="D184" t="inlineStr">
        <is>
          <t>JÄMTLANDS LÄN</t>
        </is>
      </c>
      <c r="E184" t="inlineStr">
        <is>
          <t>BRÄCKE</t>
        </is>
      </c>
      <c r="F184" t="inlineStr">
        <is>
          <t>SCA</t>
        </is>
      </c>
      <c r="G184" t="n">
        <v>8.300000000000001</v>
      </c>
      <c r="H184" t="n">
        <v>2</v>
      </c>
      <c r="I184" t="n">
        <v>0</v>
      </c>
      <c r="J184" t="n">
        <v>1</v>
      </c>
      <c r="K184" t="n">
        <v>0</v>
      </c>
      <c r="L184" t="n">
        <v>0</v>
      </c>
      <c r="M184" t="n">
        <v>0</v>
      </c>
      <c r="N184" t="n">
        <v>0</v>
      </c>
      <c r="O184" t="n">
        <v>1</v>
      </c>
      <c r="P184" t="n">
        <v>0</v>
      </c>
      <c r="Q184" t="n">
        <v>2</v>
      </c>
      <c r="R184" s="2" t="inlineStr">
        <is>
          <t>Rödvingetrast
Kungsfågel</t>
        </is>
      </c>
      <c r="S184">
        <f>HYPERLINK("https://klasma.github.io/Logging_2305/artfynd/A 10856-2025 artfynd.xlsx", "A 10856-2025")</f>
        <v/>
      </c>
      <c r="T184">
        <f>HYPERLINK("https://klasma.github.io/Logging_2305/kartor/A 10856-2025 karta.png", "A 10856-2025")</f>
        <v/>
      </c>
      <c r="V184">
        <f>HYPERLINK("https://klasma.github.io/Logging_2305/klagomål/A 10856-2025 FSC-klagomål.docx", "A 10856-2025")</f>
        <v/>
      </c>
      <c r="W184">
        <f>HYPERLINK("https://klasma.github.io/Logging_2305/klagomålsmail/A 10856-2025 FSC-klagomål mail.docx", "A 10856-2025")</f>
        <v/>
      </c>
      <c r="X184">
        <f>HYPERLINK("https://klasma.github.io/Logging_2305/tillsyn/A 10856-2025 tillsynsbegäran.docx", "A 10856-2025")</f>
        <v/>
      </c>
      <c r="Y184">
        <f>HYPERLINK("https://klasma.github.io/Logging_2305/tillsynsmail/A 10856-2025 tillsynsbegäran mail.docx", "A 10856-2025")</f>
        <v/>
      </c>
      <c r="Z184">
        <f>HYPERLINK("https://klasma.github.io/Logging_2305/fåglar/A 10856-2025 prioriterade fågelarter.docx", "A 10856-2025")</f>
        <v/>
      </c>
    </row>
    <row r="185" ht="15" customHeight="1">
      <c r="A185" t="inlineStr">
        <is>
          <t>A 5858-2025</t>
        </is>
      </c>
      <c r="B185" s="1" t="n">
        <v>45695.34447916667</v>
      </c>
      <c r="C185" s="1" t="n">
        <v>45891</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22706-2025</t>
        </is>
      </c>
      <c r="B186" s="1" t="n">
        <v>45789.55290509259</v>
      </c>
      <c r="C186" s="1" t="n">
        <v>45891</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Kolflarnlav
Stiftgelélav</t>
        </is>
      </c>
      <c r="S186">
        <f>HYPERLINK("https://klasma.github.io/Logging_2305/artfynd/A 22706-2025 artfynd.xlsx", "A 22706-2025")</f>
        <v/>
      </c>
      <c r="T186">
        <f>HYPERLINK("https://klasma.github.io/Logging_2305/kartor/A 22706-2025 karta.png", "A 22706-2025")</f>
        <v/>
      </c>
      <c r="V186">
        <f>HYPERLINK("https://klasma.github.io/Logging_2305/klagomål/A 22706-2025 FSC-klagomål.docx", "A 22706-2025")</f>
        <v/>
      </c>
      <c r="W186">
        <f>HYPERLINK("https://klasma.github.io/Logging_2305/klagomålsmail/A 22706-2025 FSC-klagomål mail.docx", "A 22706-2025")</f>
        <v/>
      </c>
      <c r="X186">
        <f>HYPERLINK("https://klasma.github.io/Logging_2305/tillsyn/A 22706-2025 tillsynsbegäran.docx", "A 22706-2025")</f>
        <v/>
      </c>
      <c r="Y186">
        <f>HYPERLINK("https://klasma.github.io/Logging_2305/tillsynsmail/A 22706-2025 tillsynsbegäran mail.docx", "A 22706-2025")</f>
        <v/>
      </c>
    </row>
    <row r="187" ht="15" customHeight="1">
      <c r="A187" t="inlineStr">
        <is>
          <t>A 6903-2024</t>
        </is>
      </c>
      <c r="B187" s="1" t="n">
        <v>45342</v>
      </c>
      <c r="C187" s="1" t="n">
        <v>45891</v>
      </c>
      <c r="D187" t="inlineStr">
        <is>
          <t>JÄMTLANDS LÄN</t>
        </is>
      </c>
      <c r="E187" t="inlineStr">
        <is>
          <t>BRÄCKE</t>
        </is>
      </c>
      <c r="F187" t="inlineStr">
        <is>
          <t>SCA</t>
        </is>
      </c>
      <c r="G187" t="n">
        <v>5.9</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6903-2024 artfynd.xlsx", "A 6903-2024")</f>
        <v/>
      </c>
      <c r="T187">
        <f>HYPERLINK("https://klasma.github.io/Logging_2305/kartor/A 6903-2024 karta.png", "A 6903-2024")</f>
        <v/>
      </c>
      <c r="U187">
        <f>HYPERLINK("https://klasma.github.io/Logging_2305/knärot/A 6903-2024 karta knärot.png", "A 6903-2024")</f>
        <v/>
      </c>
      <c r="V187">
        <f>HYPERLINK("https://klasma.github.io/Logging_2305/klagomål/A 6903-2024 FSC-klagomål.docx", "A 6903-2024")</f>
        <v/>
      </c>
      <c r="W187">
        <f>HYPERLINK("https://klasma.github.io/Logging_2305/klagomålsmail/A 6903-2024 FSC-klagomål mail.docx", "A 6903-2024")</f>
        <v/>
      </c>
      <c r="X187">
        <f>HYPERLINK("https://klasma.github.io/Logging_2305/tillsyn/A 6903-2024 tillsynsbegäran.docx", "A 6903-2024")</f>
        <v/>
      </c>
      <c r="Y187">
        <f>HYPERLINK("https://klasma.github.io/Logging_2305/tillsynsmail/A 6903-2024 tillsynsbegäran mail.docx", "A 6903-2024")</f>
        <v/>
      </c>
    </row>
    <row r="188" ht="15" customHeight="1">
      <c r="A188" t="inlineStr">
        <is>
          <t>A 6906-2024</t>
        </is>
      </c>
      <c r="B188" s="1" t="n">
        <v>45342</v>
      </c>
      <c r="C188" s="1" t="n">
        <v>45891</v>
      </c>
      <c r="D188" t="inlineStr">
        <is>
          <t>JÄMTLANDS LÄN</t>
        </is>
      </c>
      <c r="E188" t="inlineStr">
        <is>
          <t>BRÄCKE</t>
        </is>
      </c>
      <c r="F188" t="inlineStr">
        <is>
          <t>SCA</t>
        </is>
      </c>
      <c r="G188" t="n">
        <v>4.1</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6906-2024 artfynd.xlsx", "A 6906-2024")</f>
        <v/>
      </c>
      <c r="T188">
        <f>HYPERLINK("https://klasma.github.io/Logging_2305/kartor/A 6906-2024 karta.png", "A 6906-2024")</f>
        <v/>
      </c>
      <c r="U188">
        <f>HYPERLINK("https://klasma.github.io/Logging_2305/knärot/A 6906-2024 karta knärot.png", "A 6906-2024")</f>
        <v/>
      </c>
      <c r="V188">
        <f>HYPERLINK("https://klasma.github.io/Logging_2305/klagomål/A 6906-2024 FSC-klagomål.docx", "A 6906-2024")</f>
        <v/>
      </c>
      <c r="W188">
        <f>HYPERLINK("https://klasma.github.io/Logging_2305/klagomålsmail/A 6906-2024 FSC-klagomål mail.docx", "A 6906-2024")</f>
        <v/>
      </c>
      <c r="X188">
        <f>HYPERLINK("https://klasma.github.io/Logging_2305/tillsyn/A 6906-2024 tillsynsbegäran.docx", "A 6906-2024")</f>
        <v/>
      </c>
      <c r="Y188">
        <f>HYPERLINK("https://klasma.github.io/Logging_2305/tillsynsmail/A 6906-2024 tillsynsbegäran mail.docx", "A 6906-2024")</f>
        <v/>
      </c>
    </row>
    <row r="189" ht="15" customHeight="1">
      <c r="A189" t="inlineStr">
        <is>
          <t>A 40401-2023</t>
        </is>
      </c>
      <c r="B189" s="1" t="n">
        <v>45169</v>
      </c>
      <c r="C189" s="1" t="n">
        <v>45891</v>
      </c>
      <c r="D189" t="inlineStr">
        <is>
          <t>JÄMTLANDS LÄN</t>
        </is>
      </c>
      <c r="E189" t="inlineStr">
        <is>
          <t>BRÄCKE</t>
        </is>
      </c>
      <c r="F189" t="inlineStr">
        <is>
          <t>SCA</t>
        </is>
      </c>
      <c r="G189" t="n">
        <v>2</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40401-2023 artfynd.xlsx", "A 40401-2023")</f>
        <v/>
      </c>
      <c r="T189">
        <f>HYPERLINK("https://klasma.github.io/Logging_2305/kartor/A 40401-2023 karta.png", "A 40401-2023")</f>
        <v/>
      </c>
      <c r="V189">
        <f>HYPERLINK("https://klasma.github.io/Logging_2305/klagomål/A 40401-2023 FSC-klagomål.docx", "A 40401-2023")</f>
        <v/>
      </c>
      <c r="W189">
        <f>HYPERLINK("https://klasma.github.io/Logging_2305/klagomålsmail/A 40401-2023 FSC-klagomål mail.docx", "A 40401-2023")</f>
        <v/>
      </c>
      <c r="X189">
        <f>HYPERLINK("https://klasma.github.io/Logging_2305/tillsyn/A 40401-2023 tillsynsbegäran.docx", "A 40401-2023")</f>
        <v/>
      </c>
      <c r="Y189">
        <f>HYPERLINK("https://klasma.github.io/Logging_2305/tillsynsmail/A 40401-2023 tillsynsbegäran mail.docx", "A 40401-2023")</f>
        <v/>
      </c>
    </row>
    <row r="190" ht="15" customHeight="1">
      <c r="A190" t="inlineStr">
        <is>
          <t>A 50497-2023</t>
        </is>
      </c>
      <c r="B190" s="1" t="n">
        <v>45216</v>
      </c>
      <c r="C190" s="1" t="n">
        <v>45891</v>
      </c>
      <c r="D190" t="inlineStr">
        <is>
          <t>JÄMTLANDS LÄN</t>
        </is>
      </c>
      <c r="E190" t="inlineStr">
        <is>
          <t>BRÄCKE</t>
        </is>
      </c>
      <c r="F190" t="inlineStr">
        <is>
          <t>SCA</t>
        </is>
      </c>
      <c r="G190" t="n">
        <v>2.5</v>
      </c>
      <c r="H190" t="n">
        <v>1</v>
      </c>
      <c r="I190" t="n">
        <v>1</v>
      </c>
      <c r="J190" t="n">
        <v>0</v>
      </c>
      <c r="K190" t="n">
        <v>1</v>
      </c>
      <c r="L190" t="n">
        <v>0</v>
      </c>
      <c r="M190" t="n">
        <v>0</v>
      </c>
      <c r="N190" t="n">
        <v>0</v>
      </c>
      <c r="O190" t="n">
        <v>1</v>
      </c>
      <c r="P190" t="n">
        <v>1</v>
      </c>
      <c r="Q190" t="n">
        <v>2</v>
      </c>
      <c r="R190" s="2" t="inlineStr">
        <is>
          <t>Knärot
Skuggblåslav</t>
        </is>
      </c>
      <c r="S190">
        <f>HYPERLINK("https://klasma.github.io/Logging_2305/artfynd/A 50497-2023 artfynd.xlsx", "A 50497-2023")</f>
        <v/>
      </c>
      <c r="T190">
        <f>HYPERLINK("https://klasma.github.io/Logging_2305/kartor/A 50497-2023 karta.png", "A 50497-2023")</f>
        <v/>
      </c>
      <c r="U190">
        <f>HYPERLINK("https://klasma.github.io/Logging_2305/knärot/A 50497-2023 karta knärot.png", "A 50497-2023")</f>
        <v/>
      </c>
      <c r="V190">
        <f>HYPERLINK("https://klasma.github.io/Logging_2305/klagomål/A 50497-2023 FSC-klagomål.docx", "A 50497-2023")</f>
        <v/>
      </c>
      <c r="W190">
        <f>HYPERLINK("https://klasma.github.io/Logging_2305/klagomålsmail/A 50497-2023 FSC-klagomål mail.docx", "A 50497-2023")</f>
        <v/>
      </c>
      <c r="X190">
        <f>HYPERLINK("https://klasma.github.io/Logging_2305/tillsyn/A 50497-2023 tillsynsbegäran.docx", "A 50497-2023")</f>
        <v/>
      </c>
      <c r="Y190">
        <f>HYPERLINK("https://klasma.github.io/Logging_2305/tillsynsmail/A 50497-2023 tillsynsbegäran mail.docx", "A 50497-2023")</f>
        <v/>
      </c>
    </row>
    <row r="191" ht="15" customHeight="1">
      <c r="A191" t="inlineStr">
        <is>
          <t>A 48780-2023</t>
        </is>
      </c>
      <c r="B191" s="1" t="n">
        <v>45208</v>
      </c>
      <c r="C191" s="1" t="n">
        <v>45891</v>
      </c>
      <c r="D191" t="inlineStr">
        <is>
          <t>JÄMTLANDS LÄN</t>
        </is>
      </c>
      <c r="E191" t="inlineStr">
        <is>
          <t>BRÄCKE</t>
        </is>
      </c>
      <c r="F191" t="inlineStr">
        <is>
          <t>Naturvårdsverket</t>
        </is>
      </c>
      <c r="G191" t="n">
        <v>11.2</v>
      </c>
      <c r="H191" t="n">
        <v>0</v>
      </c>
      <c r="I191" t="n">
        <v>1</v>
      </c>
      <c r="J191" t="n">
        <v>1</v>
      </c>
      <c r="K191" t="n">
        <v>0</v>
      </c>
      <c r="L191" t="n">
        <v>0</v>
      </c>
      <c r="M191" t="n">
        <v>0</v>
      </c>
      <c r="N191" t="n">
        <v>0</v>
      </c>
      <c r="O191" t="n">
        <v>1</v>
      </c>
      <c r="P191" t="n">
        <v>0</v>
      </c>
      <c r="Q191" t="n">
        <v>2</v>
      </c>
      <c r="R191" s="2" t="inlineStr">
        <is>
          <t>Lunglav
Dropptaggsvamp</t>
        </is>
      </c>
      <c r="S191">
        <f>HYPERLINK("https://klasma.github.io/Logging_2305/artfynd/A 48780-2023 artfynd.xlsx", "A 48780-2023")</f>
        <v/>
      </c>
      <c r="T191">
        <f>HYPERLINK("https://klasma.github.io/Logging_2305/kartor/A 48780-2023 karta.png", "A 48780-2023")</f>
        <v/>
      </c>
      <c r="V191">
        <f>HYPERLINK("https://klasma.github.io/Logging_2305/klagomål/A 48780-2023 FSC-klagomål.docx", "A 48780-2023")</f>
        <v/>
      </c>
      <c r="W191">
        <f>HYPERLINK("https://klasma.github.io/Logging_2305/klagomålsmail/A 48780-2023 FSC-klagomål mail.docx", "A 48780-2023")</f>
        <v/>
      </c>
      <c r="X191">
        <f>HYPERLINK("https://klasma.github.io/Logging_2305/tillsyn/A 48780-2023 tillsynsbegäran.docx", "A 48780-2023")</f>
        <v/>
      </c>
      <c r="Y191">
        <f>HYPERLINK("https://klasma.github.io/Logging_2305/tillsynsmail/A 48780-2023 tillsynsbegäran mail.docx", "A 48780-2023")</f>
        <v/>
      </c>
    </row>
    <row r="192" ht="15" customHeight="1">
      <c r="A192" t="inlineStr">
        <is>
          <t>A 24747-2025</t>
        </is>
      </c>
      <c r="B192" s="1" t="n">
        <v>45799.34675925926</v>
      </c>
      <c r="C192" s="1" t="n">
        <v>45891</v>
      </c>
      <c r="D192" t="inlineStr">
        <is>
          <t>JÄMTLANDS LÄN</t>
        </is>
      </c>
      <c r="E192" t="inlineStr">
        <is>
          <t>BRÄCKE</t>
        </is>
      </c>
      <c r="F192" t="inlineStr">
        <is>
          <t>SCA</t>
        </is>
      </c>
      <c r="G192" t="n">
        <v>6.9</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24747-2025 artfynd.xlsx", "A 24747-2025")</f>
        <v/>
      </c>
      <c r="T192">
        <f>HYPERLINK("https://klasma.github.io/Logging_2305/kartor/A 24747-2025 karta.png", "A 24747-2025")</f>
        <v/>
      </c>
      <c r="V192">
        <f>HYPERLINK("https://klasma.github.io/Logging_2305/klagomål/A 24747-2025 FSC-klagomål.docx", "A 24747-2025")</f>
        <v/>
      </c>
      <c r="W192">
        <f>HYPERLINK("https://klasma.github.io/Logging_2305/klagomålsmail/A 24747-2025 FSC-klagomål mail.docx", "A 24747-2025")</f>
        <v/>
      </c>
      <c r="X192">
        <f>HYPERLINK("https://klasma.github.io/Logging_2305/tillsyn/A 24747-2025 tillsynsbegäran.docx", "A 24747-2025")</f>
        <v/>
      </c>
      <c r="Y192">
        <f>HYPERLINK("https://klasma.github.io/Logging_2305/tillsynsmail/A 24747-2025 tillsynsbegäran mail.docx", "A 24747-2025")</f>
        <v/>
      </c>
    </row>
    <row r="193" ht="15" customHeight="1">
      <c r="A193" t="inlineStr">
        <is>
          <t>A 26178-2025</t>
        </is>
      </c>
      <c r="B193" s="1" t="n">
        <v>45805.46917824074</v>
      </c>
      <c r="C193" s="1" t="n">
        <v>45891</v>
      </c>
      <c r="D193" t="inlineStr">
        <is>
          <t>JÄMTLANDS LÄN</t>
        </is>
      </c>
      <c r="E193" t="inlineStr">
        <is>
          <t>BRÄCKE</t>
        </is>
      </c>
      <c r="G193" t="n">
        <v>6.9</v>
      </c>
      <c r="H193" t="n">
        <v>1</v>
      </c>
      <c r="I193" t="n">
        <v>1</v>
      </c>
      <c r="J193" t="n">
        <v>0</v>
      </c>
      <c r="K193" t="n">
        <v>0</v>
      </c>
      <c r="L193" t="n">
        <v>0</v>
      </c>
      <c r="M193" t="n">
        <v>0</v>
      </c>
      <c r="N193" t="n">
        <v>0</v>
      </c>
      <c r="O193" t="n">
        <v>0</v>
      </c>
      <c r="P193" t="n">
        <v>0</v>
      </c>
      <c r="Q193" t="n">
        <v>2</v>
      </c>
      <c r="R193" s="2" t="inlineStr">
        <is>
          <t>Vårärt
Blåsippa</t>
        </is>
      </c>
      <c r="S193">
        <f>HYPERLINK("https://klasma.github.io/Logging_2305/artfynd/A 26178-2025 artfynd.xlsx", "A 26178-2025")</f>
        <v/>
      </c>
      <c r="T193">
        <f>HYPERLINK("https://klasma.github.io/Logging_2305/kartor/A 26178-2025 karta.png", "A 26178-2025")</f>
        <v/>
      </c>
      <c r="V193">
        <f>HYPERLINK("https://klasma.github.io/Logging_2305/klagomål/A 26178-2025 FSC-klagomål.docx", "A 26178-2025")</f>
        <v/>
      </c>
      <c r="W193">
        <f>HYPERLINK("https://klasma.github.io/Logging_2305/klagomålsmail/A 26178-2025 FSC-klagomål mail.docx", "A 26178-2025")</f>
        <v/>
      </c>
      <c r="X193">
        <f>HYPERLINK("https://klasma.github.io/Logging_2305/tillsyn/A 26178-2025 tillsynsbegäran.docx", "A 26178-2025")</f>
        <v/>
      </c>
      <c r="Y193">
        <f>HYPERLINK("https://klasma.github.io/Logging_2305/tillsynsmail/A 26178-2025 tillsynsbegäran mail.docx", "A 26178-2025")</f>
        <v/>
      </c>
    </row>
    <row r="194" ht="15" customHeight="1">
      <c r="A194" t="inlineStr">
        <is>
          <t>A 51822-2023</t>
        </is>
      </c>
      <c r="B194" s="1" t="n">
        <v>45222</v>
      </c>
      <c r="C194" s="1" t="n">
        <v>45891</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Harticka
Ullticka</t>
        </is>
      </c>
      <c r="S194">
        <f>HYPERLINK("https://klasma.github.io/Logging_2305/artfynd/A 51822-2023 artfynd.xlsx", "A 51822-2023")</f>
        <v/>
      </c>
      <c r="T194">
        <f>HYPERLINK("https://klasma.github.io/Logging_2305/kartor/A 51822-2023 karta.png", "A 51822-2023")</f>
        <v/>
      </c>
      <c r="V194">
        <f>HYPERLINK("https://klasma.github.io/Logging_2305/klagomål/A 51822-2023 FSC-klagomål.docx", "A 51822-2023")</f>
        <v/>
      </c>
      <c r="W194">
        <f>HYPERLINK("https://klasma.github.io/Logging_2305/klagomålsmail/A 51822-2023 FSC-klagomål mail.docx", "A 51822-2023")</f>
        <v/>
      </c>
      <c r="X194">
        <f>HYPERLINK("https://klasma.github.io/Logging_2305/tillsyn/A 51822-2023 tillsynsbegäran.docx", "A 51822-2023")</f>
        <v/>
      </c>
      <c r="Y194">
        <f>HYPERLINK("https://klasma.github.io/Logging_2305/tillsynsmail/A 51822-2023 tillsynsbegäran mail.docx", "A 51822-2023")</f>
        <v/>
      </c>
    </row>
    <row r="195" ht="15" customHeight="1">
      <c r="A195" t="inlineStr">
        <is>
          <t>A 26090-2025</t>
        </is>
      </c>
      <c r="B195" s="1" t="n">
        <v>45805.34521990741</v>
      </c>
      <c r="C195" s="1" t="n">
        <v>45891</v>
      </c>
      <c r="D195" t="inlineStr">
        <is>
          <t>JÄMTLANDS LÄN</t>
        </is>
      </c>
      <c r="E195" t="inlineStr">
        <is>
          <t>BRÄCKE</t>
        </is>
      </c>
      <c r="F195" t="inlineStr">
        <is>
          <t>SCA</t>
        </is>
      </c>
      <c r="G195" t="n">
        <v>6.6</v>
      </c>
      <c r="H195" t="n">
        <v>1</v>
      </c>
      <c r="I195" t="n">
        <v>0</v>
      </c>
      <c r="J195" t="n">
        <v>2</v>
      </c>
      <c r="K195" t="n">
        <v>0</v>
      </c>
      <c r="L195" t="n">
        <v>0</v>
      </c>
      <c r="M195" t="n">
        <v>0</v>
      </c>
      <c r="N195" t="n">
        <v>0</v>
      </c>
      <c r="O195" t="n">
        <v>2</v>
      </c>
      <c r="P195" t="n">
        <v>0</v>
      </c>
      <c r="Q195" t="n">
        <v>2</v>
      </c>
      <c r="R195" s="2" t="inlineStr">
        <is>
          <t>Lunglav
Talltita</t>
        </is>
      </c>
      <c r="S195">
        <f>HYPERLINK("https://klasma.github.io/Logging_2305/artfynd/A 26090-2025 artfynd.xlsx", "A 26090-2025")</f>
        <v/>
      </c>
      <c r="T195">
        <f>HYPERLINK("https://klasma.github.io/Logging_2305/kartor/A 26090-2025 karta.png", "A 26090-2025")</f>
        <v/>
      </c>
      <c r="V195">
        <f>HYPERLINK("https://klasma.github.io/Logging_2305/klagomål/A 26090-2025 FSC-klagomål.docx", "A 26090-2025")</f>
        <v/>
      </c>
      <c r="W195">
        <f>HYPERLINK("https://klasma.github.io/Logging_2305/klagomålsmail/A 26090-2025 FSC-klagomål mail.docx", "A 26090-2025")</f>
        <v/>
      </c>
      <c r="X195">
        <f>HYPERLINK("https://klasma.github.io/Logging_2305/tillsyn/A 26090-2025 tillsynsbegäran.docx", "A 26090-2025")</f>
        <v/>
      </c>
      <c r="Y195">
        <f>HYPERLINK("https://klasma.github.io/Logging_2305/tillsynsmail/A 26090-2025 tillsynsbegäran mail.docx", "A 26090-2025")</f>
        <v/>
      </c>
      <c r="Z195">
        <f>HYPERLINK("https://klasma.github.io/Logging_2305/fåglar/A 26090-2025 prioriterade fågelarter.docx", "A 26090-2025")</f>
        <v/>
      </c>
    </row>
    <row r="196" ht="15" customHeight="1">
      <c r="A196" t="inlineStr">
        <is>
          <t>A 35117-2025</t>
        </is>
      </c>
      <c r="B196" s="1" t="n">
        <v>45852.59416666667</v>
      </c>
      <c r="C196" s="1" t="n">
        <v>45891</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54051-2023</t>
        </is>
      </c>
      <c r="B197" s="1" t="n">
        <v>45231</v>
      </c>
      <c r="C197" s="1" t="n">
        <v>45891</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35209-2025</t>
        </is>
      </c>
      <c r="B198" s="1" t="n">
        <v>45853.44827546296</v>
      </c>
      <c r="C198" s="1" t="n">
        <v>45891</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35209-2025 artfynd.xlsx", "A 35209-2025")</f>
        <v/>
      </c>
      <c r="T198">
        <f>HYPERLINK("https://klasma.github.io/Logging_2305/kartor/A 35209-2025 karta.png", "A 35209-2025")</f>
        <v/>
      </c>
      <c r="V198">
        <f>HYPERLINK("https://klasma.github.io/Logging_2305/klagomål/A 35209-2025 FSC-klagomål.docx", "A 35209-2025")</f>
        <v/>
      </c>
      <c r="W198">
        <f>HYPERLINK("https://klasma.github.io/Logging_2305/klagomålsmail/A 35209-2025 FSC-klagomål mail.docx", "A 35209-2025")</f>
        <v/>
      </c>
      <c r="X198">
        <f>HYPERLINK("https://klasma.github.io/Logging_2305/tillsyn/A 35209-2025 tillsynsbegäran.docx", "A 35209-2025")</f>
        <v/>
      </c>
      <c r="Y198">
        <f>HYPERLINK("https://klasma.github.io/Logging_2305/tillsynsmail/A 35209-2025 tillsynsbegäran mail.docx", "A 35209-2025")</f>
        <v/>
      </c>
    </row>
    <row r="199" ht="15" customHeight="1">
      <c r="A199" t="inlineStr">
        <is>
          <t>A 27062-2025</t>
        </is>
      </c>
      <c r="B199" s="1" t="n">
        <v>45811.63614583333</v>
      </c>
      <c r="C199" s="1" t="n">
        <v>45891</v>
      </c>
      <c r="D199" t="inlineStr">
        <is>
          <t>JÄMTLANDS LÄN</t>
        </is>
      </c>
      <c r="E199" t="inlineStr">
        <is>
          <t>BRÄCKE</t>
        </is>
      </c>
      <c r="F199" t="inlineStr">
        <is>
          <t>SCA</t>
        </is>
      </c>
      <c r="G199" t="n">
        <v>19.8</v>
      </c>
      <c r="H199" t="n">
        <v>0</v>
      </c>
      <c r="I199" t="n">
        <v>2</v>
      </c>
      <c r="J199" t="n">
        <v>0</v>
      </c>
      <c r="K199" t="n">
        <v>0</v>
      </c>
      <c r="L199" t="n">
        <v>0</v>
      </c>
      <c r="M199" t="n">
        <v>0</v>
      </c>
      <c r="N199" t="n">
        <v>0</v>
      </c>
      <c r="O199" t="n">
        <v>0</v>
      </c>
      <c r="P199" t="n">
        <v>0</v>
      </c>
      <c r="Q199" t="n">
        <v>2</v>
      </c>
      <c r="R199" s="2" t="inlineStr">
        <is>
          <t>Dropptaggsvamp
Skinnlav</t>
        </is>
      </c>
      <c r="S199">
        <f>HYPERLINK("https://klasma.github.io/Logging_2305/artfynd/A 27062-2025 artfynd.xlsx", "A 27062-2025")</f>
        <v/>
      </c>
      <c r="T199">
        <f>HYPERLINK("https://klasma.github.io/Logging_2305/kartor/A 27062-2025 karta.png", "A 27062-2025")</f>
        <v/>
      </c>
      <c r="V199">
        <f>HYPERLINK("https://klasma.github.io/Logging_2305/klagomål/A 27062-2025 FSC-klagomål.docx", "A 27062-2025")</f>
        <v/>
      </c>
      <c r="W199">
        <f>HYPERLINK("https://klasma.github.io/Logging_2305/klagomålsmail/A 27062-2025 FSC-klagomål mail.docx", "A 27062-2025")</f>
        <v/>
      </c>
      <c r="X199">
        <f>HYPERLINK("https://klasma.github.io/Logging_2305/tillsyn/A 27062-2025 tillsynsbegäran.docx", "A 27062-2025")</f>
        <v/>
      </c>
      <c r="Y199">
        <f>HYPERLINK("https://klasma.github.io/Logging_2305/tillsynsmail/A 27062-2025 tillsynsbegäran mail.docx", "A 27062-2025")</f>
        <v/>
      </c>
    </row>
    <row r="200" ht="15" customHeight="1">
      <c r="A200" t="inlineStr">
        <is>
          <t>A 47498-2023</t>
        </is>
      </c>
      <c r="B200" s="1" t="n">
        <v>45202</v>
      </c>
      <c r="C200" s="1" t="n">
        <v>45891</v>
      </c>
      <c r="D200" t="inlineStr">
        <is>
          <t>JÄMTLANDS LÄN</t>
        </is>
      </c>
      <c r="E200" t="inlineStr">
        <is>
          <t>BRÄCKE</t>
        </is>
      </c>
      <c r="F200" t="inlineStr">
        <is>
          <t>SCA</t>
        </is>
      </c>
      <c r="G200" t="n">
        <v>6.1</v>
      </c>
      <c r="H200" t="n">
        <v>1</v>
      </c>
      <c r="I200" t="n">
        <v>1</v>
      </c>
      <c r="J200" t="n">
        <v>0</v>
      </c>
      <c r="K200" t="n">
        <v>1</v>
      </c>
      <c r="L200" t="n">
        <v>0</v>
      </c>
      <c r="M200" t="n">
        <v>0</v>
      </c>
      <c r="N200" t="n">
        <v>0</v>
      </c>
      <c r="O200" t="n">
        <v>1</v>
      </c>
      <c r="P200" t="n">
        <v>1</v>
      </c>
      <c r="Q200" t="n">
        <v>2</v>
      </c>
      <c r="R200" s="2" t="inlineStr">
        <is>
          <t>Bandnate
Guckusko</t>
        </is>
      </c>
      <c r="S200">
        <f>HYPERLINK("https://klasma.github.io/Logging_2305/artfynd/A 47498-2023 artfynd.xlsx", "A 47498-2023")</f>
        <v/>
      </c>
      <c r="T200">
        <f>HYPERLINK("https://klasma.github.io/Logging_2305/kartor/A 47498-2023 karta.png", "A 47498-2023")</f>
        <v/>
      </c>
      <c r="V200">
        <f>HYPERLINK("https://klasma.github.io/Logging_2305/klagomål/A 47498-2023 FSC-klagomål.docx", "A 47498-2023")</f>
        <v/>
      </c>
      <c r="W200">
        <f>HYPERLINK("https://klasma.github.io/Logging_2305/klagomålsmail/A 47498-2023 FSC-klagomål mail.docx", "A 47498-2023")</f>
        <v/>
      </c>
      <c r="X200">
        <f>HYPERLINK("https://klasma.github.io/Logging_2305/tillsyn/A 47498-2023 tillsynsbegäran.docx", "A 47498-2023")</f>
        <v/>
      </c>
      <c r="Y200">
        <f>HYPERLINK("https://klasma.github.io/Logging_2305/tillsynsmail/A 47498-2023 tillsynsbegäran mail.docx", "A 47498-2023")</f>
        <v/>
      </c>
    </row>
    <row r="201" ht="15" customHeight="1">
      <c r="A201" t="inlineStr">
        <is>
          <t>A 27059-2025</t>
        </is>
      </c>
      <c r="B201" s="1" t="n">
        <v>45811.63586805556</v>
      </c>
      <c r="C201" s="1" t="n">
        <v>45891</v>
      </c>
      <c r="D201" t="inlineStr">
        <is>
          <t>JÄMTLANDS LÄN</t>
        </is>
      </c>
      <c r="E201" t="inlineStr">
        <is>
          <t>BRÄCKE</t>
        </is>
      </c>
      <c r="F201" t="inlineStr">
        <is>
          <t>SCA</t>
        </is>
      </c>
      <c r="G201" t="n">
        <v>7.2</v>
      </c>
      <c r="H201" t="n">
        <v>1</v>
      </c>
      <c r="I201" t="n">
        <v>1</v>
      </c>
      <c r="J201" t="n">
        <v>0</v>
      </c>
      <c r="K201" t="n">
        <v>1</v>
      </c>
      <c r="L201" t="n">
        <v>0</v>
      </c>
      <c r="M201" t="n">
        <v>0</v>
      </c>
      <c r="N201" t="n">
        <v>0</v>
      </c>
      <c r="O201" t="n">
        <v>1</v>
      </c>
      <c r="P201" t="n">
        <v>1</v>
      </c>
      <c r="Q201" t="n">
        <v>2</v>
      </c>
      <c r="R201" s="2" t="inlineStr">
        <is>
          <t>Knärot
Dropptaggsvamp</t>
        </is>
      </c>
      <c r="S201">
        <f>HYPERLINK("https://klasma.github.io/Logging_2305/artfynd/A 27059-2025 artfynd.xlsx", "A 27059-2025")</f>
        <v/>
      </c>
      <c r="T201">
        <f>HYPERLINK("https://klasma.github.io/Logging_2305/kartor/A 27059-2025 karta.png", "A 27059-2025")</f>
        <v/>
      </c>
      <c r="U201">
        <f>HYPERLINK("https://klasma.github.io/Logging_2305/knärot/A 27059-2025 karta knärot.png", "A 27059-2025")</f>
        <v/>
      </c>
      <c r="V201">
        <f>HYPERLINK("https://klasma.github.io/Logging_2305/klagomål/A 27059-2025 FSC-klagomål.docx", "A 27059-2025")</f>
        <v/>
      </c>
      <c r="W201">
        <f>HYPERLINK("https://klasma.github.io/Logging_2305/klagomålsmail/A 27059-2025 FSC-klagomål mail.docx", "A 27059-2025")</f>
        <v/>
      </c>
      <c r="X201">
        <f>HYPERLINK("https://klasma.github.io/Logging_2305/tillsyn/A 27059-2025 tillsynsbegäran.docx", "A 27059-2025")</f>
        <v/>
      </c>
      <c r="Y201">
        <f>HYPERLINK("https://klasma.github.io/Logging_2305/tillsynsmail/A 27059-2025 tillsynsbegäran mail.docx", "A 27059-2025")</f>
        <v/>
      </c>
    </row>
    <row r="202" ht="15" customHeight="1">
      <c r="A202" t="inlineStr">
        <is>
          <t>A 27279-2025</t>
        </is>
      </c>
      <c r="B202" s="1" t="n">
        <v>45812.53172453704</v>
      </c>
      <c r="C202" s="1" t="n">
        <v>45891</v>
      </c>
      <c r="D202" t="inlineStr">
        <is>
          <t>JÄMTLANDS LÄN</t>
        </is>
      </c>
      <c r="E202" t="inlineStr">
        <is>
          <t>BRÄCKE</t>
        </is>
      </c>
      <c r="F202" t="inlineStr">
        <is>
          <t>SCA</t>
        </is>
      </c>
      <c r="G202" t="n">
        <v>1.2</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27279-2025 artfynd.xlsx", "A 27279-2025")</f>
        <v/>
      </c>
      <c r="T202">
        <f>HYPERLINK("https://klasma.github.io/Logging_2305/kartor/A 27279-2025 karta.png", "A 27279-2025")</f>
        <v/>
      </c>
      <c r="V202">
        <f>HYPERLINK("https://klasma.github.io/Logging_2305/klagomål/A 27279-2025 FSC-klagomål.docx", "A 27279-2025")</f>
        <v/>
      </c>
      <c r="W202">
        <f>HYPERLINK("https://klasma.github.io/Logging_2305/klagomålsmail/A 27279-2025 FSC-klagomål mail.docx", "A 27279-2025")</f>
        <v/>
      </c>
      <c r="X202">
        <f>HYPERLINK("https://klasma.github.io/Logging_2305/tillsyn/A 27279-2025 tillsynsbegäran.docx", "A 27279-2025")</f>
        <v/>
      </c>
      <c r="Y202">
        <f>HYPERLINK("https://klasma.github.io/Logging_2305/tillsynsmail/A 27279-2025 tillsynsbegäran mail.docx", "A 27279-2025")</f>
        <v/>
      </c>
    </row>
    <row r="203" ht="15" customHeight="1">
      <c r="A203" t="inlineStr">
        <is>
          <t>A 4134-2025</t>
        </is>
      </c>
      <c r="B203" s="1" t="n">
        <v>45685.34582175926</v>
      </c>
      <c r="C203" s="1" t="n">
        <v>45891</v>
      </c>
      <c r="D203" t="inlineStr">
        <is>
          <t>JÄMTLANDS LÄN</t>
        </is>
      </c>
      <c r="E203" t="inlineStr">
        <is>
          <t>BRÄCKE</t>
        </is>
      </c>
      <c r="F203" t="inlineStr">
        <is>
          <t>SCA</t>
        </is>
      </c>
      <c r="G203" t="n">
        <v>5.6</v>
      </c>
      <c r="H203" t="n">
        <v>0</v>
      </c>
      <c r="I203" t="n">
        <v>1</v>
      </c>
      <c r="J203" t="n">
        <v>1</v>
      </c>
      <c r="K203" t="n">
        <v>0</v>
      </c>
      <c r="L203" t="n">
        <v>0</v>
      </c>
      <c r="M203" t="n">
        <v>0</v>
      </c>
      <c r="N203" t="n">
        <v>0</v>
      </c>
      <c r="O203" t="n">
        <v>1</v>
      </c>
      <c r="P203" t="n">
        <v>0</v>
      </c>
      <c r="Q203" t="n">
        <v>2</v>
      </c>
      <c r="R203" s="2" t="inlineStr">
        <is>
          <t>Vedflamlav
Stor aspticka</t>
        </is>
      </c>
      <c r="S203">
        <f>HYPERLINK("https://klasma.github.io/Logging_2305/artfynd/A 4134-2025 artfynd.xlsx", "A 4134-2025")</f>
        <v/>
      </c>
      <c r="T203">
        <f>HYPERLINK("https://klasma.github.io/Logging_2305/kartor/A 4134-2025 karta.png", "A 4134-2025")</f>
        <v/>
      </c>
      <c r="V203">
        <f>HYPERLINK("https://klasma.github.io/Logging_2305/klagomål/A 4134-2025 FSC-klagomål.docx", "A 4134-2025")</f>
        <v/>
      </c>
      <c r="W203">
        <f>HYPERLINK("https://klasma.github.io/Logging_2305/klagomålsmail/A 4134-2025 FSC-klagomål mail.docx", "A 4134-2025")</f>
        <v/>
      </c>
      <c r="X203">
        <f>HYPERLINK("https://klasma.github.io/Logging_2305/tillsyn/A 4134-2025 tillsynsbegäran.docx", "A 4134-2025")</f>
        <v/>
      </c>
      <c r="Y203">
        <f>HYPERLINK("https://klasma.github.io/Logging_2305/tillsynsmail/A 4134-2025 tillsynsbegäran mail.docx", "A 4134-2025")</f>
        <v/>
      </c>
    </row>
    <row r="204" ht="15" customHeight="1">
      <c r="A204" t="inlineStr">
        <is>
          <t>A 11787-2025</t>
        </is>
      </c>
      <c r="B204" s="1" t="n">
        <v>45727.72017361111</v>
      </c>
      <c r="C204" s="1" t="n">
        <v>45891</v>
      </c>
      <c r="D204" t="inlineStr">
        <is>
          <t>JÄMTLANDS LÄN</t>
        </is>
      </c>
      <c r="E204" t="inlineStr">
        <is>
          <t>BRÄCKE</t>
        </is>
      </c>
      <c r="F204" t="inlineStr">
        <is>
          <t>SCA</t>
        </is>
      </c>
      <c r="G204" t="n">
        <v>1.9</v>
      </c>
      <c r="H204" t="n">
        <v>0</v>
      </c>
      <c r="I204" t="n">
        <v>0</v>
      </c>
      <c r="J204" t="n">
        <v>2</v>
      </c>
      <c r="K204" t="n">
        <v>0</v>
      </c>
      <c r="L204" t="n">
        <v>0</v>
      </c>
      <c r="M204" t="n">
        <v>0</v>
      </c>
      <c r="N204" t="n">
        <v>0</v>
      </c>
      <c r="O204" t="n">
        <v>2</v>
      </c>
      <c r="P204" t="n">
        <v>0</v>
      </c>
      <c r="Q204" t="n">
        <v>2</v>
      </c>
      <c r="R204" s="2" t="inlineStr">
        <is>
          <t>Stiftgelélav
Ullticka</t>
        </is>
      </c>
      <c r="S204">
        <f>HYPERLINK("https://klasma.github.io/Logging_2305/artfynd/A 11787-2025 artfynd.xlsx", "A 11787-2025")</f>
        <v/>
      </c>
      <c r="T204">
        <f>HYPERLINK("https://klasma.github.io/Logging_2305/kartor/A 11787-2025 karta.png", "A 11787-2025")</f>
        <v/>
      </c>
      <c r="V204">
        <f>HYPERLINK("https://klasma.github.io/Logging_2305/klagomål/A 11787-2025 FSC-klagomål.docx", "A 11787-2025")</f>
        <v/>
      </c>
      <c r="W204">
        <f>HYPERLINK("https://klasma.github.io/Logging_2305/klagomålsmail/A 11787-2025 FSC-klagomål mail.docx", "A 11787-2025")</f>
        <v/>
      </c>
      <c r="X204">
        <f>HYPERLINK("https://klasma.github.io/Logging_2305/tillsyn/A 11787-2025 tillsynsbegäran.docx", "A 11787-2025")</f>
        <v/>
      </c>
      <c r="Y204">
        <f>HYPERLINK("https://klasma.github.io/Logging_2305/tillsynsmail/A 11787-2025 tillsynsbegäran mail.docx", "A 11787-2025")</f>
        <v/>
      </c>
    </row>
    <row r="205" ht="15" customHeight="1">
      <c r="A205" t="inlineStr">
        <is>
          <t>A 3913-2022</t>
        </is>
      </c>
      <c r="B205" s="1" t="n">
        <v>44587</v>
      </c>
      <c r="C205" s="1" t="n">
        <v>45891</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29119-2025</t>
        </is>
      </c>
      <c r="B206" s="1" t="n">
        <v>45821.59407407408</v>
      </c>
      <c r="C206" s="1" t="n">
        <v>45891</v>
      </c>
      <c r="D206" t="inlineStr">
        <is>
          <t>JÄMTLANDS LÄN</t>
        </is>
      </c>
      <c r="E206" t="inlineStr">
        <is>
          <t>BRÄCKE</t>
        </is>
      </c>
      <c r="F206" t="inlineStr">
        <is>
          <t>SCA</t>
        </is>
      </c>
      <c r="G206" t="n">
        <v>2.4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29119-2025 artfynd.xlsx", "A 29119-2025")</f>
        <v/>
      </c>
      <c r="T206">
        <f>HYPERLINK("https://klasma.github.io/Logging_2305/kartor/A 29119-2025 karta.png", "A 29119-2025")</f>
        <v/>
      </c>
      <c r="V206">
        <f>HYPERLINK("https://klasma.github.io/Logging_2305/klagomål/A 29119-2025 FSC-klagomål.docx", "A 29119-2025")</f>
        <v/>
      </c>
      <c r="W206">
        <f>HYPERLINK("https://klasma.github.io/Logging_2305/klagomålsmail/A 29119-2025 FSC-klagomål mail.docx", "A 29119-2025")</f>
        <v/>
      </c>
      <c r="X206">
        <f>HYPERLINK("https://klasma.github.io/Logging_2305/tillsyn/A 29119-2025 tillsynsbegäran.docx", "A 29119-2025")</f>
        <v/>
      </c>
      <c r="Y206">
        <f>HYPERLINK("https://klasma.github.io/Logging_2305/tillsynsmail/A 29119-2025 tillsynsbegäran mail.docx", "A 29119-2025")</f>
        <v/>
      </c>
    </row>
    <row r="207" ht="15" customHeight="1">
      <c r="A207" t="inlineStr">
        <is>
          <t>A 29672-2024</t>
        </is>
      </c>
      <c r="B207" s="1" t="n">
        <v>45484.94189814815</v>
      </c>
      <c r="C207" s="1" t="n">
        <v>45891</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Vedflikmossa
Vedtrappmossa</t>
        </is>
      </c>
      <c r="S207">
        <f>HYPERLINK("https://klasma.github.io/Logging_2305/artfynd/A 29672-2024 artfynd.xlsx", "A 29672-2024")</f>
        <v/>
      </c>
      <c r="T207">
        <f>HYPERLINK("https://klasma.github.io/Logging_2305/kartor/A 29672-2024 karta.png", "A 29672-2024")</f>
        <v/>
      </c>
      <c r="V207">
        <f>HYPERLINK("https://klasma.github.io/Logging_2305/klagomål/A 29672-2024 FSC-klagomål.docx", "A 29672-2024")</f>
        <v/>
      </c>
      <c r="W207">
        <f>HYPERLINK("https://klasma.github.io/Logging_2305/klagomålsmail/A 29672-2024 FSC-klagomål mail.docx", "A 29672-2024")</f>
        <v/>
      </c>
      <c r="X207">
        <f>HYPERLINK("https://klasma.github.io/Logging_2305/tillsyn/A 29672-2024 tillsynsbegäran.docx", "A 29672-2024")</f>
        <v/>
      </c>
      <c r="Y207">
        <f>HYPERLINK("https://klasma.github.io/Logging_2305/tillsynsmail/A 29672-2024 tillsynsbegäran mail.docx", "A 29672-2024")</f>
        <v/>
      </c>
    </row>
    <row r="208" ht="15" customHeight="1">
      <c r="A208" t="inlineStr">
        <is>
          <t>A 50328-2022</t>
        </is>
      </c>
      <c r="B208" s="1" t="n">
        <v>44865</v>
      </c>
      <c r="C208" s="1" t="n">
        <v>45891</v>
      </c>
      <c r="D208" t="inlineStr">
        <is>
          <t>JÄMTLANDS LÄN</t>
        </is>
      </c>
      <c r="E208" t="inlineStr">
        <is>
          <t>BRÄCKE</t>
        </is>
      </c>
      <c r="F208" t="inlineStr">
        <is>
          <t>SCA</t>
        </is>
      </c>
      <c r="G208" t="n">
        <v>1.6</v>
      </c>
      <c r="H208" t="n">
        <v>0</v>
      </c>
      <c r="I208" t="n">
        <v>0</v>
      </c>
      <c r="J208" t="n">
        <v>2</v>
      </c>
      <c r="K208" t="n">
        <v>0</v>
      </c>
      <c r="L208" t="n">
        <v>0</v>
      </c>
      <c r="M208" t="n">
        <v>0</v>
      </c>
      <c r="N208" t="n">
        <v>0</v>
      </c>
      <c r="O208" t="n">
        <v>2</v>
      </c>
      <c r="P208" t="n">
        <v>0</v>
      </c>
      <c r="Q208" t="n">
        <v>2</v>
      </c>
      <c r="R208" s="2" t="inlineStr">
        <is>
          <t>Ullticka
Vitgrynig nållav</t>
        </is>
      </c>
      <c r="S208">
        <f>HYPERLINK("https://klasma.github.io/Logging_2305/artfynd/A 50328-2022 artfynd.xlsx", "A 50328-2022")</f>
        <v/>
      </c>
      <c r="T208">
        <f>HYPERLINK("https://klasma.github.io/Logging_2305/kartor/A 50328-2022 karta.png", "A 50328-2022")</f>
        <v/>
      </c>
      <c r="V208">
        <f>HYPERLINK("https://klasma.github.io/Logging_2305/klagomål/A 50328-2022 FSC-klagomål.docx", "A 50328-2022")</f>
        <v/>
      </c>
      <c r="W208">
        <f>HYPERLINK("https://klasma.github.io/Logging_2305/klagomålsmail/A 50328-2022 FSC-klagomål mail.docx", "A 50328-2022")</f>
        <v/>
      </c>
      <c r="X208">
        <f>HYPERLINK("https://klasma.github.io/Logging_2305/tillsyn/A 50328-2022 tillsynsbegäran.docx", "A 50328-2022")</f>
        <v/>
      </c>
      <c r="Y208">
        <f>HYPERLINK("https://klasma.github.io/Logging_2305/tillsynsmail/A 50328-2022 tillsynsbegäran mail.docx", "A 50328-2022")</f>
        <v/>
      </c>
    </row>
    <row r="209" ht="15" customHeight="1">
      <c r="A209" t="inlineStr">
        <is>
          <t>A 45012-2023</t>
        </is>
      </c>
      <c r="B209" s="1" t="n">
        <v>45190</v>
      </c>
      <c r="C209" s="1" t="n">
        <v>45891</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39172-2021</t>
        </is>
      </c>
      <c r="B210" s="1" t="n">
        <v>44412</v>
      </c>
      <c r="C210" s="1" t="n">
        <v>45891</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32566-2025</t>
        </is>
      </c>
      <c r="B211" s="1" t="n">
        <v>45838.57354166666</v>
      </c>
      <c r="C211" s="1" t="n">
        <v>45891</v>
      </c>
      <c r="D211" t="inlineStr">
        <is>
          <t>JÄMTLANDS LÄN</t>
        </is>
      </c>
      <c r="E211" t="inlineStr">
        <is>
          <t>BRÄCKE</t>
        </is>
      </c>
      <c r="F211" t="inlineStr">
        <is>
          <t>SCA</t>
        </is>
      </c>
      <c r="G211" t="n">
        <v>1.6</v>
      </c>
      <c r="H211" t="n">
        <v>0</v>
      </c>
      <c r="I211" t="n">
        <v>2</v>
      </c>
      <c r="J211" t="n">
        <v>0</v>
      </c>
      <c r="K211" t="n">
        <v>0</v>
      </c>
      <c r="L211" t="n">
        <v>0</v>
      </c>
      <c r="M211" t="n">
        <v>0</v>
      </c>
      <c r="N211" t="n">
        <v>0</v>
      </c>
      <c r="O211" t="n">
        <v>0</v>
      </c>
      <c r="P211" t="n">
        <v>0</v>
      </c>
      <c r="Q211" t="n">
        <v>2</v>
      </c>
      <c r="R211" s="2" t="inlineStr">
        <is>
          <t>Skinnlav
Vedticka</t>
        </is>
      </c>
      <c r="S211">
        <f>HYPERLINK("https://klasma.github.io/Logging_2305/artfynd/A 32566-2025 artfynd.xlsx", "A 32566-2025")</f>
        <v/>
      </c>
      <c r="T211">
        <f>HYPERLINK("https://klasma.github.io/Logging_2305/kartor/A 32566-2025 karta.png", "A 32566-2025")</f>
        <v/>
      </c>
      <c r="V211">
        <f>HYPERLINK("https://klasma.github.io/Logging_2305/klagomål/A 32566-2025 FSC-klagomål.docx", "A 32566-2025")</f>
        <v/>
      </c>
      <c r="W211">
        <f>HYPERLINK("https://klasma.github.io/Logging_2305/klagomålsmail/A 32566-2025 FSC-klagomål mail.docx", "A 32566-2025")</f>
        <v/>
      </c>
      <c r="X211">
        <f>HYPERLINK("https://klasma.github.io/Logging_2305/tillsyn/A 32566-2025 tillsynsbegäran.docx", "A 32566-2025")</f>
        <v/>
      </c>
      <c r="Y211">
        <f>HYPERLINK("https://klasma.github.io/Logging_2305/tillsynsmail/A 32566-2025 tillsynsbegäran mail.docx", "A 32566-2025")</f>
        <v/>
      </c>
    </row>
    <row r="212" ht="15" customHeight="1">
      <c r="A212" t="inlineStr">
        <is>
          <t>A 3029-2023</t>
        </is>
      </c>
      <c r="B212" s="1" t="n">
        <v>44945</v>
      </c>
      <c r="C212" s="1" t="n">
        <v>45891</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2464-2025</t>
        </is>
      </c>
      <c r="B213" s="1" t="n">
        <v>45674.4693287037</v>
      </c>
      <c r="C213" s="1" t="n">
        <v>45891</v>
      </c>
      <c r="D213" t="inlineStr">
        <is>
          <t>JÄMTLANDS LÄN</t>
        </is>
      </c>
      <c r="E213" t="inlineStr">
        <is>
          <t>BRÄCKE</t>
        </is>
      </c>
      <c r="F213" t="inlineStr">
        <is>
          <t>SCA</t>
        </is>
      </c>
      <c r="G213" t="n">
        <v>4.4</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2464-2025 artfynd.xlsx", "A 2464-2025")</f>
        <v/>
      </c>
      <c r="T213">
        <f>HYPERLINK("https://klasma.github.io/Logging_2305/kartor/A 2464-2025 karta.png", "A 2464-2025")</f>
        <v/>
      </c>
      <c r="V213">
        <f>HYPERLINK("https://klasma.github.io/Logging_2305/klagomål/A 2464-2025 FSC-klagomål.docx", "A 2464-2025")</f>
        <v/>
      </c>
      <c r="W213">
        <f>HYPERLINK("https://klasma.github.io/Logging_2305/klagomålsmail/A 2464-2025 FSC-klagomål mail.docx", "A 2464-2025")</f>
        <v/>
      </c>
      <c r="X213">
        <f>HYPERLINK("https://klasma.github.io/Logging_2305/tillsyn/A 2464-2025 tillsynsbegäran.docx", "A 2464-2025")</f>
        <v/>
      </c>
      <c r="Y213">
        <f>HYPERLINK("https://klasma.github.io/Logging_2305/tillsynsmail/A 2464-2025 tillsynsbegäran mail.docx", "A 2464-2025")</f>
        <v/>
      </c>
      <c r="Z213">
        <f>HYPERLINK("https://klasma.github.io/Logging_2305/fåglar/A 2464-2025 prioriterade fågelarter.docx", "A 2464-2025")</f>
        <v/>
      </c>
    </row>
    <row r="214" ht="15" customHeight="1">
      <c r="A214" t="inlineStr">
        <is>
          <t>A 34541-2025</t>
        </is>
      </c>
      <c r="B214" s="1" t="n">
        <v>45847.53196759259</v>
      </c>
      <c r="C214" s="1" t="n">
        <v>45891</v>
      </c>
      <c r="D214" t="inlineStr">
        <is>
          <t>JÄMTLANDS LÄN</t>
        </is>
      </c>
      <c r="E214" t="inlineStr">
        <is>
          <t>BRÄCKE</t>
        </is>
      </c>
      <c r="G214" t="n">
        <v>3.8</v>
      </c>
      <c r="H214" t="n">
        <v>0</v>
      </c>
      <c r="I214" t="n">
        <v>2</v>
      </c>
      <c r="J214" t="n">
        <v>0</v>
      </c>
      <c r="K214" t="n">
        <v>0</v>
      </c>
      <c r="L214" t="n">
        <v>0</v>
      </c>
      <c r="M214" t="n">
        <v>0</v>
      </c>
      <c r="N214" t="n">
        <v>0</v>
      </c>
      <c r="O214" t="n">
        <v>0</v>
      </c>
      <c r="P214" t="n">
        <v>0</v>
      </c>
      <c r="Q214" t="n">
        <v>2</v>
      </c>
      <c r="R214" s="2" t="inlineStr">
        <is>
          <t>Dropptaggsvamp
Skinnlav</t>
        </is>
      </c>
      <c r="S214">
        <f>HYPERLINK("https://klasma.github.io/Logging_2305/artfynd/A 34541-2025 artfynd.xlsx", "A 34541-2025")</f>
        <v/>
      </c>
      <c r="T214">
        <f>HYPERLINK("https://klasma.github.io/Logging_2305/kartor/A 34541-2025 karta.png", "A 34541-2025")</f>
        <v/>
      </c>
      <c r="V214">
        <f>HYPERLINK("https://klasma.github.io/Logging_2305/klagomål/A 34541-2025 FSC-klagomål.docx", "A 34541-2025")</f>
        <v/>
      </c>
      <c r="W214">
        <f>HYPERLINK("https://klasma.github.io/Logging_2305/klagomålsmail/A 34541-2025 FSC-klagomål mail.docx", "A 34541-2025")</f>
        <v/>
      </c>
      <c r="X214">
        <f>HYPERLINK("https://klasma.github.io/Logging_2305/tillsyn/A 34541-2025 tillsynsbegäran.docx", "A 34541-2025")</f>
        <v/>
      </c>
      <c r="Y214">
        <f>HYPERLINK("https://klasma.github.io/Logging_2305/tillsynsmail/A 34541-2025 tillsynsbegäran mail.docx", "A 34541-2025")</f>
        <v/>
      </c>
    </row>
    <row r="215" ht="15" customHeight="1">
      <c r="A215" t="inlineStr">
        <is>
          <t>A 19437-2023</t>
        </is>
      </c>
      <c r="B215" s="1" t="n">
        <v>45049</v>
      </c>
      <c r="C215" s="1" t="n">
        <v>45891</v>
      </c>
      <c r="D215" t="inlineStr">
        <is>
          <t>JÄMTLANDS LÄN</t>
        </is>
      </c>
      <c r="E215" t="inlineStr">
        <is>
          <t>BRÄCKE</t>
        </is>
      </c>
      <c r="G215" t="n">
        <v>1.5</v>
      </c>
      <c r="H215" t="n">
        <v>0</v>
      </c>
      <c r="I215" t="n">
        <v>2</v>
      </c>
      <c r="J215" t="n">
        <v>0</v>
      </c>
      <c r="K215" t="n">
        <v>0</v>
      </c>
      <c r="L215" t="n">
        <v>0</v>
      </c>
      <c r="M215" t="n">
        <v>0</v>
      </c>
      <c r="N215" t="n">
        <v>0</v>
      </c>
      <c r="O215" t="n">
        <v>0</v>
      </c>
      <c r="P215" t="n">
        <v>0</v>
      </c>
      <c r="Q215" t="n">
        <v>2</v>
      </c>
      <c r="R215" s="2" t="inlineStr">
        <is>
          <t>Stuplav
Svart trolldruva</t>
        </is>
      </c>
      <c r="S215">
        <f>HYPERLINK("https://klasma.github.io/Logging_2305/artfynd/A 19437-2023 artfynd.xlsx", "A 19437-2023")</f>
        <v/>
      </c>
      <c r="T215">
        <f>HYPERLINK("https://klasma.github.io/Logging_2305/kartor/A 19437-2023 karta.png", "A 19437-2023")</f>
        <v/>
      </c>
      <c r="U215">
        <f>HYPERLINK("https://klasma.github.io/Logging_2305/knärot/A 19437-2023 karta knärot.png", "A 19437-2023")</f>
        <v/>
      </c>
      <c r="V215">
        <f>HYPERLINK("https://klasma.github.io/Logging_2305/klagomål/A 19437-2023 FSC-klagomål.docx", "A 19437-2023")</f>
        <v/>
      </c>
      <c r="W215">
        <f>HYPERLINK("https://klasma.github.io/Logging_2305/klagomålsmail/A 19437-2023 FSC-klagomål mail.docx", "A 19437-2023")</f>
        <v/>
      </c>
      <c r="X215">
        <f>HYPERLINK("https://klasma.github.io/Logging_2305/tillsyn/A 19437-2023 tillsynsbegäran.docx", "A 19437-2023")</f>
        <v/>
      </c>
      <c r="Y215">
        <f>HYPERLINK("https://klasma.github.io/Logging_2305/tillsynsmail/A 19437-2023 tillsynsbegäran mail.docx", "A 19437-2023")</f>
        <v/>
      </c>
    </row>
    <row r="216" ht="15" customHeight="1">
      <c r="A216" t="inlineStr">
        <is>
          <t>A 2467-2025</t>
        </is>
      </c>
      <c r="B216" s="1" t="n">
        <v>45674.46979166667</v>
      </c>
      <c r="C216" s="1" t="n">
        <v>45891</v>
      </c>
      <c r="D216" t="inlineStr">
        <is>
          <t>JÄMTLANDS LÄN</t>
        </is>
      </c>
      <c r="E216" t="inlineStr">
        <is>
          <t>BRÄCKE</t>
        </is>
      </c>
      <c r="F216" t="inlineStr">
        <is>
          <t>SCA</t>
        </is>
      </c>
      <c r="G216" t="n">
        <v>5.6</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HYPERLINK("https://klasma.github.io/Logging_2305/artfynd/A 2467-2025 artfynd.xlsx", "A 2467-2025")</f>
        <v/>
      </c>
      <c r="T216">
        <f>HYPERLINK("https://klasma.github.io/Logging_2305/kartor/A 2467-2025 karta.png", "A 2467-2025")</f>
        <v/>
      </c>
      <c r="V216">
        <f>HYPERLINK("https://klasma.github.io/Logging_2305/klagomål/A 2467-2025 FSC-klagomål.docx", "A 2467-2025")</f>
        <v/>
      </c>
      <c r="W216">
        <f>HYPERLINK("https://klasma.github.io/Logging_2305/klagomålsmail/A 2467-2025 FSC-klagomål mail.docx", "A 2467-2025")</f>
        <v/>
      </c>
      <c r="X216">
        <f>HYPERLINK("https://klasma.github.io/Logging_2305/tillsyn/A 2467-2025 tillsynsbegäran.docx", "A 2467-2025")</f>
        <v/>
      </c>
      <c r="Y216">
        <f>HYPERLINK("https://klasma.github.io/Logging_2305/tillsynsmail/A 2467-2025 tillsynsbegäran mail.docx", "A 2467-2025")</f>
        <v/>
      </c>
      <c r="Z216">
        <f>HYPERLINK("https://klasma.github.io/Logging_2305/fåglar/A 2467-2025 prioriterade fågelarter.docx", "A 2467-2025")</f>
        <v/>
      </c>
    </row>
    <row r="217" ht="15" customHeight="1">
      <c r="A217" t="inlineStr">
        <is>
          <t>A 8248-2024</t>
        </is>
      </c>
      <c r="B217" s="1" t="n">
        <v>45351</v>
      </c>
      <c r="C217" s="1" t="n">
        <v>45891</v>
      </c>
      <c r="D217" t="inlineStr">
        <is>
          <t>JÄMTLANDS LÄN</t>
        </is>
      </c>
      <c r="E217" t="inlineStr">
        <is>
          <t>BRÄCKE</t>
        </is>
      </c>
      <c r="F217" t="inlineStr">
        <is>
          <t>SCA</t>
        </is>
      </c>
      <c r="G217" t="n">
        <v>1.8</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8248-2024 artfynd.xlsx", "A 8248-2024")</f>
        <v/>
      </c>
      <c r="T217">
        <f>HYPERLINK("https://klasma.github.io/Logging_2305/kartor/A 8248-2024 karta.png", "A 8248-2024")</f>
        <v/>
      </c>
      <c r="V217">
        <f>HYPERLINK("https://klasma.github.io/Logging_2305/klagomål/A 8248-2024 FSC-klagomål.docx", "A 8248-2024")</f>
        <v/>
      </c>
      <c r="W217">
        <f>HYPERLINK("https://klasma.github.io/Logging_2305/klagomålsmail/A 8248-2024 FSC-klagomål mail.docx", "A 8248-2024")</f>
        <v/>
      </c>
      <c r="X217">
        <f>HYPERLINK("https://klasma.github.io/Logging_2305/tillsyn/A 8248-2024 tillsynsbegäran.docx", "A 8248-2024")</f>
        <v/>
      </c>
      <c r="Y217">
        <f>HYPERLINK("https://klasma.github.io/Logging_2305/tillsynsmail/A 8248-2024 tillsynsbegäran mail.docx", "A 8248-2024")</f>
        <v/>
      </c>
    </row>
    <row r="218" ht="15" customHeight="1">
      <c r="A218" t="inlineStr">
        <is>
          <t>A 69154-2021</t>
        </is>
      </c>
      <c r="B218" s="1" t="n">
        <v>44530</v>
      </c>
      <c r="C218" s="1" t="n">
        <v>45891</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45891</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45891</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45891</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45891</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45891</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31479-2024</t>
        </is>
      </c>
      <c r="B224" s="1" t="n">
        <v>45505.95263888889</v>
      </c>
      <c r="C224" s="1" t="n">
        <v>45891</v>
      </c>
      <c r="D224" t="inlineStr">
        <is>
          <t>JÄMTLANDS LÄN</t>
        </is>
      </c>
      <c r="E224" t="inlineStr">
        <is>
          <t>BRÄCKE</t>
        </is>
      </c>
      <c r="F224" t="inlineStr">
        <is>
          <t>SCA</t>
        </is>
      </c>
      <c r="G224" t="n">
        <v>3</v>
      </c>
      <c r="H224" t="n">
        <v>0</v>
      </c>
      <c r="I224" t="n">
        <v>0</v>
      </c>
      <c r="J224" t="n">
        <v>1</v>
      </c>
      <c r="K224" t="n">
        <v>0</v>
      </c>
      <c r="L224" t="n">
        <v>0</v>
      </c>
      <c r="M224" t="n">
        <v>0</v>
      </c>
      <c r="N224" t="n">
        <v>0</v>
      </c>
      <c r="O224" t="n">
        <v>1</v>
      </c>
      <c r="P224" t="n">
        <v>0</v>
      </c>
      <c r="Q224" t="n">
        <v>1</v>
      </c>
      <c r="R224" s="2" t="inlineStr">
        <is>
          <t>Violettgrå tagellav</t>
        </is>
      </c>
      <c r="S224">
        <f>HYPERLINK("https://klasma.github.io/Logging_2305/artfynd/A 31479-2024 artfynd.xlsx", "A 31479-2024")</f>
        <v/>
      </c>
      <c r="T224">
        <f>HYPERLINK("https://klasma.github.io/Logging_2305/kartor/A 31479-2024 karta.png", "A 31479-2024")</f>
        <v/>
      </c>
      <c r="V224">
        <f>HYPERLINK("https://klasma.github.io/Logging_2305/klagomål/A 31479-2024 FSC-klagomål.docx", "A 31479-2024")</f>
        <v/>
      </c>
      <c r="W224">
        <f>HYPERLINK("https://klasma.github.io/Logging_2305/klagomålsmail/A 31479-2024 FSC-klagomål mail.docx", "A 31479-2024")</f>
        <v/>
      </c>
      <c r="X224">
        <f>HYPERLINK("https://klasma.github.io/Logging_2305/tillsyn/A 31479-2024 tillsynsbegäran.docx", "A 31479-2024")</f>
        <v/>
      </c>
      <c r="Y224">
        <f>HYPERLINK("https://klasma.github.io/Logging_2305/tillsynsmail/A 31479-2024 tillsynsbegäran mail.docx", "A 31479-2024")</f>
        <v/>
      </c>
    </row>
    <row r="225" ht="15" customHeight="1">
      <c r="A225" t="inlineStr">
        <is>
          <t>A 49863-2022</t>
        </is>
      </c>
      <c r="B225" s="1" t="n">
        <v>44862</v>
      </c>
      <c r="C225" s="1" t="n">
        <v>45891</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30336-2024</t>
        </is>
      </c>
      <c r="B226" s="1" t="n">
        <v>45490.95415509259</v>
      </c>
      <c r="C226" s="1" t="n">
        <v>45891</v>
      </c>
      <c r="D226" t="inlineStr">
        <is>
          <t>JÄMTLANDS LÄN</t>
        </is>
      </c>
      <c r="E226" t="inlineStr">
        <is>
          <t>BRÄCKE</t>
        </is>
      </c>
      <c r="F226" t="inlineStr">
        <is>
          <t>SCA</t>
        </is>
      </c>
      <c r="G226" t="n">
        <v>2.8</v>
      </c>
      <c r="H226" t="n">
        <v>0</v>
      </c>
      <c r="I226" t="n">
        <v>1</v>
      </c>
      <c r="J226" t="n">
        <v>0</v>
      </c>
      <c r="K226" t="n">
        <v>0</v>
      </c>
      <c r="L226" t="n">
        <v>0</v>
      </c>
      <c r="M226" t="n">
        <v>0</v>
      </c>
      <c r="N226" t="n">
        <v>0</v>
      </c>
      <c r="O226" t="n">
        <v>0</v>
      </c>
      <c r="P226" t="n">
        <v>0</v>
      </c>
      <c r="Q226" t="n">
        <v>1</v>
      </c>
      <c r="R226" s="2" t="inlineStr">
        <is>
          <t>Skinnlav</t>
        </is>
      </c>
      <c r="S226">
        <f>HYPERLINK("https://klasma.github.io/Logging_2305/artfynd/A 30336-2024 artfynd.xlsx", "A 30336-2024")</f>
        <v/>
      </c>
      <c r="T226">
        <f>HYPERLINK("https://klasma.github.io/Logging_2305/kartor/A 30336-2024 karta.png", "A 30336-2024")</f>
        <v/>
      </c>
      <c r="V226">
        <f>HYPERLINK("https://klasma.github.io/Logging_2305/klagomål/A 30336-2024 FSC-klagomål.docx", "A 30336-2024")</f>
        <v/>
      </c>
      <c r="W226">
        <f>HYPERLINK("https://klasma.github.io/Logging_2305/klagomålsmail/A 30336-2024 FSC-klagomål mail.docx", "A 30336-2024")</f>
        <v/>
      </c>
      <c r="X226">
        <f>HYPERLINK("https://klasma.github.io/Logging_2305/tillsyn/A 30336-2024 tillsynsbegäran.docx", "A 30336-2024")</f>
        <v/>
      </c>
      <c r="Y226">
        <f>HYPERLINK("https://klasma.github.io/Logging_2305/tillsynsmail/A 30336-2024 tillsynsbegäran mail.docx", "A 30336-2024")</f>
        <v/>
      </c>
    </row>
    <row r="227" ht="15" customHeight="1">
      <c r="A227" t="inlineStr">
        <is>
          <t>A 50837-2023</t>
        </is>
      </c>
      <c r="B227" s="1" t="n">
        <v>45217</v>
      </c>
      <c r="C227" s="1" t="n">
        <v>45891</v>
      </c>
      <c r="D227" t="inlineStr">
        <is>
          <t>JÄMTLANDS LÄN</t>
        </is>
      </c>
      <c r="E227" t="inlineStr">
        <is>
          <t>BRÄCKE</t>
        </is>
      </c>
      <c r="F227" t="inlineStr">
        <is>
          <t>SCA</t>
        </is>
      </c>
      <c r="G227" t="n">
        <v>1.4</v>
      </c>
      <c r="H227" t="n">
        <v>1</v>
      </c>
      <c r="I227" t="n">
        <v>0</v>
      </c>
      <c r="J227" t="n">
        <v>1</v>
      </c>
      <c r="K227" t="n">
        <v>0</v>
      </c>
      <c r="L227" t="n">
        <v>0</v>
      </c>
      <c r="M227" t="n">
        <v>0</v>
      </c>
      <c r="N227" t="n">
        <v>0</v>
      </c>
      <c r="O227" t="n">
        <v>1</v>
      </c>
      <c r="P227" t="n">
        <v>0</v>
      </c>
      <c r="Q227" t="n">
        <v>1</v>
      </c>
      <c r="R227" s="2" t="inlineStr">
        <is>
          <t>Talltita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35023-2022</t>
        </is>
      </c>
      <c r="B228" s="1" t="n">
        <v>44796</v>
      </c>
      <c r="C228" s="1" t="n">
        <v>45891</v>
      </c>
      <c r="D228" t="inlineStr">
        <is>
          <t>JÄMTLANDS LÄN</t>
        </is>
      </c>
      <c r="E228" t="inlineStr">
        <is>
          <t>BRÄCKE</t>
        </is>
      </c>
      <c r="F228" t="inlineStr">
        <is>
          <t>SCA</t>
        </is>
      </c>
      <c r="G228" t="n">
        <v>4.8</v>
      </c>
      <c r="H228" t="n">
        <v>0</v>
      </c>
      <c r="I228" t="n">
        <v>0</v>
      </c>
      <c r="J228" t="n">
        <v>1</v>
      </c>
      <c r="K228" t="n">
        <v>0</v>
      </c>
      <c r="L228" t="n">
        <v>0</v>
      </c>
      <c r="M228" t="n">
        <v>0</v>
      </c>
      <c r="N228" t="n">
        <v>0</v>
      </c>
      <c r="O228" t="n">
        <v>1</v>
      </c>
      <c r="P228" t="n">
        <v>0</v>
      </c>
      <c r="Q228" t="n">
        <v>1</v>
      </c>
      <c r="R228" s="2" t="inlineStr">
        <is>
          <t>Dvärgbägarlav</t>
        </is>
      </c>
      <c r="S228">
        <f>HYPERLINK("https://klasma.github.io/Logging_2305/artfynd/A 35023-2022 artfynd.xlsx", "A 35023-2022")</f>
        <v/>
      </c>
      <c r="T228">
        <f>HYPERLINK("https://klasma.github.io/Logging_2305/kartor/A 35023-2022 karta.png", "A 35023-2022")</f>
        <v/>
      </c>
      <c r="V228">
        <f>HYPERLINK("https://klasma.github.io/Logging_2305/klagomål/A 35023-2022 FSC-klagomål.docx", "A 35023-2022")</f>
        <v/>
      </c>
      <c r="W228">
        <f>HYPERLINK("https://klasma.github.io/Logging_2305/klagomålsmail/A 35023-2022 FSC-klagomål mail.docx", "A 35023-2022")</f>
        <v/>
      </c>
      <c r="X228">
        <f>HYPERLINK("https://klasma.github.io/Logging_2305/tillsyn/A 35023-2022 tillsynsbegäran.docx", "A 35023-2022")</f>
        <v/>
      </c>
      <c r="Y228">
        <f>HYPERLINK("https://klasma.github.io/Logging_2305/tillsynsmail/A 35023-2022 tillsynsbegäran mail.docx", "A 35023-2022")</f>
        <v/>
      </c>
    </row>
    <row r="229" ht="15" customHeight="1">
      <c r="A229" t="inlineStr">
        <is>
          <t>A 49040-2023</t>
        </is>
      </c>
      <c r="B229" s="1" t="n">
        <v>45209</v>
      </c>
      <c r="C229" s="1" t="n">
        <v>45891</v>
      </c>
      <c r="D229" t="inlineStr">
        <is>
          <t>JÄMTLANDS LÄN</t>
        </is>
      </c>
      <c r="E229" t="inlineStr">
        <is>
          <t>BRÄCKE</t>
        </is>
      </c>
      <c r="F229" t="inlineStr">
        <is>
          <t>SCA</t>
        </is>
      </c>
      <c r="G229" t="n">
        <v>4.2</v>
      </c>
      <c r="H229" t="n">
        <v>0</v>
      </c>
      <c r="I229" t="n">
        <v>0</v>
      </c>
      <c r="J229" t="n">
        <v>1</v>
      </c>
      <c r="K229" t="n">
        <v>0</v>
      </c>
      <c r="L229" t="n">
        <v>0</v>
      </c>
      <c r="M229" t="n">
        <v>0</v>
      </c>
      <c r="N229" t="n">
        <v>0</v>
      </c>
      <c r="O229" t="n">
        <v>1</v>
      </c>
      <c r="P229" t="n">
        <v>0</v>
      </c>
      <c r="Q229" t="n">
        <v>1</v>
      </c>
      <c r="R229" s="2" t="inlineStr">
        <is>
          <t>Lunglav</t>
        </is>
      </c>
      <c r="S229">
        <f>HYPERLINK("https://klasma.github.io/Logging_2305/artfynd/A 49040-2023 artfynd.xlsx", "A 49040-2023")</f>
        <v/>
      </c>
      <c r="T229">
        <f>HYPERLINK("https://klasma.github.io/Logging_2305/kartor/A 49040-2023 karta.png", "A 49040-2023")</f>
        <v/>
      </c>
      <c r="V229">
        <f>HYPERLINK("https://klasma.github.io/Logging_2305/klagomål/A 49040-2023 FSC-klagomål.docx", "A 49040-2023")</f>
        <v/>
      </c>
      <c r="W229">
        <f>HYPERLINK("https://klasma.github.io/Logging_2305/klagomålsmail/A 49040-2023 FSC-klagomål mail.docx", "A 49040-2023")</f>
        <v/>
      </c>
      <c r="X229">
        <f>HYPERLINK("https://klasma.github.io/Logging_2305/tillsyn/A 49040-2023 tillsynsbegäran.docx", "A 49040-2023")</f>
        <v/>
      </c>
      <c r="Y229">
        <f>HYPERLINK("https://klasma.github.io/Logging_2305/tillsynsmail/A 49040-2023 tillsynsbegäran mail.docx", "A 49040-2023")</f>
        <v/>
      </c>
    </row>
    <row r="230" ht="15" customHeight="1">
      <c r="A230" t="inlineStr">
        <is>
          <t>A 17588-2024</t>
        </is>
      </c>
      <c r="B230" s="1" t="n">
        <v>45415.94054398148</v>
      </c>
      <c r="C230" s="1" t="n">
        <v>45891</v>
      </c>
      <c r="D230" t="inlineStr">
        <is>
          <t>JÄMTLANDS LÄN</t>
        </is>
      </c>
      <c r="E230" t="inlineStr">
        <is>
          <t>BRÄCKE</t>
        </is>
      </c>
      <c r="F230" t="inlineStr">
        <is>
          <t>SCA</t>
        </is>
      </c>
      <c r="G230" t="n">
        <v>1.8</v>
      </c>
      <c r="H230" t="n">
        <v>0</v>
      </c>
      <c r="I230" t="n">
        <v>0</v>
      </c>
      <c r="J230" t="n">
        <v>1</v>
      </c>
      <c r="K230" t="n">
        <v>0</v>
      </c>
      <c r="L230" t="n">
        <v>0</v>
      </c>
      <c r="M230" t="n">
        <v>0</v>
      </c>
      <c r="N230" t="n">
        <v>0</v>
      </c>
      <c r="O230" t="n">
        <v>1</v>
      </c>
      <c r="P230" t="n">
        <v>0</v>
      </c>
      <c r="Q230" t="n">
        <v>1</v>
      </c>
      <c r="R230" s="2" t="inlineStr">
        <is>
          <t>Rosenticka</t>
        </is>
      </c>
      <c r="S230">
        <f>HYPERLINK("https://klasma.github.io/Logging_2305/artfynd/A 17588-2024 artfynd.xlsx", "A 17588-2024")</f>
        <v/>
      </c>
      <c r="T230">
        <f>HYPERLINK("https://klasma.github.io/Logging_2305/kartor/A 17588-2024 karta.png", "A 17588-2024")</f>
        <v/>
      </c>
      <c r="V230">
        <f>HYPERLINK("https://klasma.github.io/Logging_2305/klagomål/A 17588-2024 FSC-klagomål.docx", "A 17588-2024")</f>
        <v/>
      </c>
      <c r="W230">
        <f>HYPERLINK("https://klasma.github.io/Logging_2305/klagomålsmail/A 17588-2024 FSC-klagomål mail.docx", "A 17588-2024")</f>
        <v/>
      </c>
      <c r="X230">
        <f>HYPERLINK("https://klasma.github.io/Logging_2305/tillsyn/A 17588-2024 tillsynsbegäran.docx", "A 17588-2024")</f>
        <v/>
      </c>
      <c r="Y230">
        <f>HYPERLINK("https://klasma.github.io/Logging_2305/tillsynsmail/A 17588-2024 tillsynsbegäran mail.docx", "A 17588-2024")</f>
        <v/>
      </c>
    </row>
    <row r="231" ht="15" customHeight="1">
      <c r="A231" t="inlineStr">
        <is>
          <t>A 55931-2023</t>
        </is>
      </c>
      <c r="B231" s="1" t="n">
        <v>45239</v>
      </c>
      <c r="C231" s="1" t="n">
        <v>45891</v>
      </c>
      <c r="D231" t="inlineStr">
        <is>
          <t>JÄMTLANDS LÄN</t>
        </is>
      </c>
      <c r="E231" t="inlineStr">
        <is>
          <t>BRÄCKE</t>
        </is>
      </c>
      <c r="F231" t="inlineStr">
        <is>
          <t>Kyrkan</t>
        </is>
      </c>
      <c r="G231" t="n">
        <v>1.2</v>
      </c>
      <c r="H231" t="n">
        <v>0</v>
      </c>
      <c r="I231" t="n">
        <v>0</v>
      </c>
      <c r="J231" t="n">
        <v>1</v>
      </c>
      <c r="K231" t="n">
        <v>0</v>
      </c>
      <c r="L231" t="n">
        <v>0</v>
      </c>
      <c r="M231" t="n">
        <v>0</v>
      </c>
      <c r="N231" t="n">
        <v>0</v>
      </c>
      <c r="O231" t="n">
        <v>1</v>
      </c>
      <c r="P231" t="n">
        <v>0</v>
      </c>
      <c r="Q231" t="n">
        <v>1</v>
      </c>
      <c r="R231" s="2" t="inlineStr">
        <is>
          <t>Harticka</t>
        </is>
      </c>
      <c r="S231">
        <f>HYPERLINK("https://klasma.github.io/Logging_2305/artfynd/A 55931-2023 artfynd.xlsx", "A 55931-2023")</f>
        <v/>
      </c>
      <c r="T231">
        <f>HYPERLINK("https://klasma.github.io/Logging_2305/kartor/A 55931-2023 karta.png", "A 55931-2023")</f>
        <v/>
      </c>
      <c r="V231">
        <f>HYPERLINK("https://klasma.github.io/Logging_2305/klagomål/A 55931-2023 FSC-klagomål.docx", "A 55931-2023")</f>
        <v/>
      </c>
      <c r="W231">
        <f>HYPERLINK("https://klasma.github.io/Logging_2305/klagomålsmail/A 55931-2023 FSC-klagomål mail.docx", "A 55931-2023")</f>
        <v/>
      </c>
      <c r="X231">
        <f>HYPERLINK("https://klasma.github.io/Logging_2305/tillsyn/A 55931-2023 tillsynsbegäran.docx", "A 55931-2023")</f>
        <v/>
      </c>
      <c r="Y231">
        <f>HYPERLINK("https://klasma.github.io/Logging_2305/tillsynsmail/A 55931-2023 tillsynsbegäran mail.docx", "A 55931-2023")</f>
        <v/>
      </c>
    </row>
    <row r="232" ht="15" customHeight="1">
      <c r="A232" t="inlineStr">
        <is>
          <t>A 29215-2024</t>
        </is>
      </c>
      <c r="B232" s="1" t="n">
        <v>45482.67827546296</v>
      </c>
      <c r="C232" s="1" t="n">
        <v>45891</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45891</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698-2025</t>
        </is>
      </c>
      <c r="B234" s="1" t="n">
        <v>45665.34416666667</v>
      </c>
      <c r="C234" s="1" t="n">
        <v>45891</v>
      </c>
      <c r="D234" t="inlineStr">
        <is>
          <t>JÄMTLANDS LÄN</t>
        </is>
      </c>
      <c r="E234" t="inlineStr">
        <is>
          <t>BRÄCKE</t>
        </is>
      </c>
      <c r="F234" t="inlineStr">
        <is>
          <t>SCA</t>
        </is>
      </c>
      <c r="G234" t="n">
        <v>4.6</v>
      </c>
      <c r="H234" t="n">
        <v>0</v>
      </c>
      <c r="I234" t="n">
        <v>0</v>
      </c>
      <c r="J234" t="n">
        <v>1</v>
      </c>
      <c r="K234" t="n">
        <v>0</v>
      </c>
      <c r="L234" t="n">
        <v>0</v>
      </c>
      <c r="M234" t="n">
        <v>0</v>
      </c>
      <c r="N234" t="n">
        <v>0</v>
      </c>
      <c r="O234" t="n">
        <v>1</v>
      </c>
      <c r="P234" t="n">
        <v>0</v>
      </c>
      <c r="Q234" t="n">
        <v>1</v>
      </c>
      <c r="R234" s="2" t="inlineStr">
        <is>
          <t>Lunglav</t>
        </is>
      </c>
      <c r="S234">
        <f>HYPERLINK("https://klasma.github.io/Logging_2305/artfynd/A 698-2025 artfynd.xlsx", "A 698-2025")</f>
        <v/>
      </c>
      <c r="T234">
        <f>HYPERLINK("https://klasma.github.io/Logging_2305/kartor/A 698-2025 karta.png", "A 698-2025")</f>
        <v/>
      </c>
      <c r="V234">
        <f>HYPERLINK("https://klasma.github.io/Logging_2305/klagomål/A 698-2025 FSC-klagomål.docx", "A 698-2025")</f>
        <v/>
      </c>
      <c r="W234">
        <f>HYPERLINK("https://klasma.github.io/Logging_2305/klagomålsmail/A 698-2025 FSC-klagomål mail.docx", "A 698-2025")</f>
        <v/>
      </c>
      <c r="X234">
        <f>HYPERLINK("https://klasma.github.io/Logging_2305/tillsyn/A 698-2025 tillsynsbegäran.docx", "A 698-2025")</f>
        <v/>
      </c>
      <c r="Y234">
        <f>HYPERLINK("https://klasma.github.io/Logging_2305/tillsynsmail/A 698-2025 tillsynsbegäran mail.docx", "A 698-2025")</f>
        <v/>
      </c>
    </row>
    <row r="235" ht="15" customHeight="1">
      <c r="A235" t="inlineStr">
        <is>
          <t>A 2063-2024</t>
        </is>
      </c>
      <c r="B235" s="1" t="n">
        <v>45308</v>
      </c>
      <c r="C235" s="1" t="n">
        <v>45891</v>
      </c>
      <c r="D235" t="inlineStr">
        <is>
          <t>JÄMTLANDS LÄN</t>
        </is>
      </c>
      <c r="E235" t="inlineStr">
        <is>
          <t>BRÄCKE</t>
        </is>
      </c>
      <c r="F235" t="inlineStr">
        <is>
          <t>SCA</t>
        </is>
      </c>
      <c r="G235" t="n">
        <v>5.7</v>
      </c>
      <c r="H235" t="n">
        <v>0</v>
      </c>
      <c r="I235" t="n">
        <v>0</v>
      </c>
      <c r="J235" t="n">
        <v>0</v>
      </c>
      <c r="K235" t="n">
        <v>1</v>
      </c>
      <c r="L235" t="n">
        <v>0</v>
      </c>
      <c r="M235" t="n">
        <v>0</v>
      </c>
      <c r="N235" t="n">
        <v>0</v>
      </c>
      <c r="O235" t="n">
        <v>1</v>
      </c>
      <c r="P235" t="n">
        <v>1</v>
      </c>
      <c r="Q235" t="n">
        <v>1</v>
      </c>
      <c r="R235" s="2" t="inlineStr">
        <is>
          <t>Gräddporing</t>
        </is>
      </c>
      <c r="S235">
        <f>HYPERLINK("https://klasma.github.io/Logging_2305/artfynd/A 2063-2024 artfynd.xlsx", "A 2063-2024")</f>
        <v/>
      </c>
      <c r="T235">
        <f>HYPERLINK("https://klasma.github.io/Logging_2305/kartor/A 2063-2024 karta.png", "A 2063-2024")</f>
        <v/>
      </c>
      <c r="V235">
        <f>HYPERLINK("https://klasma.github.io/Logging_2305/klagomål/A 2063-2024 FSC-klagomål.docx", "A 2063-2024")</f>
        <v/>
      </c>
      <c r="W235">
        <f>HYPERLINK("https://klasma.github.io/Logging_2305/klagomålsmail/A 2063-2024 FSC-klagomål mail.docx", "A 2063-2024")</f>
        <v/>
      </c>
      <c r="X235">
        <f>HYPERLINK("https://klasma.github.io/Logging_2305/tillsyn/A 2063-2024 tillsynsbegäran.docx", "A 2063-2024")</f>
        <v/>
      </c>
      <c r="Y235">
        <f>HYPERLINK("https://klasma.github.io/Logging_2305/tillsynsmail/A 2063-2024 tillsynsbegäran mail.docx", "A 2063-2024")</f>
        <v/>
      </c>
    </row>
    <row r="236" ht="15" customHeight="1">
      <c r="A236" t="inlineStr">
        <is>
          <t>A 11549-2025</t>
        </is>
      </c>
      <c r="B236" s="1" t="n">
        <v>45727.34460648148</v>
      </c>
      <c r="C236" s="1" t="n">
        <v>45891</v>
      </c>
      <c r="D236" t="inlineStr">
        <is>
          <t>JÄMTLANDS LÄN</t>
        </is>
      </c>
      <c r="E236" t="inlineStr">
        <is>
          <t>BRÄCKE</t>
        </is>
      </c>
      <c r="F236" t="inlineStr">
        <is>
          <t>SCA</t>
        </is>
      </c>
      <c r="G236" t="n">
        <v>6.4</v>
      </c>
      <c r="H236" t="n">
        <v>0</v>
      </c>
      <c r="I236" t="n">
        <v>0</v>
      </c>
      <c r="J236" t="n">
        <v>1</v>
      </c>
      <c r="K236" t="n">
        <v>0</v>
      </c>
      <c r="L236" t="n">
        <v>0</v>
      </c>
      <c r="M236" t="n">
        <v>0</v>
      </c>
      <c r="N236" t="n">
        <v>0</v>
      </c>
      <c r="O236" t="n">
        <v>1</v>
      </c>
      <c r="P236" t="n">
        <v>0</v>
      </c>
      <c r="Q236" t="n">
        <v>1</v>
      </c>
      <c r="R236" s="2" t="inlineStr">
        <is>
          <t>Vedtrappmossa</t>
        </is>
      </c>
      <c r="S236">
        <f>HYPERLINK("https://klasma.github.io/Logging_2305/artfynd/A 11549-2025 artfynd.xlsx", "A 11549-2025")</f>
        <v/>
      </c>
      <c r="T236">
        <f>HYPERLINK("https://klasma.github.io/Logging_2305/kartor/A 11549-2025 karta.png", "A 11549-2025")</f>
        <v/>
      </c>
      <c r="V236">
        <f>HYPERLINK("https://klasma.github.io/Logging_2305/klagomål/A 11549-2025 FSC-klagomål.docx", "A 11549-2025")</f>
        <v/>
      </c>
      <c r="W236">
        <f>HYPERLINK("https://klasma.github.io/Logging_2305/klagomålsmail/A 11549-2025 FSC-klagomål mail.docx", "A 11549-2025")</f>
        <v/>
      </c>
      <c r="X236">
        <f>HYPERLINK("https://klasma.github.io/Logging_2305/tillsyn/A 11549-2025 tillsynsbegäran.docx", "A 11549-2025")</f>
        <v/>
      </c>
      <c r="Y236">
        <f>HYPERLINK("https://klasma.github.io/Logging_2305/tillsynsmail/A 11549-2025 tillsynsbegäran mail.docx", "A 11549-2025")</f>
        <v/>
      </c>
    </row>
    <row r="237" ht="15" customHeight="1">
      <c r="A237" t="inlineStr">
        <is>
          <t>A 7686-2025</t>
        </is>
      </c>
      <c r="B237" s="1" t="n">
        <v>45706.38579861111</v>
      </c>
      <c r="C237" s="1" t="n">
        <v>45891</v>
      </c>
      <c r="D237" t="inlineStr">
        <is>
          <t>JÄMTLANDS LÄN</t>
        </is>
      </c>
      <c r="E237" t="inlineStr">
        <is>
          <t>BRÄCKE</t>
        </is>
      </c>
      <c r="F237" t="inlineStr">
        <is>
          <t>SCA</t>
        </is>
      </c>
      <c r="G237" t="n">
        <v>1</v>
      </c>
      <c r="H237" t="n">
        <v>1</v>
      </c>
      <c r="I237" t="n">
        <v>0</v>
      </c>
      <c r="J237" t="n">
        <v>0</v>
      </c>
      <c r="K237" t="n">
        <v>1</v>
      </c>
      <c r="L237" t="n">
        <v>0</v>
      </c>
      <c r="M237" t="n">
        <v>0</v>
      </c>
      <c r="N237" t="n">
        <v>0</v>
      </c>
      <c r="O237" t="n">
        <v>1</v>
      </c>
      <c r="P237" t="n">
        <v>1</v>
      </c>
      <c r="Q237" t="n">
        <v>1</v>
      </c>
      <c r="R237" s="2" t="inlineStr">
        <is>
          <t>Knärot</t>
        </is>
      </c>
      <c r="S237">
        <f>HYPERLINK("https://klasma.github.io/Logging_2305/artfynd/A 7686-2025 artfynd.xlsx", "A 7686-2025")</f>
        <v/>
      </c>
      <c r="T237">
        <f>HYPERLINK("https://klasma.github.io/Logging_2305/kartor/A 7686-2025 karta.png", "A 7686-2025")</f>
        <v/>
      </c>
      <c r="U237">
        <f>HYPERLINK("https://klasma.github.io/Logging_2305/knärot/A 7686-2025 karta knärot.png", "A 7686-2025")</f>
        <v/>
      </c>
      <c r="V237">
        <f>HYPERLINK("https://klasma.github.io/Logging_2305/klagomål/A 7686-2025 FSC-klagomål.docx", "A 7686-2025")</f>
        <v/>
      </c>
      <c r="W237">
        <f>HYPERLINK("https://klasma.github.io/Logging_2305/klagomålsmail/A 7686-2025 FSC-klagomål mail.docx", "A 7686-2025")</f>
        <v/>
      </c>
      <c r="X237">
        <f>HYPERLINK("https://klasma.github.io/Logging_2305/tillsyn/A 7686-2025 tillsynsbegäran.docx", "A 7686-2025")</f>
        <v/>
      </c>
      <c r="Y237">
        <f>HYPERLINK("https://klasma.github.io/Logging_2305/tillsynsmail/A 7686-2025 tillsynsbegäran mail.docx", "A 7686-2025")</f>
        <v/>
      </c>
    </row>
    <row r="238" ht="15" customHeight="1">
      <c r="A238" t="inlineStr">
        <is>
          <t>A 20768-2024</t>
        </is>
      </c>
      <c r="B238" s="1" t="n">
        <v>45436.94594907408</v>
      </c>
      <c r="C238" s="1" t="n">
        <v>45891</v>
      </c>
      <c r="D238" t="inlineStr">
        <is>
          <t>JÄMTLANDS LÄN</t>
        </is>
      </c>
      <c r="E238" t="inlineStr">
        <is>
          <t>BRÄCKE</t>
        </is>
      </c>
      <c r="F238" t="inlineStr">
        <is>
          <t>SCA</t>
        </is>
      </c>
      <c r="G238" t="n">
        <v>12.6</v>
      </c>
      <c r="H238" t="n">
        <v>1</v>
      </c>
      <c r="I238" t="n">
        <v>0</v>
      </c>
      <c r="J238" t="n">
        <v>0</v>
      </c>
      <c r="K238" t="n">
        <v>1</v>
      </c>
      <c r="L238" t="n">
        <v>0</v>
      </c>
      <c r="M238" t="n">
        <v>0</v>
      </c>
      <c r="N238" t="n">
        <v>0</v>
      </c>
      <c r="O238" t="n">
        <v>1</v>
      </c>
      <c r="P238" t="n">
        <v>1</v>
      </c>
      <c r="Q238" t="n">
        <v>1</v>
      </c>
      <c r="R238" s="2" t="inlineStr">
        <is>
          <t>Doftticka</t>
        </is>
      </c>
      <c r="S238">
        <f>HYPERLINK("https://klasma.github.io/Logging_2305/artfynd/A 20768-2024 artfynd.xlsx", "A 20768-2024")</f>
        <v/>
      </c>
      <c r="T238">
        <f>HYPERLINK("https://klasma.github.io/Logging_2305/kartor/A 20768-2024 karta.png", "A 20768-2024")</f>
        <v/>
      </c>
      <c r="V238">
        <f>HYPERLINK("https://klasma.github.io/Logging_2305/klagomål/A 20768-2024 FSC-klagomål.docx", "A 20768-2024")</f>
        <v/>
      </c>
      <c r="W238">
        <f>HYPERLINK("https://klasma.github.io/Logging_2305/klagomålsmail/A 20768-2024 FSC-klagomål mail.docx", "A 20768-2024")</f>
        <v/>
      </c>
      <c r="X238">
        <f>HYPERLINK("https://klasma.github.io/Logging_2305/tillsyn/A 20768-2024 tillsynsbegäran.docx", "A 20768-2024")</f>
        <v/>
      </c>
      <c r="Y238">
        <f>HYPERLINK("https://klasma.github.io/Logging_2305/tillsynsmail/A 20768-2024 tillsynsbegäran mail.docx", "A 20768-2024")</f>
        <v/>
      </c>
    </row>
    <row r="239" ht="15" customHeight="1">
      <c r="A239" t="inlineStr">
        <is>
          <t>A 33479-2024</t>
        </is>
      </c>
      <c r="B239" s="1" t="n">
        <v>45519.60824074074</v>
      </c>
      <c r="C239" s="1" t="n">
        <v>45891</v>
      </c>
      <c r="D239" t="inlineStr">
        <is>
          <t>JÄMTLANDS LÄN</t>
        </is>
      </c>
      <c r="E239" t="inlineStr">
        <is>
          <t>BRÄCKE</t>
        </is>
      </c>
      <c r="F239" t="inlineStr">
        <is>
          <t>SCA</t>
        </is>
      </c>
      <c r="G239" t="n">
        <v>1.3</v>
      </c>
      <c r="H239" t="n">
        <v>1</v>
      </c>
      <c r="I239" t="n">
        <v>0</v>
      </c>
      <c r="J239" t="n">
        <v>0</v>
      </c>
      <c r="K239" t="n">
        <v>0</v>
      </c>
      <c r="L239" t="n">
        <v>0</v>
      </c>
      <c r="M239" t="n">
        <v>0</v>
      </c>
      <c r="N239" t="n">
        <v>0</v>
      </c>
      <c r="O239" t="n">
        <v>0</v>
      </c>
      <c r="P239" t="n">
        <v>0</v>
      </c>
      <c r="Q239" t="n">
        <v>1</v>
      </c>
      <c r="R239" s="2" t="inlineStr">
        <is>
          <t>Revlummer</t>
        </is>
      </c>
      <c r="S239">
        <f>HYPERLINK("https://klasma.github.io/Logging_2305/artfynd/A 33479-2024 artfynd.xlsx", "A 33479-2024")</f>
        <v/>
      </c>
      <c r="T239">
        <f>HYPERLINK("https://klasma.github.io/Logging_2305/kartor/A 33479-2024 karta.png", "A 33479-2024")</f>
        <v/>
      </c>
      <c r="V239">
        <f>HYPERLINK("https://klasma.github.io/Logging_2305/klagomål/A 33479-2024 FSC-klagomål.docx", "A 33479-2024")</f>
        <v/>
      </c>
      <c r="W239">
        <f>HYPERLINK("https://klasma.github.io/Logging_2305/klagomålsmail/A 33479-2024 FSC-klagomål mail.docx", "A 33479-2024")</f>
        <v/>
      </c>
      <c r="X239">
        <f>HYPERLINK("https://klasma.github.io/Logging_2305/tillsyn/A 33479-2024 tillsynsbegäran.docx", "A 33479-2024")</f>
        <v/>
      </c>
      <c r="Y239">
        <f>HYPERLINK("https://klasma.github.io/Logging_2305/tillsynsmail/A 33479-2024 tillsynsbegäran mail.docx", "A 33479-2024")</f>
        <v/>
      </c>
    </row>
    <row r="240" ht="15" customHeight="1">
      <c r="A240" t="inlineStr">
        <is>
          <t>A 725-2023</t>
        </is>
      </c>
      <c r="B240" s="1" t="n">
        <v>44930</v>
      </c>
      <c r="C240" s="1" t="n">
        <v>45891</v>
      </c>
      <c r="D240" t="inlineStr">
        <is>
          <t>JÄMTLANDS LÄN</t>
        </is>
      </c>
      <c r="E240" t="inlineStr">
        <is>
          <t>BRÄCKE</t>
        </is>
      </c>
      <c r="F240" t="inlineStr">
        <is>
          <t>SCA</t>
        </is>
      </c>
      <c r="G240" t="n">
        <v>0.9</v>
      </c>
      <c r="H240" t="n">
        <v>0</v>
      </c>
      <c r="I240" t="n">
        <v>0</v>
      </c>
      <c r="J240" t="n">
        <v>1</v>
      </c>
      <c r="K240" t="n">
        <v>0</v>
      </c>
      <c r="L240" t="n">
        <v>0</v>
      </c>
      <c r="M240" t="n">
        <v>0</v>
      </c>
      <c r="N240" t="n">
        <v>0</v>
      </c>
      <c r="O240" t="n">
        <v>1</v>
      </c>
      <c r="P240" t="n">
        <v>0</v>
      </c>
      <c r="Q240" t="n">
        <v>1</v>
      </c>
      <c r="R240" s="2" t="inlineStr">
        <is>
          <t>Kolflarnlav</t>
        </is>
      </c>
      <c r="S240">
        <f>HYPERLINK("https://klasma.github.io/Logging_2305/artfynd/A 725-2023 artfynd.xlsx", "A 725-2023")</f>
        <v/>
      </c>
      <c r="T240">
        <f>HYPERLINK("https://klasma.github.io/Logging_2305/kartor/A 725-2023 karta.png", "A 725-2023")</f>
        <v/>
      </c>
      <c r="V240">
        <f>HYPERLINK("https://klasma.github.io/Logging_2305/klagomål/A 725-2023 FSC-klagomål.docx", "A 725-2023")</f>
        <v/>
      </c>
      <c r="W240">
        <f>HYPERLINK("https://klasma.github.io/Logging_2305/klagomålsmail/A 725-2023 FSC-klagomål mail.docx", "A 725-2023")</f>
        <v/>
      </c>
      <c r="X240">
        <f>HYPERLINK("https://klasma.github.io/Logging_2305/tillsyn/A 725-2023 tillsynsbegäran.docx", "A 725-2023")</f>
        <v/>
      </c>
      <c r="Y240">
        <f>HYPERLINK("https://klasma.github.io/Logging_2305/tillsynsmail/A 725-2023 tillsynsbegäran mail.docx", "A 725-2023")</f>
        <v/>
      </c>
    </row>
    <row r="241" ht="15" customHeight="1">
      <c r="A241" t="inlineStr">
        <is>
          <t>A 57553-2024</t>
        </is>
      </c>
      <c r="B241" s="1" t="n">
        <v>45630.44898148148</v>
      </c>
      <c r="C241" s="1" t="n">
        <v>45891</v>
      </c>
      <c r="D241" t="inlineStr">
        <is>
          <t>JÄMTLANDS LÄN</t>
        </is>
      </c>
      <c r="E241" t="inlineStr">
        <is>
          <t>BRÄCKE</t>
        </is>
      </c>
      <c r="F241" t="inlineStr">
        <is>
          <t>SCA</t>
        </is>
      </c>
      <c r="G241" t="n">
        <v>8</v>
      </c>
      <c r="H241" t="n">
        <v>0</v>
      </c>
      <c r="I241" t="n">
        <v>0</v>
      </c>
      <c r="J241" t="n">
        <v>1</v>
      </c>
      <c r="K241" t="n">
        <v>0</v>
      </c>
      <c r="L241" t="n">
        <v>0</v>
      </c>
      <c r="M241" t="n">
        <v>0</v>
      </c>
      <c r="N241" t="n">
        <v>0</v>
      </c>
      <c r="O241" t="n">
        <v>1</v>
      </c>
      <c r="P241" t="n">
        <v>0</v>
      </c>
      <c r="Q241" t="n">
        <v>1</v>
      </c>
      <c r="R241" s="2" t="inlineStr">
        <is>
          <t>Lunglav</t>
        </is>
      </c>
      <c r="S241">
        <f>HYPERLINK("https://klasma.github.io/Logging_2305/artfynd/A 57553-2024 artfynd.xlsx", "A 57553-2024")</f>
        <v/>
      </c>
      <c r="T241">
        <f>HYPERLINK("https://klasma.github.io/Logging_2305/kartor/A 57553-2024 karta.png", "A 57553-2024")</f>
        <v/>
      </c>
      <c r="V241">
        <f>HYPERLINK("https://klasma.github.io/Logging_2305/klagomål/A 57553-2024 FSC-klagomål.docx", "A 57553-2024")</f>
        <v/>
      </c>
      <c r="W241">
        <f>HYPERLINK("https://klasma.github.io/Logging_2305/klagomålsmail/A 57553-2024 FSC-klagomål mail.docx", "A 57553-2024")</f>
        <v/>
      </c>
      <c r="X241">
        <f>HYPERLINK("https://klasma.github.io/Logging_2305/tillsyn/A 57553-2024 tillsynsbegäran.docx", "A 57553-2024")</f>
        <v/>
      </c>
      <c r="Y241">
        <f>HYPERLINK("https://klasma.github.io/Logging_2305/tillsynsmail/A 57553-2024 tillsynsbegäran mail.docx", "A 57553-2024")</f>
        <v/>
      </c>
    </row>
    <row r="242" ht="15" customHeight="1">
      <c r="A242" t="inlineStr">
        <is>
          <t>A 14374-2024</t>
        </is>
      </c>
      <c r="B242" s="1" t="n">
        <v>45393</v>
      </c>
      <c r="C242" s="1" t="n">
        <v>45891</v>
      </c>
      <c r="D242" t="inlineStr">
        <is>
          <t>JÄMTLANDS LÄN</t>
        </is>
      </c>
      <c r="E242" t="inlineStr">
        <is>
          <t>BRÄCKE</t>
        </is>
      </c>
      <c r="F242" t="inlineStr">
        <is>
          <t>SCA</t>
        </is>
      </c>
      <c r="G242" t="n">
        <v>0.8</v>
      </c>
      <c r="H242" t="n">
        <v>1</v>
      </c>
      <c r="I242" t="n">
        <v>0</v>
      </c>
      <c r="J242" t="n">
        <v>1</v>
      </c>
      <c r="K242" t="n">
        <v>0</v>
      </c>
      <c r="L242" t="n">
        <v>0</v>
      </c>
      <c r="M242" t="n">
        <v>0</v>
      </c>
      <c r="N242" t="n">
        <v>0</v>
      </c>
      <c r="O242" t="n">
        <v>1</v>
      </c>
      <c r="P242" t="n">
        <v>0</v>
      </c>
      <c r="Q242" t="n">
        <v>1</v>
      </c>
      <c r="R242" s="2" t="inlineStr">
        <is>
          <t>Kungsörn</t>
        </is>
      </c>
      <c r="S242">
        <f>HYPERLINK("https://klasma.github.io/Logging_2305/artfynd/A 14374-2024 artfynd.xlsx", "A 14374-2024")</f>
        <v/>
      </c>
      <c r="T242">
        <f>HYPERLINK("https://klasma.github.io/Logging_2305/kartor/A 14374-2024 karta.png", "A 14374-2024")</f>
        <v/>
      </c>
      <c r="V242">
        <f>HYPERLINK("https://klasma.github.io/Logging_2305/klagomål/A 14374-2024 FSC-klagomål.docx", "A 14374-2024")</f>
        <v/>
      </c>
      <c r="W242">
        <f>HYPERLINK("https://klasma.github.io/Logging_2305/klagomålsmail/A 14374-2024 FSC-klagomål mail.docx", "A 14374-2024")</f>
        <v/>
      </c>
      <c r="X242">
        <f>HYPERLINK("https://klasma.github.io/Logging_2305/tillsyn/A 14374-2024 tillsynsbegäran.docx", "A 14374-2024")</f>
        <v/>
      </c>
      <c r="Y242">
        <f>HYPERLINK("https://klasma.github.io/Logging_2305/tillsynsmail/A 14374-2024 tillsynsbegäran mail.docx", "A 14374-2024")</f>
        <v/>
      </c>
      <c r="Z242">
        <f>HYPERLINK("https://klasma.github.io/Logging_2305/fåglar/A 14374-2024 prioriterade fågelarter.docx", "A 14374-2024")</f>
        <v/>
      </c>
    </row>
    <row r="243" ht="15" customHeight="1">
      <c r="A243" t="inlineStr">
        <is>
          <t>A 12296-2025</t>
        </is>
      </c>
      <c r="B243" s="1" t="n">
        <v>45729.69829861111</v>
      </c>
      <c r="C243" s="1" t="n">
        <v>45891</v>
      </c>
      <c r="D243" t="inlineStr">
        <is>
          <t>JÄMTLANDS LÄN</t>
        </is>
      </c>
      <c r="E243" t="inlineStr">
        <is>
          <t>BRÄCKE</t>
        </is>
      </c>
      <c r="F243" t="inlineStr">
        <is>
          <t>SCA</t>
        </is>
      </c>
      <c r="G243" t="n">
        <v>2.2</v>
      </c>
      <c r="H243" t="n">
        <v>0</v>
      </c>
      <c r="I243" t="n">
        <v>0</v>
      </c>
      <c r="J243" t="n">
        <v>1</v>
      </c>
      <c r="K243" t="n">
        <v>0</v>
      </c>
      <c r="L243" t="n">
        <v>0</v>
      </c>
      <c r="M243" t="n">
        <v>0</v>
      </c>
      <c r="N243" t="n">
        <v>0</v>
      </c>
      <c r="O243" t="n">
        <v>1</v>
      </c>
      <c r="P243" t="n">
        <v>0</v>
      </c>
      <c r="Q243" t="n">
        <v>1</v>
      </c>
      <c r="R243" s="2" t="inlineStr">
        <is>
          <t>Lunglav</t>
        </is>
      </c>
      <c r="S243">
        <f>HYPERLINK("https://klasma.github.io/Logging_2305/artfynd/A 12296-2025 artfynd.xlsx", "A 12296-2025")</f>
        <v/>
      </c>
      <c r="T243">
        <f>HYPERLINK("https://klasma.github.io/Logging_2305/kartor/A 12296-2025 karta.png", "A 12296-2025")</f>
        <v/>
      </c>
      <c r="V243">
        <f>HYPERLINK("https://klasma.github.io/Logging_2305/klagomål/A 12296-2025 FSC-klagomål.docx", "A 12296-2025")</f>
        <v/>
      </c>
      <c r="W243">
        <f>HYPERLINK("https://klasma.github.io/Logging_2305/klagomålsmail/A 12296-2025 FSC-klagomål mail.docx", "A 12296-2025")</f>
        <v/>
      </c>
      <c r="X243">
        <f>HYPERLINK("https://klasma.github.io/Logging_2305/tillsyn/A 12296-2025 tillsynsbegäran.docx", "A 12296-2025")</f>
        <v/>
      </c>
      <c r="Y243">
        <f>HYPERLINK("https://klasma.github.io/Logging_2305/tillsynsmail/A 12296-2025 tillsynsbegäran mail.docx", "A 12296-2025")</f>
        <v/>
      </c>
    </row>
    <row r="244" ht="15" customHeight="1">
      <c r="A244" t="inlineStr">
        <is>
          <t>A 15076-2022</t>
        </is>
      </c>
      <c r="B244" s="1" t="n">
        <v>44657</v>
      </c>
      <c r="C244" s="1" t="n">
        <v>45891</v>
      </c>
      <c r="D244" t="inlineStr">
        <is>
          <t>JÄMTLANDS LÄN</t>
        </is>
      </c>
      <c r="E244" t="inlineStr">
        <is>
          <t>BRÄCKE</t>
        </is>
      </c>
      <c r="G244" t="n">
        <v>24.7</v>
      </c>
      <c r="H244" t="n">
        <v>0</v>
      </c>
      <c r="I244" t="n">
        <v>0</v>
      </c>
      <c r="J244" t="n">
        <v>1</v>
      </c>
      <c r="K244" t="n">
        <v>0</v>
      </c>
      <c r="L244" t="n">
        <v>0</v>
      </c>
      <c r="M244" t="n">
        <v>0</v>
      </c>
      <c r="N244" t="n">
        <v>0</v>
      </c>
      <c r="O244" t="n">
        <v>1</v>
      </c>
      <c r="P244" t="n">
        <v>0</v>
      </c>
      <c r="Q244" t="n">
        <v>1</v>
      </c>
      <c r="R244" s="2" t="inlineStr">
        <is>
          <t>Skrovellav</t>
        </is>
      </c>
      <c r="S244">
        <f>HYPERLINK("https://klasma.github.io/Logging_2305/artfynd/A 15076-2022 artfynd.xlsx", "A 15076-2022")</f>
        <v/>
      </c>
      <c r="T244">
        <f>HYPERLINK("https://klasma.github.io/Logging_2305/kartor/A 15076-2022 karta.png", "A 15076-2022")</f>
        <v/>
      </c>
      <c r="V244">
        <f>HYPERLINK("https://klasma.github.io/Logging_2305/klagomål/A 15076-2022 FSC-klagomål.docx", "A 15076-2022")</f>
        <v/>
      </c>
      <c r="W244">
        <f>HYPERLINK("https://klasma.github.io/Logging_2305/klagomålsmail/A 15076-2022 FSC-klagomål mail.docx", "A 15076-2022")</f>
        <v/>
      </c>
      <c r="X244">
        <f>HYPERLINK("https://klasma.github.io/Logging_2305/tillsyn/A 15076-2022 tillsynsbegäran.docx", "A 15076-2022")</f>
        <v/>
      </c>
      <c r="Y244">
        <f>HYPERLINK("https://klasma.github.io/Logging_2305/tillsynsmail/A 15076-2022 tillsynsbegäran mail.docx", "A 15076-2022")</f>
        <v/>
      </c>
    </row>
    <row r="245" ht="15" customHeight="1">
      <c r="A245" t="inlineStr">
        <is>
          <t>A 56156-2024</t>
        </is>
      </c>
      <c r="B245" s="1" t="n">
        <v>45624.53180555555</v>
      </c>
      <c r="C245" s="1" t="n">
        <v>45891</v>
      </c>
      <c r="D245" t="inlineStr">
        <is>
          <t>JÄMTLANDS LÄN</t>
        </is>
      </c>
      <c r="E245" t="inlineStr">
        <is>
          <t>BRÄCKE</t>
        </is>
      </c>
      <c r="F245" t="inlineStr">
        <is>
          <t>SCA</t>
        </is>
      </c>
      <c r="G245" t="n">
        <v>4.4</v>
      </c>
      <c r="H245" t="n">
        <v>0</v>
      </c>
      <c r="I245" t="n">
        <v>0</v>
      </c>
      <c r="J245" t="n">
        <v>1</v>
      </c>
      <c r="K245" t="n">
        <v>0</v>
      </c>
      <c r="L245" t="n">
        <v>0</v>
      </c>
      <c r="M245" t="n">
        <v>0</v>
      </c>
      <c r="N245" t="n">
        <v>0</v>
      </c>
      <c r="O245" t="n">
        <v>1</v>
      </c>
      <c r="P245" t="n">
        <v>0</v>
      </c>
      <c r="Q245" t="n">
        <v>1</v>
      </c>
      <c r="R245" s="2" t="inlineStr">
        <is>
          <t>Flattoppad klubbsvamp</t>
        </is>
      </c>
      <c r="S245">
        <f>HYPERLINK("https://klasma.github.io/Logging_2305/artfynd/A 56156-2024 artfynd.xlsx", "A 56156-2024")</f>
        <v/>
      </c>
      <c r="T245">
        <f>HYPERLINK("https://klasma.github.io/Logging_2305/kartor/A 56156-2024 karta.png", "A 56156-2024")</f>
        <v/>
      </c>
      <c r="V245">
        <f>HYPERLINK("https://klasma.github.io/Logging_2305/klagomål/A 56156-2024 FSC-klagomål.docx", "A 56156-2024")</f>
        <v/>
      </c>
      <c r="W245">
        <f>HYPERLINK("https://klasma.github.io/Logging_2305/klagomålsmail/A 56156-2024 FSC-klagomål mail.docx", "A 56156-2024")</f>
        <v/>
      </c>
      <c r="X245">
        <f>HYPERLINK("https://klasma.github.io/Logging_2305/tillsyn/A 56156-2024 tillsynsbegäran.docx", "A 56156-2024")</f>
        <v/>
      </c>
      <c r="Y245">
        <f>HYPERLINK("https://klasma.github.io/Logging_2305/tillsynsmail/A 56156-2024 tillsynsbegäran mail.docx", "A 56156-2024")</f>
        <v/>
      </c>
    </row>
    <row r="246" ht="15" customHeight="1">
      <c r="A246" t="inlineStr">
        <is>
          <t>A 29546-2024</t>
        </is>
      </c>
      <c r="B246" s="1" t="n">
        <v>45484.50435185185</v>
      </c>
      <c r="C246" s="1" t="n">
        <v>45891</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789-2025</t>
        </is>
      </c>
      <c r="B247" s="1" t="n">
        <v>45665.51072916666</v>
      </c>
      <c r="C247" s="1" t="n">
        <v>45891</v>
      </c>
      <c r="D247" t="inlineStr">
        <is>
          <t>JÄMTLANDS LÄN</t>
        </is>
      </c>
      <c r="E247" t="inlineStr">
        <is>
          <t>BRÄCKE</t>
        </is>
      </c>
      <c r="F247" t="inlineStr">
        <is>
          <t>SCA</t>
        </is>
      </c>
      <c r="G247" t="n">
        <v>2.6</v>
      </c>
      <c r="H247" t="n">
        <v>0</v>
      </c>
      <c r="I247" t="n">
        <v>0</v>
      </c>
      <c r="J247" t="n">
        <v>1</v>
      </c>
      <c r="K247" t="n">
        <v>0</v>
      </c>
      <c r="L247" t="n">
        <v>0</v>
      </c>
      <c r="M247" t="n">
        <v>0</v>
      </c>
      <c r="N247" t="n">
        <v>0</v>
      </c>
      <c r="O247" t="n">
        <v>1</v>
      </c>
      <c r="P247" t="n">
        <v>0</v>
      </c>
      <c r="Q247" t="n">
        <v>1</v>
      </c>
      <c r="R247" s="2" t="inlineStr">
        <is>
          <t>Lunglav</t>
        </is>
      </c>
      <c r="S247">
        <f>HYPERLINK("https://klasma.github.io/Logging_2305/artfynd/A 789-2025 artfynd.xlsx", "A 789-2025")</f>
        <v/>
      </c>
      <c r="T247">
        <f>HYPERLINK("https://klasma.github.io/Logging_2305/kartor/A 789-2025 karta.png", "A 789-2025")</f>
        <v/>
      </c>
      <c r="V247">
        <f>HYPERLINK("https://klasma.github.io/Logging_2305/klagomål/A 789-2025 FSC-klagomål.docx", "A 789-2025")</f>
        <v/>
      </c>
      <c r="W247">
        <f>HYPERLINK("https://klasma.github.io/Logging_2305/klagomålsmail/A 789-2025 FSC-klagomål mail.docx", "A 789-2025")</f>
        <v/>
      </c>
      <c r="X247">
        <f>HYPERLINK("https://klasma.github.io/Logging_2305/tillsyn/A 789-2025 tillsynsbegäran.docx", "A 789-2025")</f>
        <v/>
      </c>
      <c r="Y247">
        <f>HYPERLINK("https://klasma.github.io/Logging_2305/tillsynsmail/A 789-2025 tillsynsbegäran mail.docx", "A 789-2025")</f>
        <v/>
      </c>
    </row>
    <row r="248" ht="15" customHeight="1">
      <c r="A248" t="inlineStr">
        <is>
          <t>A 40869-2024</t>
        </is>
      </c>
      <c r="B248" s="1" t="n">
        <v>45558.59409722222</v>
      </c>
      <c r="C248" s="1" t="n">
        <v>45891</v>
      </c>
      <c r="D248" t="inlineStr">
        <is>
          <t>JÄMTLANDS LÄN</t>
        </is>
      </c>
      <c r="E248" t="inlineStr">
        <is>
          <t>BRÄCKE</t>
        </is>
      </c>
      <c r="F248" t="inlineStr">
        <is>
          <t>Naturvårdsverket</t>
        </is>
      </c>
      <c r="G248" t="n">
        <v>1.8</v>
      </c>
      <c r="H248" t="n">
        <v>0</v>
      </c>
      <c r="I248" t="n">
        <v>0</v>
      </c>
      <c r="J248" t="n">
        <v>1</v>
      </c>
      <c r="K248" t="n">
        <v>0</v>
      </c>
      <c r="L248" t="n">
        <v>0</v>
      </c>
      <c r="M248" t="n">
        <v>0</v>
      </c>
      <c r="N248" t="n">
        <v>0</v>
      </c>
      <c r="O248" t="n">
        <v>1</v>
      </c>
      <c r="P248" t="n">
        <v>0</v>
      </c>
      <c r="Q248" t="n">
        <v>1</v>
      </c>
      <c r="R248" s="2" t="inlineStr">
        <is>
          <t>Lunglav</t>
        </is>
      </c>
      <c r="S248">
        <f>HYPERLINK("https://klasma.github.io/Logging_2305/artfynd/A 40869-2024 artfynd.xlsx", "A 40869-2024")</f>
        <v/>
      </c>
      <c r="T248">
        <f>HYPERLINK("https://klasma.github.io/Logging_2305/kartor/A 40869-2024 karta.png", "A 40869-2024")</f>
        <v/>
      </c>
      <c r="V248">
        <f>HYPERLINK("https://klasma.github.io/Logging_2305/klagomål/A 40869-2024 FSC-klagomål.docx", "A 40869-2024")</f>
        <v/>
      </c>
      <c r="W248">
        <f>HYPERLINK("https://klasma.github.io/Logging_2305/klagomålsmail/A 40869-2024 FSC-klagomål mail.docx", "A 40869-2024")</f>
        <v/>
      </c>
      <c r="X248">
        <f>HYPERLINK("https://klasma.github.io/Logging_2305/tillsyn/A 40869-2024 tillsynsbegäran.docx", "A 40869-2024")</f>
        <v/>
      </c>
      <c r="Y248">
        <f>HYPERLINK("https://klasma.github.io/Logging_2305/tillsynsmail/A 40869-2024 tillsynsbegäran mail.docx", "A 40869-2024")</f>
        <v/>
      </c>
    </row>
    <row r="249" ht="15" customHeight="1">
      <c r="A249" t="inlineStr">
        <is>
          <t>A 45800-2024</t>
        </is>
      </c>
      <c r="B249" s="1" t="n">
        <v>45579.67771990741</v>
      </c>
      <c r="C249" s="1" t="n">
        <v>45891</v>
      </c>
      <c r="D249" t="inlineStr">
        <is>
          <t>JÄMTLANDS LÄN</t>
        </is>
      </c>
      <c r="E249" t="inlineStr">
        <is>
          <t>BRÄCKE</t>
        </is>
      </c>
      <c r="F249" t="inlineStr">
        <is>
          <t>SCA</t>
        </is>
      </c>
      <c r="G249" t="n">
        <v>5.3</v>
      </c>
      <c r="H249" t="n">
        <v>0</v>
      </c>
      <c r="I249" t="n">
        <v>0</v>
      </c>
      <c r="J249" t="n">
        <v>1</v>
      </c>
      <c r="K249" t="n">
        <v>0</v>
      </c>
      <c r="L249" t="n">
        <v>0</v>
      </c>
      <c r="M249" t="n">
        <v>0</v>
      </c>
      <c r="N249" t="n">
        <v>0</v>
      </c>
      <c r="O249" t="n">
        <v>1</v>
      </c>
      <c r="P249" t="n">
        <v>0</v>
      </c>
      <c r="Q249" t="n">
        <v>1</v>
      </c>
      <c r="R249" s="2" t="inlineStr">
        <is>
          <t>Garnlav</t>
        </is>
      </c>
      <c r="S249">
        <f>HYPERLINK("https://klasma.github.io/Logging_2305/artfynd/A 45800-2024 artfynd.xlsx", "A 45800-2024")</f>
        <v/>
      </c>
      <c r="T249">
        <f>HYPERLINK("https://klasma.github.io/Logging_2305/kartor/A 45800-2024 karta.png", "A 45800-2024")</f>
        <v/>
      </c>
      <c r="V249">
        <f>HYPERLINK("https://klasma.github.io/Logging_2305/klagomål/A 45800-2024 FSC-klagomål.docx", "A 45800-2024")</f>
        <v/>
      </c>
      <c r="W249">
        <f>HYPERLINK("https://klasma.github.io/Logging_2305/klagomålsmail/A 45800-2024 FSC-klagomål mail.docx", "A 45800-2024")</f>
        <v/>
      </c>
      <c r="X249">
        <f>HYPERLINK("https://klasma.github.io/Logging_2305/tillsyn/A 45800-2024 tillsynsbegäran.docx", "A 45800-2024")</f>
        <v/>
      </c>
      <c r="Y249">
        <f>HYPERLINK("https://klasma.github.io/Logging_2305/tillsynsmail/A 45800-2024 tillsynsbegäran mail.docx", "A 45800-2024")</f>
        <v/>
      </c>
    </row>
    <row r="250" ht="15" customHeight="1">
      <c r="A250" t="inlineStr">
        <is>
          <t>A 12062-2023</t>
        </is>
      </c>
      <c r="B250" s="1" t="n">
        <v>44996</v>
      </c>
      <c r="C250" s="1" t="n">
        <v>45891</v>
      </c>
      <c r="D250" t="inlineStr">
        <is>
          <t>JÄMTLANDS LÄN</t>
        </is>
      </c>
      <c r="E250" t="inlineStr">
        <is>
          <t>BRÄCKE</t>
        </is>
      </c>
      <c r="G250" t="n">
        <v>5.4</v>
      </c>
      <c r="H250" t="n">
        <v>0</v>
      </c>
      <c r="I250" t="n">
        <v>0</v>
      </c>
      <c r="J250" t="n">
        <v>1</v>
      </c>
      <c r="K250" t="n">
        <v>0</v>
      </c>
      <c r="L250" t="n">
        <v>0</v>
      </c>
      <c r="M250" t="n">
        <v>0</v>
      </c>
      <c r="N250" t="n">
        <v>0</v>
      </c>
      <c r="O250" t="n">
        <v>1</v>
      </c>
      <c r="P250" t="n">
        <v>0</v>
      </c>
      <c r="Q250" t="n">
        <v>1</v>
      </c>
      <c r="R250" s="2" t="inlineStr">
        <is>
          <t>Lunglav</t>
        </is>
      </c>
      <c r="S250">
        <f>HYPERLINK("https://klasma.github.io/Logging_2305/artfynd/A 12062-2023 artfynd.xlsx", "A 12062-2023")</f>
        <v/>
      </c>
      <c r="T250">
        <f>HYPERLINK("https://klasma.github.io/Logging_2305/kartor/A 12062-2023 karta.png", "A 12062-2023")</f>
        <v/>
      </c>
      <c r="V250">
        <f>HYPERLINK("https://klasma.github.io/Logging_2305/klagomål/A 12062-2023 FSC-klagomål.docx", "A 12062-2023")</f>
        <v/>
      </c>
      <c r="W250">
        <f>HYPERLINK("https://klasma.github.io/Logging_2305/klagomålsmail/A 12062-2023 FSC-klagomål mail.docx", "A 12062-2023")</f>
        <v/>
      </c>
      <c r="X250">
        <f>HYPERLINK("https://klasma.github.io/Logging_2305/tillsyn/A 12062-2023 tillsynsbegäran.docx", "A 12062-2023")</f>
        <v/>
      </c>
      <c r="Y250">
        <f>HYPERLINK("https://klasma.github.io/Logging_2305/tillsynsmail/A 12062-2023 tillsynsbegäran mail.docx", "A 12062-2023")</f>
        <v/>
      </c>
    </row>
    <row r="251" ht="15" customHeight="1">
      <c r="A251" t="inlineStr">
        <is>
          <t>A 16573-2023</t>
        </is>
      </c>
      <c r="B251" s="1" t="n">
        <v>45029</v>
      </c>
      <c r="C251" s="1" t="n">
        <v>45891</v>
      </c>
      <c r="D251" t="inlineStr">
        <is>
          <t>JÄMTLANDS LÄN</t>
        </is>
      </c>
      <c r="E251" t="inlineStr">
        <is>
          <t>BRÄCKE</t>
        </is>
      </c>
      <c r="F251" t="inlineStr">
        <is>
          <t>SCA</t>
        </is>
      </c>
      <c r="G251" t="n">
        <v>9.5</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16573-2023 artfynd.xlsx", "A 16573-2023")</f>
        <v/>
      </c>
      <c r="T251">
        <f>HYPERLINK("https://klasma.github.io/Logging_2305/kartor/A 16573-2023 karta.png", "A 16573-2023")</f>
        <v/>
      </c>
      <c r="V251">
        <f>HYPERLINK("https://klasma.github.io/Logging_2305/klagomål/A 16573-2023 FSC-klagomål.docx", "A 16573-2023")</f>
        <v/>
      </c>
      <c r="W251">
        <f>HYPERLINK("https://klasma.github.io/Logging_2305/klagomålsmail/A 16573-2023 FSC-klagomål mail.docx", "A 16573-2023")</f>
        <v/>
      </c>
      <c r="X251">
        <f>HYPERLINK("https://klasma.github.io/Logging_2305/tillsyn/A 16573-2023 tillsynsbegäran.docx", "A 16573-2023")</f>
        <v/>
      </c>
      <c r="Y251">
        <f>HYPERLINK("https://klasma.github.io/Logging_2305/tillsynsmail/A 16573-2023 tillsynsbegäran mail.docx", "A 16573-2023")</f>
        <v/>
      </c>
      <c r="Z251">
        <f>HYPERLINK("https://klasma.github.io/Logging_2305/fåglar/A 16573-2023 prioriterade fågelarter.docx", "A 16573-2023")</f>
        <v/>
      </c>
    </row>
    <row r="252" ht="15" customHeight="1">
      <c r="A252" t="inlineStr">
        <is>
          <t>A 20866-2025</t>
        </is>
      </c>
      <c r="B252" s="1" t="n">
        <v>45777.34456018519</v>
      </c>
      <c r="C252" s="1" t="n">
        <v>45891</v>
      </c>
      <c r="D252" t="inlineStr">
        <is>
          <t>JÄMTLANDS LÄN</t>
        </is>
      </c>
      <c r="E252" t="inlineStr">
        <is>
          <t>BRÄCKE</t>
        </is>
      </c>
      <c r="F252" t="inlineStr">
        <is>
          <t>SCA</t>
        </is>
      </c>
      <c r="G252" t="n">
        <v>2.8</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20866-2025 artfynd.xlsx", "A 20866-2025")</f>
        <v/>
      </c>
      <c r="T252">
        <f>HYPERLINK("https://klasma.github.io/Logging_2305/kartor/A 20866-2025 karta.png", "A 20866-2025")</f>
        <v/>
      </c>
      <c r="V252">
        <f>HYPERLINK("https://klasma.github.io/Logging_2305/klagomål/A 20866-2025 FSC-klagomål.docx", "A 20866-2025")</f>
        <v/>
      </c>
      <c r="W252">
        <f>HYPERLINK("https://klasma.github.io/Logging_2305/klagomålsmail/A 20866-2025 FSC-klagomål mail.docx", "A 20866-2025")</f>
        <v/>
      </c>
      <c r="X252">
        <f>HYPERLINK("https://klasma.github.io/Logging_2305/tillsyn/A 20866-2025 tillsynsbegäran.docx", "A 20866-2025")</f>
        <v/>
      </c>
      <c r="Y252">
        <f>HYPERLINK("https://klasma.github.io/Logging_2305/tillsynsmail/A 20866-2025 tillsynsbegäran mail.docx", "A 20866-2025")</f>
        <v/>
      </c>
    </row>
    <row r="253" ht="15" customHeight="1">
      <c r="A253" t="inlineStr">
        <is>
          <t>A 21428-2025</t>
        </is>
      </c>
      <c r="B253" s="1" t="n">
        <v>45782.51072916666</v>
      </c>
      <c r="C253" s="1" t="n">
        <v>45891</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Lunglav</t>
        </is>
      </c>
      <c r="S253">
        <f>HYPERLINK("https://klasma.github.io/Logging_2305/artfynd/A 21428-2025 artfynd.xlsx", "A 21428-2025")</f>
        <v/>
      </c>
      <c r="T253">
        <f>HYPERLINK("https://klasma.github.io/Logging_2305/kartor/A 21428-2025 karta.png", "A 21428-2025")</f>
        <v/>
      </c>
      <c r="V253">
        <f>HYPERLINK("https://klasma.github.io/Logging_2305/klagomål/A 21428-2025 FSC-klagomål.docx", "A 21428-2025")</f>
        <v/>
      </c>
      <c r="W253">
        <f>HYPERLINK("https://klasma.github.io/Logging_2305/klagomålsmail/A 21428-2025 FSC-klagomål mail.docx", "A 21428-2025")</f>
        <v/>
      </c>
      <c r="X253">
        <f>HYPERLINK("https://klasma.github.io/Logging_2305/tillsyn/A 21428-2025 tillsynsbegäran.docx", "A 21428-2025")</f>
        <v/>
      </c>
      <c r="Y253">
        <f>HYPERLINK("https://klasma.github.io/Logging_2305/tillsynsmail/A 21428-2025 tillsynsbegäran mail.docx", "A 21428-2025")</f>
        <v/>
      </c>
    </row>
    <row r="254" ht="15" customHeight="1">
      <c r="A254" t="inlineStr">
        <is>
          <t>A 36312-2024</t>
        </is>
      </c>
      <c r="B254" s="1" t="n">
        <v>45534.63096064814</v>
      </c>
      <c r="C254" s="1" t="n">
        <v>45891</v>
      </c>
      <c r="D254" t="inlineStr">
        <is>
          <t>JÄMTLANDS LÄN</t>
        </is>
      </c>
      <c r="E254" t="inlineStr">
        <is>
          <t>BRÄCKE</t>
        </is>
      </c>
      <c r="F254" t="inlineStr">
        <is>
          <t>SCA</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HYPERLINK("https://klasma.github.io/Logging_2305/artfynd/A 36312-2024 artfynd.xlsx", "A 36312-2024")</f>
        <v/>
      </c>
      <c r="T254">
        <f>HYPERLINK("https://klasma.github.io/Logging_2305/kartor/A 36312-2024 karta.png", "A 36312-2024")</f>
        <v/>
      </c>
      <c r="V254">
        <f>HYPERLINK("https://klasma.github.io/Logging_2305/klagomål/A 36312-2024 FSC-klagomål.docx", "A 36312-2024")</f>
        <v/>
      </c>
      <c r="W254">
        <f>HYPERLINK("https://klasma.github.io/Logging_2305/klagomålsmail/A 36312-2024 FSC-klagomål mail.docx", "A 36312-2024")</f>
        <v/>
      </c>
      <c r="X254">
        <f>HYPERLINK("https://klasma.github.io/Logging_2305/tillsyn/A 36312-2024 tillsynsbegäran.docx", "A 36312-2024")</f>
        <v/>
      </c>
      <c r="Y254">
        <f>HYPERLINK("https://klasma.github.io/Logging_2305/tillsynsmail/A 36312-2024 tillsynsbegäran mail.docx", "A 36312-2024")</f>
        <v/>
      </c>
    </row>
    <row r="255" ht="15" customHeight="1">
      <c r="A255" t="inlineStr">
        <is>
          <t>A 8730-2025</t>
        </is>
      </c>
      <c r="B255" s="1" t="n">
        <v>45712.53157407408</v>
      </c>
      <c r="C255" s="1" t="n">
        <v>45891</v>
      </c>
      <c r="D255" t="inlineStr">
        <is>
          <t>JÄMTLANDS LÄN</t>
        </is>
      </c>
      <c r="E255" t="inlineStr">
        <is>
          <t>BRÄCKE</t>
        </is>
      </c>
      <c r="F255" t="inlineStr">
        <is>
          <t>SCA</t>
        </is>
      </c>
      <c r="G255" t="n">
        <v>7.7</v>
      </c>
      <c r="H255" t="n">
        <v>0</v>
      </c>
      <c r="I255" t="n">
        <v>0</v>
      </c>
      <c r="J255" t="n">
        <v>1</v>
      </c>
      <c r="K255" t="n">
        <v>0</v>
      </c>
      <c r="L255" t="n">
        <v>0</v>
      </c>
      <c r="M255" t="n">
        <v>0</v>
      </c>
      <c r="N255" t="n">
        <v>0</v>
      </c>
      <c r="O255" t="n">
        <v>1</v>
      </c>
      <c r="P255" t="n">
        <v>0</v>
      </c>
      <c r="Q255" t="n">
        <v>1</v>
      </c>
      <c r="R255" s="2" t="inlineStr">
        <is>
          <t>Lunglav</t>
        </is>
      </c>
      <c r="S255">
        <f>HYPERLINK("https://klasma.github.io/Logging_2305/artfynd/A 8730-2025 artfynd.xlsx", "A 8730-2025")</f>
        <v/>
      </c>
      <c r="T255">
        <f>HYPERLINK("https://klasma.github.io/Logging_2305/kartor/A 8730-2025 karta.png", "A 8730-2025")</f>
        <v/>
      </c>
      <c r="V255">
        <f>HYPERLINK("https://klasma.github.io/Logging_2305/klagomål/A 8730-2025 FSC-klagomål.docx", "A 8730-2025")</f>
        <v/>
      </c>
      <c r="W255">
        <f>HYPERLINK("https://klasma.github.io/Logging_2305/klagomålsmail/A 8730-2025 FSC-klagomål mail.docx", "A 8730-2025")</f>
        <v/>
      </c>
      <c r="X255">
        <f>HYPERLINK("https://klasma.github.io/Logging_2305/tillsyn/A 8730-2025 tillsynsbegäran.docx", "A 8730-2025")</f>
        <v/>
      </c>
      <c r="Y255">
        <f>HYPERLINK("https://klasma.github.io/Logging_2305/tillsynsmail/A 8730-2025 tillsynsbegäran mail.docx", "A 8730-2025")</f>
        <v/>
      </c>
    </row>
    <row r="256" ht="15" customHeight="1">
      <c r="A256" t="inlineStr">
        <is>
          <t>A 2882-2025</t>
        </is>
      </c>
      <c r="B256" s="1" t="n">
        <v>45677.69878472222</v>
      </c>
      <c r="C256" s="1" t="n">
        <v>45891</v>
      </c>
      <c r="D256" t="inlineStr">
        <is>
          <t>JÄMTLANDS LÄN</t>
        </is>
      </c>
      <c r="E256" t="inlineStr">
        <is>
          <t>BRÄCKE</t>
        </is>
      </c>
      <c r="F256" t="inlineStr">
        <is>
          <t>SCA</t>
        </is>
      </c>
      <c r="G256" t="n">
        <v>2.7</v>
      </c>
      <c r="H256" t="n">
        <v>0</v>
      </c>
      <c r="I256" t="n">
        <v>0</v>
      </c>
      <c r="J256" t="n">
        <v>1</v>
      </c>
      <c r="K256" t="n">
        <v>0</v>
      </c>
      <c r="L256" t="n">
        <v>0</v>
      </c>
      <c r="M256" t="n">
        <v>0</v>
      </c>
      <c r="N256" t="n">
        <v>0</v>
      </c>
      <c r="O256" t="n">
        <v>1</v>
      </c>
      <c r="P256" t="n">
        <v>0</v>
      </c>
      <c r="Q256" t="n">
        <v>1</v>
      </c>
      <c r="R256" s="2" t="inlineStr">
        <is>
          <t>Dvärgbägarlav</t>
        </is>
      </c>
      <c r="S256">
        <f>HYPERLINK("https://klasma.github.io/Logging_2305/artfynd/A 2882-2025 artfynd.xlsx", "A 2882-2025")</f>
        <v/>
      </c>
      <c r="T256">
        <f>HYPERLINK("https://klasma.github.io/Logging_2305/kartor/A 2882-2025 karta.png", "A 2882-2025")</f>
        <v/>
      </c>
      <c r="V256">
        <f>HYPERLINK("https://klasma.github.io/Logging_2305/klagomål/A 2882-2025 FSC-klagomål.docx", "A 2882-2025")</f>
        <v/>
      </c>
      <c r="W256">
        <f>HYPERLINK("https://klasma.github.io/Logging_2305/klagomålsmail/A 2882-2025 FSC-klagomål mail.docx", "A 2882-2025")</f>
        <v/>
      </c>
      <c r="X256">
        <f>HYPERLINK("https://klasma.github.io/Logging_2305/tillsyn/A 2882-2025 tillsynsbegäran.docx", "A 2882-2025")</f>
        <v/>
      </c>
      <c r="Y256">
        <f>HYPERLINK("https://klasma.github.io/Logging_2305/tillsynsmail/A 2882-2025 tillsynsbegäran mail.docx", "A 2882-2025")</f>
        <v/>
      </c>
    </row>
    <row r="257" ht="15" customHeight="1">
      <c r="A257" t="inlineStr">
        <is>
          <t>A 17996-2025</t>
        </is>
      </c>
      <c r="B257" s="1" t="n">
        <v>45761.40716435185</v>
      </c>
      <c r="C257" s="1" t="n">
        <v>45891</v>
      </c>
      <c r="D257" t="inlineStr">
        <is>
          <t>JÄMTLANDS LÄN</t>
        </is>
      </c>
      <c r="E257" t="inlineStr">
        <is>
          <t>BRÄCKE</t>
        </is>
      </c>
      <c r="F257" t="inlineStr">
        <is>
          <t>SCA</t>
        </is>
      </c>
      <c r="G257" t="n">
        <v>1.3</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17996-2025 artfynd.xlsx", "A 17996-2025")</f>
        <v/>
      </c>
      <c r="T257">
        <f>HYPERLINK("https://klasma.github.io/Logging_2305/kartor/A 17996-2025 karta.png", "A 17996-2025")</f>
        <v/>
      </c>
      <c r="V257">
        <f>HYPERLINK("https://klasma.github.io/Logging_2305/klagomål/A 17996-2025 FSC-klagomål.docx", "A 17996-2025")</f>
        <v/>
      </c>
      <c r="W257">
        <f>HYPERLINK("https://klasma.github.io/Logging_2305/klagomålsmail/A 17996-2025 FSC-klagomål mail.docx", "A 17996-2025")</f>
        <v/>
      </c>
      <c r="X257">
        <f>HYPERLINK("https://klasma.github.io/Logging_2305/tillsyn/A 17996-2025 tillsynsbegäran.docx", "A 17996-2025")</f>
        <v/>
      </c>
      <c r="Y257">
        <f>HYPERLINK("https://klasma.github.io/Logging_2305/tillsynsmail/A 17996-2025 tillsynsbegäran mail.docx", "A 17996-2025")</f>
        <v/>
      </c>
    </row>
    <row r="258" ht="15" customHeight="1">
      <c r="A258" t="inlineStr">
        <is>
          <t>A 235-2022</t>
        </is>
      </c>
      <c r="B258" s="1" t="n">
        <v>44564</v>
      </c>
      <c r="C258" s="1" t="n">
        <v>45891</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40097-2023</t>
        </is>
      </c>
      <c r="B259" s="1" t="n">
        <v>45168</v>
      </c>
      <c r="C259" s="1" t="n">
        <v>45891</v>
      </c>
      <c r="D259" t="inlineStr">
        <is>
          <t>JÄMTLANDS LÄN</t>
        </is>
      </c>
      <c r="E259" t="inlineStr">
        <is>
          <t>BRÄCKE</t>
        </is>
      </c>
      <c r="F259" t="inlineStr">
        <is>
          <t>SCA</t>
        </is>
      </c>
      <c r="G259" t="n">
        <v>3.8</v>
      </c>
      <c r="H259" t="n">
        <v>1</v>
      </c>
      <c r="I259" t="n">
        <v>0</v>
      </c>
      <c r="J259" t="n">
        <v>0</v>
      </c>
      <c r="K259" t="n">
        <v>1</v>
      </c>
      <c r="L259" t="n">
        <v>0</v>
      </c>
      <c r="M259" t="n">
        <v>0</v>
      </c>
      <c r="N259" t="n">
        <v>0</v>
      </c>
      <c r="O259" t="n">
        <v>1</v>
      </c>
      <c r="P259" t="n">
        <v>1</v>
      </c>
      <c r="Q259" t="n">
        <v>1</v>
      </c>
      <c r="R259" s="2" t="inlineStr">
        <is>
          <t>Knärot</t>
        </is>
      </c>
      <c r="S259">
        <f>HYPERLINK("https://klasma.github.io/Logging_2305/artfynd/A 40097-2023 artfynd.xlsx", "A 40097-2023")</f>
        <v/>
      </c>
      <c r="T259">
        <f>HYPERLINK("https://klasma.github.io/Logging_2305/kartor/A 40097-2023 karta.png", "A 40097-2023")</f>
        <v/>
      </c>
      <c r="U259">
        <f>HYPERLINK("https://klasma.github.io/Logging_2305/knärot/A 40097-2023 karta knärot.png", "A 40097-2023")</f>
        <v/>
      </c>
      <c r="V259">
        <f>HYPERLINK("https://klasma.github.io/Logging_2305/klagomål/A 40097-2023 FSC-klagomål.docx", "A 40097-2023")</f>
        <v/>
      </c>
      <c r="W259">
        <f>HYPERLINK("https://klasma.github.io/Logging_2305/klagomålsmail/A 40097-2023 FSC-klagomål mail.docx", "A 40097-2023")</f>
        <v/>
      </c>
      <c r="X259">
        <f>HYPERLINK("https://klasma.github.io/Logging_2305/tillsyn/A 40097-2023 tillsynsbegäran.docx", "A 40097-2023")</f>
        <v/>
      </c>
      <c r="Y259">
        <f>HYPERLINK("https://klasma.github.io/Logging_2305/tillsynsmail/A 40097-2023 tillsynsbegäran mail.docx", "A 40097-2023")</f>
        <v/>
      </c>
    </row>
    <row r="260" ht="15" customHeight="1">
      <c r="A260" t="inlineStr">
        <is>
          <t>A 16366-2023</t>
        </is>
      </c>
      <c r="B260" s="1" t="n">
        <v>45028</v>
      </c>
      <c r="C260" s="1" t="n">
        <v>45891</v>
      </c>
      <c r="D260" t="inlineStr">
        <is>
          <t>JÄMTLANDS LÄN</t>
        </is>
      </c>
      <c r="E260" t="inlineStr">
        <is>
          <t>BRÄCKE</t>
        </is>
      </c>
      <c r="G260" t="n">
        <v>9.1</v>
      </c>
      <c r="H260" t="n">
        <v>0</v>
      </c>
      <c r="I260" t="n">
        <v>0</v>
      </c>
      <c r="J260" t="n">
        <v>1</v>
      </c>
      <c r="K260" t="n">
        <v>0</v>
      </c>
      <c r="L260" t="n">
        <v>0</v>
      </c>
      <c r="M260" t="n">
        <v>0</v>
      </c>
      <c r="N260" t="n">
        <v>0</v>
      </c>
      <c r="O260" t="n">
        <v>1</v>
      </c>
      <c r="P260" t="n">
        <v>0</v>
      </c>
      <c r="Q260" t="n">
        <v>1</v>
      </c>
      <c r="R260" s="2" t="inlineStr">
        <is>
          <t>Lunglav</t>
        </is>
      </c>
      <c r="S260">
        <f>HYPERLINK("https://klasma.github.io/Logging_2305/artfynd/A 16366-2023 artfynd.xlsx", "A 16366-2023")</f>
        <v/>
      </c>
      <c r="T260">
        <f>HYPERLINK("https://klasma.github.io/Logging_2305/kartor/A 16366-2023 karta.png", "A 16366-2023")</f>
        <v/>
      </c>
      <c r="V260">
        <f>HYPERLINK("https://klasma.github.io/Logging_2305/klagomål/A 16366-2023 FSC-klagomål.docx", "A 16366-2023")</f>
        <v/>
      </c>
      <c r="W260">
        <f>HYPERLINK("https://klasma.github.io/Logging_2305/klagomålsmail/A 16366-2023 FSC-klagomål mail.docx", "A 16366-2023")</f>
        <v/>
      </c>
      <c r="X260">
        <f>HYPERLINK("https://klasma.github.io/Logging_2305/tillsyn/A 16366-2023 tillsynsbegäran.docx", "A 16366-2023")</f>
        <v/>
      </c>
      <c r="Y260">
        <f>HYPERLINK("https://klasma.github.io/Logging_2305/tillsynsmail/A 16366-2023 tillsynsbegäran mail.docx", "A 16366-2023")</f>
        <v/>
      </c>
    </row>
    <row r="261" ht="15" customHeight="1">
      <c r="A261" t="inlineStr">
        <is>
          <t>A 51910-2024</t>
        </is>
      </c>
      <c r="B261" s="1" t="n">
        <v>45607.59954861111</v>
      </c>
      <c r="C261" s="1" t="n">
        <v>45891</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22651-2025</t>
        </is>
      </c>
      <c r="B262" s="1" t="n">
        <v>45789.46907407408</v>
      </c>
      <c r="C262" s="1" t="n">
        <v>45891</v>
      </c>
      <c r="D262" t="inlineStr">
        <is>
          <t>JÄMTLANDS LÄN</t>
        </is>
      </c>
      <c r="E262" t="inlineStr">
        <is>
          <t>BRÄCKE</t>
        </is>
      </c>
      <c r="F262" t="inlineStr">
        <is>
          <t>SCA</t>
        </is>
      </c>
      <c r="G262" t="n">
        <v>2.3</v>
      </c>
      <c r="H262" t="n">
        <v>1</v>
      </c>
      <c r="I262" t="n">
        <v>1</v>
      </c>
      <c r="J262" t="n">
        <v>0</v>
      </c>
      <c r="K262" t="n">
        <v>0</v>
      </c>
      <c r="L262" t="n">
        <v>0</v>
      </c>
      <c r="M262" t="n">
        <v>0</v>
      </c>
      <c r="N262" t="n">
        <v>0</v>
      </c>
      <c r="O262" t="n">
        <v>0</v>
      </c>
      <c r="P262" t="n">
        <v>0</v>
      </c>
      <c r="Q262" t="n">
        <v>1</v>
      </c>
      <c r="R262" s="2" t="inlineStr">
        <is>
          <t>Guckusko</t>
        </is>
      </c>
      <c r="S262">
        <f>HYPERLINK("https://klasma.github.io/Logging_2305/artfynd/A 22651-2025 artfynd.xlsx", "A 22651-2025")</f>
        <v/>
      </c>
      <c r="T262">
        <f>HYPERLINK("https://klasma.github.io/Logging_2305/kartor/A 22651-2025 karta.png", "A 22651-2025")</f>
        <v/>
      </c>
      <c r="V262">
        <f>HYPERLINK("https://klasma.github.io/Logging_2305/klagomål/A 22651-2025 FSC-klagomål.docx", "A 22651-2025")</f>
        <v/>
      </c>
      <c r="W262">
        <f>HYPERLINK("https://klasma.github.io/Logging_2305/klagomålsmail/A 22651-2025 FSC-klagomål mail.docx", "A 22651-2025")</f>
        <v/>
      </c>
      <c r="X262">
        <f>HYPERLINK("https://klasma.github.io/Logging_2305/tillsyn/A 22651-2025 tillsynsbegäran.docx", "A 22651-2025")</f>
        <v/>
      </c>
      <c r="Y262">
        <f>HYPERLINK("https://klasma.github.io/Logging_2305/tillsynsmail/A 22651-2025 tillsynsbegäran mail.docx", "A 22651-2025")</f>
        <v/>
      </c>
    </row>
    <row r="263" ht="15" customHeight="1">
      <c r="A263" t="inlineStr">
        <is>
          <t>A 41486-2024</t>
        </is>
      </c>
      <c r="B263" s="1" t="n">
        <v>45560.44907407407</v>
      </c>
      <c r="C263" s="1" t="n">
        <v>45891</v>
      </c>
      <c r="D263" t="inlineStr">
        <is>
          <t>JÄMTLANDS LÄN</t>
        </is>
      </c>
      <c r="E263" t="inlineStr">
        <is>
          <t>BRÄCKE</t>
        </is>
      </c>
      <c r="F263" t="inlineStr">
        <is>
          <t>SCA</t>
        </is>
      </c>
      <c r="G263" t="n">
        <v>5.3</v>
      </c>
      <c r="H263" t="n">
        <v>0</v>
      </c>
      <c r="I263" t="n">
        <v>0</v>
      </c>
      <c r="J263" t="n">
        <v>1</v>
      </c>
      <c r="K263" t="n">
        <v>0</v>
      </c>
      <c r="L263" t="n">
        <v>0</v>
      </c>
      <c r="M263" t="n">
        <v>0</v>
      </c>
      <c r="N263" t="n">
        <v>0</v>
      </c>
      <c r="O263" t="n">
        <v>1</v>
      </c>
      <c r="P263" t="n">
        <v>0</v>
      </c>
      <c r="Q263" t="n">
        <v>1</v>
      </c>
      <c r="R263" s="2" t="inlineStr">
        <is>
          <t>Lunglav</t>
        </is>
      </c>
      <c r="S263">
        <f>HYPERLINK("https://klasma.github.io/Logging_2305/artfynd/A 41486-2024 artfynd.xlsx", "A 41486-2024")</f>
        <v/>
      </c>
      <c r="T263">
        <f>HYPERLINK("https://klasma.github.io/Logging_2305/kartor/A 41486-2024 karta.png", "A 41486-2024")</f>
        <v/>
      </c>
      <c r="V263">
        <f>HYPERLINK("https://klasma.github.io/Logging_2305/klagomål/A 41486-2024 FSC-klagomål.docx", "A 41486-2024")</f>
        <v/>
      </c>
      <c r="W263">
        <f>HYPERLINK("https://klasma.github.io/Logging_2305/klagomålsmail/A 41486-2024 FSC-klagomål mail.docx", "A 41486-2024")</f>
        <v/>
      </c>
      <c r="X263">
        <f>HYPERLINK("https://klasma.github.io/Logging_2305/tillsyn/A 41486-2024 tillsynsbegäran.docx", "A 41486-2024")</f>
        <v/>
      </c>
      <c r="Y263">
        <f>HYPERLINK("https://klasma.github.io/Logging_2305/tillsynsmail/A 41486-2024 tillsynsbegäran mail.docx", "A 41486-2024")</f>
        <v/>
      </c>
    </row>
    <row r="264" ht="15" customHeight="1">
      <c r="A264" t="inlineStr">
        <is>
          <t>A 23460-2025</t>
        </is>
      </c>
      <c r="B264" s="1" t="n">
        <v>45792.42776620371</v>
      </c>
      <c r="C264" s="1" t="n">
        <v>45891</v>
      </c>
      <c r="D264" t="inlineStr">
        <is>
          <t>JÄMTLANDS LÄN</t>
        </is>
      </c>
      <c r="E264" t="inlineStr">
        <is>
          <t>BRÄCKE</t>
        </is>
      </c>
      <c r="F264" t="inlineStr">
        <is>
          <t>SCA</t>
        </is>
      </c>
      <c r="G264" t="n">
        <v>2.3</v>
      </c>
      <c r="H264" t="n">
        <v>0</v>
      </c>
      <c r="I264" t="n">
        <v>1</v>
      </c>
      <c r="J264" t="n">
        <v>0</v>
      </c>
      <c r="K264" t="n">
        <v>0</v>
      </c>
      <c r="L264" t="n">
        <v>0</v>
      </c>
      <c r="M264" t="n">
        <v>0</v>
      </c>
      <c r="N264" t="n">
        <v>0</v>
      </c>
      <c r="O264" t="n">
        <v>0</v>
      </c>
      <c r="P264" t="n">
        <v>0</v>
      </c>
      <c r="Q264" t="n">
        <v>1</v>
      </c>
      <c r="R264" s="2" t="inlineStr">
        <is>
          <t>Underviol</t>
        </is>
      </c>
      <c r="S264">
        <f>HYPERLINK("https://klasma.github.io/Logging_2305/artfynd/A 23460-2025 artfynd.xlsx", "A 23460-2025")</f>
        <v/>
      </c>
      <c r="T264">
        <f>HYPERLINK("https://klasma.github.io/Logging_2305/kartor/A 23460-2025 karta.png", "A 23460-2025")</f>
        <v/>
      </c>
      <c r="V264">
        <f>HYPERLINK("https://klasma.github.io/Logging_2305/klagomål/A 23460-2025 FSC-klagomål.docx", "A 23460-2025")</f>
        <v/>
      </c>
      <c r="W264">
        <f>HYPERLINK("https://klasma.github.io/Logging_2305/klagomålsmail/A 23460-2025 FSC-klagomål mail.docx", "A 23460-2025")</f>
        <v/>
      </c>
      <c r="X264">
        <f>HYPERLINK("https://klasma.github.io/Logging_2305/tillsyn/A 23460-2025 tillsynsbegäran.docx", "A 23460-2025")</f>
        <v/>
      </c>
      <c r="Y264">
        <f>HYPERLINK("https://klasma.github.io/Logging_2305/tillsynsmail/A 23460-2025 tillsynsbegäran mail.docx", "A 23460-2025")</f>
        <v/>
      </c>
    </row>
    <row r="265" ht="15" customHeight="1">
      <c r="A265" t="inlineStr">
        <is>
          <t>A 15462-2025</t>
        </is>
      </c>
      <c r="B265" s="1" t="n">
        <v>45747.51086805556</v>
      </c>
      <c r="C265" s="1" t="n">
        <v>45891</v>
      </c>
      <c r="D265" t="inlineStr">
        <is>
          <t>JÄMTLANDS LÄN</t>
        </is>
      </c>
      <c r="E265" t="inlineStr">
        <is>
          <t>BRÄCKE</t>
        </is>
      </c>
      <c r="F265" t="inlineStr">
        <is>
          <t>SCA</t>
        </is>
      </c>
      <c r="G265" t="n">
        <v>1.6</v>
      </c>
      <c r="H265" t="n">
        <v>0</v>
      </c>
      <c r="I265" t="n">
        <v>0</v>
      </c>
      <c r="J265" t="n">
        <v>0</v>
      </c>
      <c r="K265" t="n">
        <v>1</v>
      </c>
      <c r="L265" t="n">
        <v>0</v>
      </c>
      <c r="M265" t="n">
        <v>0</v>
      </c>
      <c r="N265" t="n">
        <v>0</v>
      </c>
      <c r="O265" t="n">
        <v>1</v>
      </c>
      <c r="P265" t="n">
        <v>1</v>
      </c>
      <c r="Q265" t="n">
        <v>1</v>
      </c>
      <c r="R265" s="2" t="inlineStr">
        <is>
          <t>Smalskaftslav</t>
        </is>
      </c>
      <c r="S265">
        <f>HYPERLINK("https://klasma.github.io/Logging_2305/artfynd/A 15462-2025 artfynd.xlsx", "A 15462-2025")</f>
        <v/>
      </c>
      <c r="T265">
        <f>HYPERLINK("https://klasma.github.io/Logging_2305/kartor/A 15462-2025 karta.png", "A 15462-2025")</f>
        <v/>
      </c>
      <c r="V265">
        <f>HYPERLINK("https://klasma.github.io/Logging_2305/klagomål/A 15462-2025 FSC-klagomål.docx", "A 15462-2025")</f>
        <v/>
      </c>
      <c r="W265">
        <f>HYPERLINK("https://klasma.github.io/Logging_2305/klagomålsmail/A 15462-2025 FSC-klagomål mail.docx", "A 15462-2025")</f>
        <v/>
      </c>
      <c r="X265">
        <f>HYPERLINK("https://klasma.github.io/Logging_2305/tillsyn/A 15462-2025 tillsynsbegäran.docx", "A 15462-2025")</f>
        <v/>
      </c>
      <c r="Y265">
        <f>HYPERLINK("https://klasma.github.io/Logging_2305/tillsynsmail/A 15462-2025 tillsynsbegäran mail.docx", "A 15462-2025")</f>
        <v/>
      </c>
    </row>
    <row r="266" ht="15" customHeight="1">
      <c r="A266" t="inlineStr">
        <is>
          <t>A 2463-2025</t>
        </is>
      </c>
      <c r="B266" s="1" t="n">
        <v>45674.46915509259</v>
      </c>
      <c r="C266" s="1" t="n">
        <v>45891</v>
      </c>
      <c r="D266" t="inlineStr">
        <is>
          <t>JÄMTLANDS LÄN</t>
        </is>
      </c>
      <c r="E266" t="inlineStr">
        <is>
          <t>BRÄCKE</t>
        </is>
      </c>
      <c r="F266" t="inlineStr">
        <is>
          <t>SCA</t>
        </is>
      </c>
      <c r="G266" t="n">
        <v>3.9</v>
      </c>
      <c r="H266" t="n">
        <v>0</v>
      </c>
      <c r="I266" t="n">
        <v>1</v>
      </c>
      <c r="J266" t="n">
        <v>0</v>
      </c>
      <c r="K266" t="n">
        <v>0</v>
      </c>
      <c r="L266" t="n">
        <v>0</v>
      </c>
      <c r="M266" t="n">
        <v>0</v>
      </c>
      <c r="N266" t="n">
        <v>0</v>
      </c>
      <c r="O266" t="n">
        <v>0</v>
      </c>
      <c r="P266" t="n">
        <v>0</v>
      </c>
      <c r="Q266" t="n">
        <v>1</v>
      </c>
      <c r="R266" s="2" t="inlineStr">
        <is>
          <t>Vedticka</t>
        </is>
      </c>
      <c r="S266">
        <f>HYPERLINK("https://klasma.github.io/Logging_2305/artfynd/A 2463-2025 artfynd.xlsx", "A 2463-2025")</f>
        <v/>
      </c>
      <c r="T266">
        <f>HYPERLINK("https://klasma.github.io/Logging_2305/kartor/A 2463-2025 karta.png", "A 2463-2025")</f>
        <v/>
      </c>
      <c r="V266">
        <f>HYPERLINK("https://klasma.github.io/Logging_2305/klagomål/A 2463-2025 FSC-klagomål.docx", "A 2463-2025")</f>
        <v/>
      </c>
      <c r="W266">
        <f>HYPERLINK("https://klasma.github.io/Logging_2305/klagomålsmail/A 2463-2025 FSC-klagomål mail.docx", "A 2463-2025")</f>
        <v/>
      </c>
      <c r="X266">
        <f>HYPERLINK("https://klasma.github.io/Logging_2305/tillsyn/A 2463-2025 tillsynsbegäran.docx", "A 2463-2025")</f>
        <v/>
      </c>
      <c r="Y266">
        <f>HYPERLINK("https://klasma.github.io/Logging_2305/tillsynsmail/A 2463-2025 tillsynsbegäran mail.docx", "A 2463-2025")</f>
        <v/>
      </c>
    </row>
    <row r="267" ht="15" customHeight="1">
      <c r="A267" t="inlineStr">
        <is>
          <t>A 24094-2025</t>
        </is>
      </c>
      <c r="B267" s="1" t="n">
        <v>45796.57335648148</v>
      </c>
      <c r="C267" s="1" t="n">
        <v>45891</v>
      </c>
      <c r="D267" t="inlineStr">
        <is>
          <t>JÄMTLANDS LÄN</t>
        </is>
      </c>
      <c r="E267" t="inlineStr">
        <is>
          <t>BRÄCKE</t>
        </is>
      </c>
      <c r="F267" t="inlineStr">
        <is>
          <t>SCA</t>
        </is>
      </c>
      <c r="G267" t="n">
        <v>4.1</v>
      </c>
      <c r="H267" t="n">
        <v>0</v>
      </c>
      <c r="I267" t="n">
        <v>0</v>
      </c>
      <c r="J267" t="n">
        <v>1</v>
      </c>
      <c r="K267" t="n">
        <v>0</v>
      </c>
      <c r="L267" t="n">
        <v>0</v>
      </c>
      <c r="M267" t="n">
        <v>0</v>
      </c>
      <c r="N267" t="n">
        <v>0</v>
      </c>
      <c r="O267" t="n">
        <v>1</v>
      </c>
      <c r="P267" t="n">
        <v>0</v>
      </c>
      <c r="Q267" t="n">
        <v>1</v>
      </c>
      <c r="R267" s="2" t="inlineStr">
        <is>
          <t>Vedskivlav</t>
        </is>
      </c>
      <c r="S267">
        <f>HYPERLINK("https://klasma.github.io/Logging_2305/artfynd/A 24094-2025 artfynd.xlsx", "A 24094-2025")</f>
        <v/>
      </c>
      <c r="T267">
        <f>HYPERLINK("https://klasma.github.io/Logging_2305/kartor/A 24094-2025 karta.png", "A 24094-2025")</f>
        <v/>
      </c>
      <c r="V267">
        <f>HYPERLINK("https://klasma.github.io/Logging_2305/klagomål/A 24094-2025 FSC-klagomål.docx", "A 24094-2025")</f>
        <v/>
      </c>
      <c r="W267">
        <f>HYPERLINK("https://klasma.github.io/Logging_2305/klagomålsmail/A 24094-2025 FSC-klagomål mail.docx", "A 24094-2025")</f>
        <v/>
      </c>
      <c r="X267">
        <f>HYPERLINK("https://klasma.github.io/Logging_2305/tillsyn/A 24094-2025 tillsynsbegäran.docx", "A 24094-2025")</f>
        <v/>
      </c>
      <c r="Y267">
        <f>HYPERLINK("https://klasma.github.io/Logging_2305/tillsynsmail/A 24094-2025 tillsynsbegäran mail.docx", "A 24094-2025")</f>
        <v/>
      </c>
    </row>
    <row r="268" ht="15" customHeight="1">
      <c r="A268" t="inlineStr">
        <is>
          <t>A 15189-2025</t>
        </is>
      </c>
      <c r="B268" s="1" t="n">
        <v>45744.55259259259</v>
      </c>
      <c r="C268" s="1" t="n">
        <v>45891</v>
      </c>
      <c r="D268" t="inlineStr">
        <is>
          <t>JÄMTLANDS LÄN</t>
        </is>
      </c>
      <c r="E268" t="inlineStr">
        <is>
          <t>BRÄCKE</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15189-2025 artfynd.xlsx", "A 15189-2025")</f>
        <v/>
      </c>
      <c r="T268">
        <f>HYPERLINK("https://klasma.github.io/Logging_2305/kartor/A 15189-2025 karta.png", "A 15189-2025")</f>
        <v/>
      </c>
      <c r="V268">
        <f>HYPERLINK("https://klasma.github.io/Logging_2305/klagomål/A 15189-2025 FSC-klagomål.docx", "A 15189-2025")</f>
        <v/>
      </c>
      <c r="W268">
        <f>HYPERLINK("https://klasma.github.io/Logging_2305/klagomålsmail/A 15189-2025 FSC-klagomål mail.docx", "A 15189-2025")</f>
        <v/>
      </c>
      <c r="X268">
        <f>HYPERLINK("https://klasma.github.io/Logging_2305/tillsyn/A 15189-2025 tillsynsbegäran.docx", "A 15189-2025")</f>
        <v/>
      </c>
      <c r="Y268">
        <f>HYPERLINK("https://klasma.github.io/Logging_2305/tillsynsmail/A 15189-2025 tillsynsbegäran mail.docx", "A 15189-2025")</f>
        <v/>
      </c>
      <c r="Z268">
        <f>HYPERLINK("https://klasma.github.io/Logging_2305/fåglar/A 15189-2025 prioriterade fågelarter.docx", "A 15189-2025")</f>
        <v/>
      </c>
    </row>
    <row r="269" ht="15" customHeight="1">
      <c r="A269" t="inlineStr">
        <is>
          <t>A 62079-2022</t>
        </is>
      </c>
      <c r="B269" s="1" t="n">
        <v>44918</v>
      </c>
      <c r="C269" s="1" t="n">
        <v>45891</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14628-2022</t>
        </is>
      </c>
      <c r="B270" s="1" t="n">
        <v>44655</v>
      </c>
      <c r="C270" s="1" t="n">
        <v>45891</v>
      </c>
      <c r="D270" t="inlineStr">
        <is>
          <t>JÄMTLANDS LÄN</t>
        </is>
      </c>
      <c r="E270" t="inlineStr">
        <is>
          <t>BRÄCKE</t>
        </is>
      </c>
      <c r="G270" t="n">
        <v>4.7</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14628-2022 artfynd.xlsx", "A 14628-2022")</f>
        <v/>
      </c>
      <c r="T270">
        <f>HYPERLINK("https://klasma.github.io/Logging_2305/kartor/A 14628-2022 karta.png", "A 14628-2022")</f>
        <v/>
      </c>
      <c r="V270">
        <f>HYPERLINK("https://klasma.github.io/Logging_2305/klagomål/A 14628-2022 FSC-klagomål.docx", "A 14628-2022")</f>
        <v/>
      </c>
      <c r="W270">
        <f>HYPERLINK("https://klasma.github.io/Logging_2305/klagomålsmail/A 14628-2022 FSC-klagomål mail.docx", "A 14628-2022")</f>
        <v/>
      </c>
      <c r="X270">
        <f>HYPERLINK("https://klasma.github.io/Logging_2305/tillsyn/A 14628-2022 tillsynsbegäran.docx", "A 14628-2022")</f>
        <v/>
      </c>
      <c r="Y270">
        <f>HYPERLINK("https://klasma.github.io/Logging_2305/tillsynsmail/A 14628-2022 tillsynsbegäran mail.docx", "A 14628-2022")</f>
        <v/>
      </c>
    </row>
    <row r="271" ht="15" customHeight="1">
      <c r="A271" t="inlineStr">
        <is>
          <t>A 24851-2025</t>
        </is>
      </c>
      <c r="B271" s="1" t="n">
        <v>45799.46967592592</v>
      </c>
      <c r="C271" s="1" t="n">
        <v>45891</v>
      </c>
      <c r="D271" t="inlineStr">
        <is>
          <t>JÄMTLANDS LÄN</t>
        </is>
      </c>
      <c r="E271" t="inlineStr">
        <is>
          <t>BRÄCKE</t>
        </is>
      </c>
      <c r="F271" t="inlineStr">
        <is>
          <t>SCA</t>
        </is>
      </c>
      <c r="G271" t="n">
        <v>4.1</v>
      </c>
      <c r="H271" t="n">
        <v>1</v>
      </c>
      <c r="I271" t="n">
        <v>0</v>
      </c>
      <c r="J271" t="n">
        <v>0</v>
      </c>
      <c r="K271" t="n">
        <v>0</v>
      </c>
      <c r="L271" t="n">
        <v>1</v>
      </c>
      <c r="M271" t="n">
        <v>0</v>
      </c>
      <c r="N271" t="n">
        <v>0</v>
      </c>
      <c r="O271" t="n">
        <v>1</v>
      </c>
      <c r="P271" t="n">
        <v>1</v>
      </c>
      <c r="Q271" t="n">
        <v>1</v>
      </c>
      <c r="R271" s="2" t="inlineStr">
        <is>
          <t>Violett guldvinge</t>
        </is>
      </c>
      <c r="S271">
        <f>HYPERLINK("https://klasma.github.io/Logging_2305/artfynd/A 24851-2025 artfynd.xlsx", "A 24851-2025")</f>
        <v/>
      </c>
      <c r="T271">
        <f>HYPERLINK("https://klasma.github.io/Logging_2305/kartor/A 24851-2025 karta.png", "A 24851-2025")</f>
        <v/>
      </c>
      <c r="V271">
        <f>HYPERLINK("https://klasma.github.io/Logging_2305/klagomål/A 24851-2025 FSC-klagomål.docx", "A 24851-2025")</f>
        <v/>
      </c>
      <c r="W271">
        <f>HYPERLINK("https://klasma.github.io/Logging_2305/klagomålsmail/A 24851-2025 FSC-klagomål mail.docx", "A 24851-2025")</f>
        <v/>
      </c>
      <c r="X271">
        <f>HYPERLINK("https://klasma.github.io/Logging_2305/tillsyn/A 24851-2025 tillsynsbegäran.docx", "A 24851-2025")</f>
        <v/>
      </c>
      <c r="Y271">
        <f>HYPERLINK("https://klasma.github.io/Logging_2305/tillsynsmail/A 24851-2025 tillsynsbegäran mail.docx", "A 24851-2025")</f>
        <v/>
      </c>
    </row>
    <row r="272" ht="15" customHeight="1">
      <c r="A272" t="inlineStr">
        <is>
          <t>A 15366-2022</t>
        </is>
      </c>
      <c r="B272" s="1" t="n">
        <v>44659</v>
      </c>
      <c r="C272" s="1" t="n">
        <v>45891</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49325-2023</t>
        </is>
      </c>
      <c r="B273" s="1" t="n">
        <v>45210</v>
      </c>
      <c r="C273" s="1" t="n">
        <v>45891</v>
      </c>
      <c r="D273" t="inlineStr">
        <is>
          <t>JÄMTLANDS LÄN</t>
        </is>
      </c>
      <c r="E273" t="inlineStr">
        <is>
          <t>BRÄCKE</t>
        </is>
      </c>
      <c r="F273" t="inlineStr">
        <is>
          <t>SCA</t>
        </is>
      </c>
      <c r="G273" t="n">
        <v>7</v>
      </c>
      <c r="H273" t="n">
        <v>1</v>
      </c>
      <c r="I273" t="n">
        <v>0</v>
      </c>
      <c r="J273" t="n">
        <v>0</v>
      </c>
      <c r="K273" t="n">
        <v>1</v>
      </c>
      <c r="L273" t="n">
        <v>0</v>
      </c>
      <c r="M273" t="n">
        <v>0</v>
      </c>
      <c r="N273" t="n">
        <v>0</v>
      </c>
      <c r="O273" t="n">
        <v>1</v>
      </c>
      <c r="P273" t="n">
        <v>1</v>
      </c>
      <c r="Q273" t="n">
        <v>1</v>
      </c>
      <c r="R273" s="2" t="inlineStr">
        <is>
          <t>Doftticka</t>
        </is>
      </c>
      <c r="S273">
        <f>HYPERLINK("https://klasma.github.io/Logging_2305/artfynd/A 49325-2023 artfynd.xlsx", "A 49325-2023")</f>
        <v/>
      </c>
      <c r="T273">
        <f>HYPERLINK("https://klasma.github.io/Logging_2305/kartor/A 49325-2023 karta.png", "A 49325-2023")</f>
        <v/>
      </c>
      <c r="V273">
        <f>HYPERLINK("https://klasma.github.io/Logging_2305/klagomål/A 49325-2023 FSC-klagomål.docx", "A 49325-2023")</f>
        <v/>
      </c>
      <c r="W273">
        <f>HYPERLINK("https://klasma.github.io/Logging_2305/klagomålsmail/A 49325-2023 FSC-klagomål mail.docx", "A 49325-2023")</f>
        <v/>
      </c>
      <c r="X273">
        <f>HYPERLINK("https://klasma.github.io/Logging_2305/tillsyn/A 49325-2023 tillsynsbegäran.docx", "A 49325-2023")</f>
        <v/>
      </c>
      <c r="Y273">
        <f>HYPERLINK("https://klasma.github.io/Logging_2305/tillsynsmail/A 49325-2023 tillsynsbegäran mail.docx", "A 49325-2023")</f>
        <v/>
      </c>
    </row>
    <row r="274" ht="15" customHeight="1">
      <c r="A274" t="inlineStr">
        <is>
          <t>A 58777-2023</t>
        </is>
      </c>
      <c r="B274" s="1" t="n">
        <v>45251.96747685185</v>
      </c>
      <c r="C274" s="1" t="n">
        <v>45891</v>
      </c>
      <c r="D274" t="inlineStr">
        <is>
          <t>JÄMTLANDS LÄN</t>
        </is>
      </c>
      <c r="E274" t="inlineStr">
        <is>
          <t>BRÄCKE</t>
        </is>
      </c>
      <c r="F274" t="inlineStr">
        <is>
          <t>SCA</t>
        </is>
      </c>
      <c r="G274" t="n">
        <v>1.1</v>
      </c>
      <c r="H274" t="n">
        <v>0</v>
      </c>
      <c r="I274" t="n">
        <v>0</v>
      </c>
      <c r="J274" t="n">
        <v>1</v>
      </c>
      <c r="K274" t="n">
        <v>0</v>
      </c>
      <c r="L274" t="n">
        <v>0</v>
      </c>
      <c r="M274" t="n">
        <v>0</v>
      </c>
      <c r="N274" t="n">
        <v>0</v>
      </c>
      <c r="O274" t="n">
        <v>1</v>
      </c>
      <c r="P274" t="n">
        <v>0</v>
      </c>
      <c r="Q274" t="n">
        <v>1</v>
      </c>
      <c r="R274" s="2" t="inlineStr">
        <is>
          <t>Igelkott</t>
        </is>
      </c>
      <c r="S274">
        <f>HYPERLINK("https://klasma.github.io/Logging_2305/artfynd/A 58777-2023 artfynd.xlsx", "A 58777-2023")</f>
        <v/>
      </c>
      <c r="T274">
        <f>HYPERLINK("https://klasma.github.io/Logging_2305/kartor/A 58777-2023 karta.png", "A 58777-2023")</f>
        <v/>
      </c>
      <c r="V274">
        <f>HYPERLINK("https://klasma.github.io/Logging_2305/klagomål/A 58777-2023 FSC-klagomål.docx", "A 58777-2023")</f>
        <v/>
      </c>
      <c r="W274">
        <f>HYPERLINK("https://klasma.github.io/Logging_2305/klagomålsmail/A 58777-2023 FSC-klagomål mail.docx", "A 58777-2023")</f>
        <v/>
      </c>
      <c r="X274">
        <f>HYPERLINK("https://klasma.github.io/Logging_2305/tillsyn/A 58777-2023 tillsynsbegäran.docx", "A 58777-2023")</f>
        <v/>
      </c>
      <c r="Y274">
        <f>HYPERLINK("https://klasma.github.io/Logging_2305/tillsynsmail/A 58777-2023 tillsynsbegäran mail.docx", "A 58777-2023")</f>
        <v/>
      </c>
    </row>
    <row r="275" ht="15" customHeight="1">
      <c r="A275" t="inlineStr">
        <is>
          <t>A 34911-2025</t>
        </is>
      </c>
      <c r="B275" s="1" t="n">
        <v>45849.53545138889</v>
      </c>
      <c r="C275" s="1" t="n">
        <v>45891</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19431-2021</t>
        </is>
      </c>
      <c r="B276" s="1" t="n">
        <v>44309</v>
      </c>
      <c r="C276" s="1" t="n">
        <v>45891</v>
      </c>
      <c r="D276" t="inlineStr">
        <is>
          <t>JÄMTLANDS LÄN</t>
        </is>
      </c>
      <c r="E276" t="inlineStr">
        <is>
          <t>BRÄCKE</t>
        </is>
      </c>
      <c r="G276" t="n">
        <v>4.8</v>
      </c>
      <c r="H276" t="n">
        <v>1</v>
      </c>
      <c r="I276" t="n">
        <v>0</v>
      </c>
      <c r="J276" t="n">
        <v>1</v>
      </c>
      <c r="K276" t="n">
        <v>0</v>
      </c>
      <c r="L276" t="n">
        <v>0</v>
      </c>
      <c r="M276" t="n">
        <v>0</v>
      </c>
      <c r="N276" t="n">
        <v>0</v>
      </c>
      <c r="O276" t="n">
        <v>1</v>
      </c>
      <c r="P276" t="n">
        <v>0</v>
      </c>
      <c r="Q276" t="n">
        <v>1</v>
      </c>
      <c r="R276" s="2" t="inlineStr">
        <is>
          <t>Utter</t>
        </is>
      </c>
      <c r="S276">
        <f>HYPERLINK("https://klasma.github.io/Logging_2305/artfynd/A 19431-2021 artfynd.xlsx", "A 19431-2021")</f>
        <v/>
      </c>
      <c r="T276">
        <f>HYPERLINK("https://klasma.github.io/Logging_2305/kartor/A 19431-2021 karta.png", "A 19431-2021")</f>
        <v/>
      </c>
      <c r="V276">
        <f>HYPERLINK("https://klasma.github.io/Logging_2305/klagomål/A 19431-2021 FSC-klagomål.docx", "A 19431-2021")</f>
        <v/>
      </c>
      <c r="W276">
        <f>HYPERLINK("https://klasma.github.io/Logging_2305/klagomålsmail/A 19431-2021 FSC-klagomål mail.docx", "A 19431-2021")</f>
        <v/>
      </c>
      <c r="X276">
        <f>HYPERLINK("https://klasma.github.io/Logging_2305/tillsyn/A 19431-2021 tillsynsbegäran.docx", "A 19431-2021")</f>
        <v/>
      </c>
      <c r="Y276">
        <f>HYPERLINK("https://klasma.github.io/Logging_2305/tillsynsmail/A 19431-2021 tillsynsbegäran mail.docx", "A 19431-2021")</f>
        <v/>
      </c>
    </row>
    <row r="277" ht="15" customHeight="1">
      <c r="A277" t="inlineStr">
        <is>
          <t>A 50513-2023</t>
        </is>
      </c>
      <c r="B277" s="1" t="n">
        <v>45216</v>
      </c>
      <c r="C277" s="1" t="n">
        <v>45891</v>
      </c>
      <c r="D277" t="inlineStr">
        <is>
          <t>JÄMTLANDS LÄN</t>
        </is>
      </c>
      <c r="E277" t="inlineStr">
        <is>
          <t>BRÄCKE</t>
        </is>
      </c>
      <c r="F277" t="inlineStr">
        <is>
          <t>SCA</t>
        </is>
      </c>
      <c r="G277" t="n">
        <v>1.7</v>
      </c>
      <c r="H277" t="n">
        <v>1</v>
      </c>
      <c r="I277" t="n">
        <v>0</v>
      </c>
      <c r="J277" t="n">
        <v>0</v>
      </c>
      <c r="K277" t="n">
        <v>0</v>
      </c>
      <c r="L277" t="n">
        <v>0</v>
      </c>
      <c r="M277" t="n">
        <v>0</v>
      </c>
      <c r="N277" t="n">
        <v>0</v>
      </c>
      <c r="O277" t="n">
        <v>0</v>
      </c>
      <c r="P277" t="n">
        <v>0</v>
      </c>
      <c r="Q277" t="n">
        <v>1</v>
      </c>
      <c r="R277" s="2" t="inlineStr">
        <is>
          <t>Grönsiska</t>
        </is>
      </c>
      <c r="S277">
        <f>HYPERLINK("https://klasma.github.io/Logging_2305/artfynd/A 50513-2023 artfynd.xlsx", "A 50513-2023")</f>
        <v/>
      </c>
      <c r="T277">
        <f>HYPERLINK("https://klasma.github.io/Logging_2305/kartor/A 50513-2023 karta.png", "A 50513-2023")</f>
        <v/>
      </c>
      <c r="V277">
        <f>HYPERLINK("https://klasma.github.io/Logging_2305/klagomål/A 50513-2023 FSC-klagomål.docx", "A 50513-2023")</f>
        <v/>
      </c>
      <c r="W277">
        <f>HYPERLINK("https://klasma.github.io/Logging_2305/klagomålsmail/A 50513-2023 FSC-klagomål mail.docx", "A 50513-2023")</f>
        <v/>
      </c>
      <c r="X277">
        <f>HYPERLINK("https://klasma.github.io/Logging_2305/tillsyn/A 50513-2023 tillsynsbegäran.docx", "A 50513-2023")</f>
        <v/>
      </c>
      <c r="Y277">
        <f>HYPERLINK("https://klasma.github.io/Logging_2305/tillsynsmail/A 50513-2023 tillsynsbegäran mail.docx", "A 50513-2023")</f>
        <v/>
      </c>
      <c r="Z277">
        <f>HYPERLINK("https://klasma.github.io/Logging_2305/fåglar/A 50513-2023 prioriterade fågelarter.docx", "A 50513-2023")</f>
        <v/>
      </c>
    </row>
    <row r="278" ht="15" customHeight="1">
      <c r="A278" t="inlineStr">
        <is>
          <t>A 27061-2025</t>
        </is>
      </c>
      <c r="B278" s="1" t="n">
        <v>45811.6360300926</v>
      </c>
      <c r="C278" s="1" t="n">
        <v>45891</v>
      </c>
      <c r="D278" t="inlineStr">
        <is>
          <t>JÄMTLANDS LÄN</t>
        </is>
      </c>
      <c r="E278" t="inlineStr">
        <is>
          <t>BRÄCKE</t>
        </is>
      </c>
      <c r="F278" t="inlineStr">
        <is>
          <t>SCA</t>
        </is>
      </c>
      <c r="G278" t="n">
        <v>18.9</v>
      </c>
      <c r="H278" t="n">
        <v>0</v>
      </c>
      <c r="I278" t="n">
        <v>0</v>
      </c>
      <c r="J278" t="n">
        <v>1</v>
      </c>
      <c r="K278" t="n">
        <v>0</v>
      </c>
      <c r="L278" t="n">
        <v>0</v>
      </c>
      <c r="M278" t="n">
        <v>0</v>
      </c>
      <c r="N278" t="n">
        <v>0</v>
      </c>
      <c r="O278" t="n">
        <v>1</v>
      </c>
      <c r="P278" t="n">
        <v>0</v>
      </c>
      <c r="Q278" t="n">
        <v>1</v>
      </c>
      <c r="R278" s="2" t="inlineStr">
        <is>
          <t>Lunglav</t>
        </is>
      </c>
      <c r="S278">
        <f>HYPERLINK("https://klasma.github.io/Logging_2305/artfynd/A 27061-2025 artfynd.xlsx", "A 27061-2025")</f>
        <v/>
      </c>
      <c r="T278">
        <f>HYPERLINK("https://klasma.github.io/Logging_2305/kartor/A 27061-2025 karta.png", "A 27061-2025")</f>
        <v/>
      </c>
      <c r="V278">
        <f>HYPERLINK("https://klasma.github.io/Logging_2305/klagomål/A 27061-2025 FSC-klagomål.docx", "A 27061-2025")</f>
        <v/>
      </c>
      <c r="W278">
        <f>HYPERLINK("https://klasma.github.io/Logging_2305/klagomålsmail/A 27061-2025 FSC-klagomål mail.docx", "A 27061-2025")</f>
        <v/>
      </c>
      <c r="X278">
        <f>HYPERLINK("https://klasma.github.io/Logging_2305/tillsyn/A 27061-2025 tillsynsbegäran.docx", "A 27061-2025")</f>
        <v/>
      </c>
      <c r="Y278">
        <f>HYPERLINK("https://klasma.github.io/Logging_2305/tillsynsmail/A 27061-2025 tillsynsbegäran mail.docx", "A 27061-2025")</f>
        <v/>
      </c>
    </row>
    <row r="279" ht="15" customHeight="1">
      <c r="A279" t="inlineStr">
        <is>
          <t>A 53832-2024</t>
        </is>
      </c>
      <c r="B279" s="1" t="n">
        <v>45615</v>
      </c>
      <c r="C279" s="1" t="n">
        <v>45891</v>
      </c>
      <c r="D279" t="inlineStr">
        <is>
          <t>JÄMTLANDS LÄN</t>
        </is>
      </c>
      <c r="E279" t="inlineStr">
        <is>
          <t>BRÄCKE</t>
        </is>
      </c>
      <c r="F279" t="inlineStr">
        <is>
          <t>SCA</t>
        </is>
      </c>
      <c r="G279" t="n">
        <v>4</v>
      </c>
      <c r="H279" t="n">
        <v>0</v>
      </c>
      <c r="I279" t="n">
        <v>1</v>
      </c>
      <c r="J279" t="n">
        <v>0</v>
      </c>
      <c r="K279" t="n">
        <v>0</v>
      </c>
      <c r="L279" t="n">
        <v>0</v>
      </c>
      <c r="M279" t="n">
        <v>0</v>
      </c>
      <c r="N279" t="n">
        <v>0</v>
      </c>
      <c r="O279" t="n">
        <v>0</v>
      </c>
      <c r="P279" t="n">
        <v>0</v>
      </c>
      <c r="Q279" t="n">
        <v>1</v>
      </c>
      <c r="R279" s="2" t="inlineStr">
        <is>
          <t>Dropptaggsvamp</t>
        </is>
      </c>
      <c r="S279">
        <f>HYPERLINK("https://klasma.github.io/Logging_2305/artfynd/A 53832-2024 artfynd.xlsx", "A 53832-2024")</f>
        <v/>
      </c>
      <c r="T279">
        <f>HYPERLINK("https://klasma.github.io/Logging_2305/kartor/A 53832-2024 karta.png", "A 53832-2024")</f>
        <v/>
      </c>
      <c r="V279">
        <f>HYPERLINK("https://klasma.github.io/Logging_2305/klagomål/A 53832-2024 FSC-klagomål.docx", "A 53832-2024")</f>
        <v/>
      </c>
      <c r="W279">
        <f>HYPERLINK("https://klasma.github.io/Logging_2305/klagomålsmail/A 53832-2024 FSC-klagomål mail.docx", "A 53832-2024")</f>
        <v/>
      </c>
      <c r="X279">
        <f>HYPERLINK("https://klasma.github.io/Logging_2305/tillsyn/A 53832-2024 tillsynsbegäran.docx", "A 53832-2024")</f>
        <v/>
      </c>
      <c r="Y279">
        <f>HYPERLINK("https://klasma.github.io/Logging_2305/tillsynsmail/A 53832-2024 tillsynsbegäran mail.docx", "A 53832-2024")</f>
        <v/>
      </c>
    </row>
    <row r="280" ht="15" customHeight="1">
      <c r="A280" t="inlineStr">
        <is>
          <t>A 35210-2025</t>
        </is>
      </c>
      <c r="B280" s="1" t="n">
        <v>45853.44842592593</v>
      </c>
      <c r="C280" s="1" t="n">
        <v>45891</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45891</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35579-2025</t>
        </is>
      </c>
      <c r="B282" s="1" t="n">
        <v>45856.67818287037</v>
      </c>
      <c r="C282" s="1" t="n">
        <v>45891</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Tallticka</t>
        </is>
      </c>
      <c r="S282">
        <f>HYPERLINK("https://klasma.github.io/Logging_2305/artfynd/A 35579-2025 artfynd.xlsx", "A 35579-2025")</f>
        <v/>
      </c>
      <c r="T282">
        <f>HYPERLINK("https://klasma.github.io/Logging_2305/kartor/A 35579-2025 karta.png", "A 35579-2025")</f>
        <v/>
      </c>
      <c r="V282">
        <f>HYPERLINK("https://klasma.github.io/Logging_2305/klagomål/A 35579-2025 FSC-klagomål.docx", "A 35579-2025")</f>
        <v/>
      </c>
      <c r="W282">
        <f>HYPERLINK("https://klasma.github.io/Logging_2305/klagomålsmail/A 35579-2025 FSC-klagomål mail.docx", "A 35579-2025")</f>
        <v/>
      </c>
      <c r="X282">
        <f>HYPERLINK("https://klasma.github.io/Logging_2305/tillsyn/A 35579-2025 tillsynsbegäran.docx", "A 35579-2025")</f>
        <v/>
      </c>
      <c r="Y282">
        <f>HYPERLINK("https://klasma.github.io/Logging_2305/tillsynsmail/A 35579-2025 tillsynsbegäran mail.docx", "A 35579-2025")</f>
        <v/>
      </c>
    </row>
    <row r="283" ht="15" customHeight="1">
      <c r="A283" t="inlineStr">
        <is>
          <t>A 2466-2025</t>
        </is>
      </c>
      <c r="B283" s="1" t="n">
        <v>45674.46958333333</v>
      </c>
      <c r="C283" s="1" t="n">
        <v>45891</v>
      </c>
      <c r="D283" t="inlineStr">
        <is>
          <t>JÄMTLANDS LÄN</t>
        </is>
      </c>
      <c r="E283" t="inlineStr">
        <is>
          <t>BRÄCKE</t>
        </is>
      </c>
      <c r="F283" t="inlineStr">
        <is>
          <t>SCA</t>
        </is>
      </c>
      <c r="G283" t="n">
        <v>2.4</v>
      </c>
      <c r="H283" t="n">
        <v>0</v>
      </c>
      <c r="I283" t="n">
        <v>0</v>
      </c>
      <c r="J283" t="n">
        <v>1</v>
      </c>
      <c r="K283" t="n">
        <v>0</v>
      </c>
      <c r="L283" t="n">
        <v>0</v>
      </c>
      <c r="M283" t="n">
        <v>0</v>
      </c>
      <c r="N283" t="n">
        <v>0</v>
      </c>
      <c r="O283" t="n">
        <v>1</v>
      </c>
      <c r="P283" t="n">
        <v>0</v>
      </c>
      <c r="Q283" t="n">
        <v>1</v>
      </c>
      <c r="R283" s="2" t="inlineStr">
        <is>
          <t>Lunglav</t>
        </is>
      </c>
      <c r="S283">
        <f>HYPERLINK("https://klasma.github.io/Logging_2305/artfynd/A 2466-2025 artfynd.xlsx", "A 2466-2025")</f>
        <v/>
      </c>
      <c r="T283">
        <f>HYPERLINK("https://klasma.github.io/Logging_2305/kartor/A 2466-2025 karta.png", "A 2466-2025")</f>
        <v/>
      </c>
      <c r="V283">
        <f>HYPERLINK("https://klasma.github.io/Logging_2305/klagomål/A 2466-2025 FSC-klagomål.docx", "A 2466-2025")</f>
        <v/>
      </c>
      <c r="W283">
        <f>HYPERLINK("https://klasma.github.io/Logging_2305/klagomålsmail/A 2466-2025 FSC-klagomål mail.docx", "A 2466-2025")</f>
        <v/>
      </c>
      <c r="X283">
        <f>HYPERLINK("https://klasma.github.io/Logging_2305/tillsyn/A 2466-2025 tillsynsbegäran.docx", "A 2466-2025")</f>
        <v/>
      </c>
      <c r="Y283">
        <f>HYPERLINK("https://klasma.github.io/Logging_2305/tillsynsmail/A 2466-2025 tillsynsbegäran mail.docx", "A 2466-2025")</f>
        <v/>
      </c>
    </row>
    <row r="284" ht="15" customHeight="1">
      <c r="A284" t="inlineStr">
        <is>
          <t>A 14251-2025</t>
        </is>
      </c>
      <c r="B284" s="1" t="n">
        <v>45740.61586805555</v>
      </c>
      <c r="C284" s="1" t="n">
        <v>45891</v>
      </c>
      <c r="D284" t="inlineStr">
        <is>
          <t>JÄMTLANDS LÄN</t>
        </is>
      </c>
      <c r="E284" t="inlineStr">
        <is>
          <t>BRÄCKE</t>
        </is>
      </c>
      <c r="F284" t="inlineStr">
        <is>
          <t>SCA</t>
        </is>
      </c>
      <c r="G284" t="n">
        <v>28.5</v>
      </c>
      <c r="H284" t="n">
        <v>1</v>
      </c>
      <c r="I284" t="n">
        <v>0</v>
      </c>
      <c r="J284" t="n">
        <v>1</v>
      </c>
      <c r="K284" t="n">
        <v>0</v>
      </c>
      <c r="L284" t="n">
        <v>0</v>
      </c>
      <c r="M284" t="n">
        <v>0</v>
      </c>
      <c r="N284" t="n">
        <v>0</v>
      </c>
      <c r="O284" t="n">
        <v>1</v>
      </c>
      <c r="P284" t="n">
        <v>0</v>
      </c>
      <c r="Q284" t="n">
        <v>1</v>
      </c>
      <c r="R284" s="2" t="inlineStr">
        <is>
          <t>Järpe</t>
        </is>
      </c>
      <c r="S284">
        <f>HYPERLINK("https://klasma.github.io/Logging_2305/artfynd/A 14251-2025 artfynd.xlsx", "A 14251-2025")</f>
        <v/>
      </c>
      <c r="T284">
        <f>HYPERLINK("https://klasma.github.io/Logging_2305/kartor/A 14251-2025 karta.png", "A 14251-2025")</f>
        <v/>
      </c>
      <c r="V284">
        <f>HYPERLINK("https://klasma.github.io/Logging_2305/klagomål/A 14251-2025 FSC-klagomål.docx", "A 14251-2025")</f>
        <v/>
      </c>
      <c r="W284">
        <f>HYPERLINK("https://klasma.github.io/Logging_2305/klagomålsmail/A 14251-2025 FSC-klagomål mail.docx", "A 14251-2025")</f>
        <v/>
      </c>
      <c r="X284">
        <f>HYPERLINK("https://klasma.github.io/Logging_2305/tillsyn/A 14251-2025 tillsynsbegäran.docx", "A 14251-2025")</f>
        <v/>
      </c>
      <c r="Y284">
        <f>HYPERLINK("https://klasma.github.io/Logging_2305/tillsynsmail/A 14251-2025 tillsynsbegäran mail.docx", "A 14251-2025")</f>
        <v/>
      </c>
      <c r="Z284">
        <f>HYPERLINK("https://klasma.github.io/Logging_2305/fåglar/A 14251-2025 prioriterade fågelarter.docx", "A 14251-2025")</f>
        <v/>
      </c>
    </row>
    <row r="285" ht="15" customHeight="1">
      <c r="A285" t="inlineStr">
        <is>
          <t>A 27860-2025</t>
        </is>
      </c>
      <c r="B285" s="1" t="n">
        <v>45817.41630787037</v>
      </c>
      <c r="C285" s="1" t="n">
        <v>45891</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3234-2025</t>
        </is>
      </c>
      <c r="B286" s="1" t="n">
        <v>45679.49020833334</v>
      </c>
      <c r="C286" s="1" t="n">
        <v>45891</v>
      </c>
      <c r="D286" t="inlineStr">
        <is>
          <t>JÄMTLANDS LÄN</t>
        </is>
      </c>
      <c r="E286" t="inlineStr">
        <is>
          <t>BRÄCKE</t>
        </is>
      </c>
      <c r="F286" t="inlineStr">
        <is>
          <t>SCA</t>
        </is>
      </c>
      <c r="G286" t="n">
        <v>1.7</v>
      </c>
      <c r="H286" t="n">
        <v>1</v>
      </c>
      <c r="I286" t="n">
        <v>0</v>
      </c>
      <c r="J286" t="n">
        <v>1</v>
      </c>
      <c r="K286" t="n">
        <v>0</v>
      </c>
      <c r="L286" t="n">
        <v>0</v>
      </c>
      <c r="M286" t="n">
        <v>0</v>
      </c>
      <c r="N286" t="n">
        <v>0</v>
      </c>
      <c r="O286" t="n">
        <v>1</v>
      </c>
      <c r="P286" t="n">
        <v>0</v>
      </c>
      <c r="Q286" t="n">
        <v>1</v>
      </c>
      <c r="R286" s="2" t="inlineStr">
        <is>
          <t>Utter</t>
        </is>
      </c>
      <c r="S286">
        <f>HYPERLINK("https://klasma.github.io/Logging_2305/artfynd/A 3234-2025 artfynd.xlsx", "A 3234-2025")</f>
        <v/>
      </c>
      <c r="T286">
        <f>HYPERLINK("https://klasma.github.io/Logging_2305/kartor/A 3234-2025 karta.png", "A 3234-2025")</f>
        <v/>
      </c>
      <c r="V286">
        <f>HYPERLINK("https://klasma.github.io/Logging_2305/klagomål/A 3234-2025 FSC-klagomål.docx", "A 3234-2025")</f>
        <v/>
      </c>
      <c r="W286">
        <f>HYPERLINK("https://klasma.github.io/Logging_2305/klagomålsmail/A 3234-2025 FSC-klagomål mail.docx", "A 3234-2025")</f>
        <v/>
      </c>
      <c r="X286">
        <f>HYPERLINK("https://klasma.github.io/Logging_2305/tillsyn/A 3234-2025 tillsynsbegäran.docx", "A 3234-2025")</f>
        <v/>
      </c>
      <c r="Y286">
        <f>HYPERLINK("https://klasma.github.io/Logging_2305/tillsynsmail/A 3234-2025 tillsynsbegäran mail.docx", "A 3234-2025")</f>
        <v/>
      </c>
    </row>
    <row r="287" ht="15" customHeight="1">
      <c r="A287" t="inlineStr">
        <is>
          <t>A 28676-2025</t>
        </is>
      </c>
      <c r="B287" s="1" t="n">
        <v>45819.67771990741</v>
      </c>
      <c r="C287" s="1" t="n">
        <v>45891</v>
      </c>
      <c r="D287" t="inlineStr">
        <is>
          <t>JÄMTLANDS LÄN</t>
        </is>
      </c>
      <c r="E287" t="inlineStr">
        <is>
          <t>BRÄCKE</t>
        </is>
      </c>
      <c r="G287" t="n">
        <v>1.2</v>
      </c>
      <c r="H287" t="n">
        <v>0</v>
      </c>
      <c r="I287" t="n">
        <v>1</v>
      </c>
      <c r="J287" t="n">
        <v>0</v>
      </c>
      <c r="K287" t="n">
        <v>0</v>
      </c>
      <c r="L287" t="n">
        <v>0</v>
      </c>
      <c r="M287" t="n">
        <v>0</v>
      </c>
      <c r="N287" t="n">
        <v>0</v>
      </c>
      <c r="O287" t="n">
        <v>0</v>
      </c>
      <c r="P287" t="n">
        <v>0</v>
      </c>
      <c r="Q287" t="n">
        <v>1</v>
      </c>
      <c r="R287" s="2" t="inlineStr">
        <is>
          <t>Rödgul trumpetsvamp</t>
        </is>
      </c>
      <c r="S287">
        <f>HYPERLINK("https://klasma.github.io/Logging_2305/artfynd/A 28676-2025 artfynd.xlsx", "A 28676-2025")</f>
        <v/>
      </c>
      <c r="T287">
        <f>HYPERLINK("https://klasma.github.io/Logging_2305/kartor/A 28676-2025 karta.png", "A 28676-2025")</f>
        <v/>
      </c>
      <c r="V287">
        <f>HYPERLINK("https://klasma.github.io/Logging_2305/klagomål/A 28676-2025 FSC-klagomål.docx", "A 28676-2025")</f>
        <v/>
      </c>
      <c r="W287">
        <f>HYPERLINK("https://klasma.github.io/Logging_2305/klagomålsmail/A 28676-2025 FSC-klagomål mail.docx", "A 28676-2025")</f>
        <v/>
      </c>
      <c r="X287">
        <f>HYPERLINK("https://klasma.github.io/Logging_2305/tillsyn/A 28676-2025 tillsynsbegäran.docx", "A 28676-2025")</f>
        <v/>
      </c>
      <c r="Y287">
        <f>HYPERLINK("https://klasma.github.io/Logging_2305/tillsynsmail/A 28676-2025 tillsynsbegäran mail.docx", "A 28676-2025")</f>
        <v/>
      </c>
    </row>
    <row r="288" ht="15" customHeight="1">
      <c r="A288" t="inlineStr">
        <is>
          <t>A 4851-2025</t>
        </is>
      </c>
      <c r="B288" s="1" t="n">
        <v>45688.67340277778</v>
      </c>
      <c r="C288" s="1" t="n">
        <v>45891</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4851-2025 artfynd.xlsx", "A 4851-2025")</f>
        <v/>
      </c>
      <c r="T288">
        <f>HYPERLINK("https://klasma.github.io/Logging_2305/kartor/A 4851-2025 karta.png", "A 4851-2025")</f>
        <v/>
      </c>
      <c r="V288">
        <f>HYPERLINK("https://klasma.github.io/Logging_2305/klagomål/A 4851-2025 FSC-klagomål.docx", "A 4851-2025")</f>
        <v/>
      </c>
      <c r="W288">
        <f>HYPERLINK("https://klasma.github.io/Logging_2305/klagomålsmail/A 4851-2025 FSC-klagomål mail.docx", "A 4851-2025")</f>
        <v/>
      </c>
      <c r="X288">
        <f>HYPERLINK("https://klasma.github.io/Logging_2305/tillsyn/A 4851-2025 tillsynsbegäran.docx", "A 4851-2025")</f>
        <v/>
      </c>
      <c r="Y288">
        <f>HYPERLINK("https://klasma.github.io/Logging_2305/tillsynsmail/A 4851-2025 tillsynsbegäran mail.docx", "A 4851-2025")</f>
        <v/>
      </c>
    </row>
    <row r="289" ht="15" customHeight="1">
      <c r="A289" t="inlineStr">
        <is>
          <t>A 12525-2025</t>
        </is>
      </c>
      <c r="B289" s="1" t="n">
        <v>45730.67770833334</v>
      </c>
      <c r="C289" s="1" t="n">
        <v>45891</v>
      </c>
      <c r="D289" t="inlineStr">
        <is>
          <t>JÄMTLANDS LÄN</t>
        </is>
      </c>
      <c r="E289" t="inlineStr">
        <is>
          <t>BRÄCKE</t>
        </is>
      </c>
      <c r="F289" t="inlineStr">
        <is>
          <t>SCA</t>
        </is>
      </c>
      <c r="G289" t="n">
        <v>3.5</v>
      </c>
      <c r="H289" t="n">
        <v>1</v>
      </c>
      <c r="I289" t="n">
        <v>0</v>
      </c>
      <c r="J289" t="n">
        <v>0</v>
      </c>
      <c r="K289" t="n">
        <v>0</v>
      </c>
      <c r="L289" t="n">
        <v>0</v>
      </c>
      <c r="M289" t="n">
        <v>0</v>
      </c>
      <c r="N289" t="n">
        <v>0</v>
      </c>
      <c r="O289" t="n">
        <v>0</v>
      </c>
      <c r="P289" t="n">
        <v>0</v>
      </c>
      <c r="Q289" t="n">
        <v>1</v>
      </c>
      <c r="R289" s="2" t="inlineStr">
        <is>
          <t>Fläcknycklar</t>
        </is>
      </c>
      <c r="S289">
        <f>HYPERLINK("https://klasma.github.io/Logging_2305/artfynd/A 12525-2025 artfynd.xlsx", "A 12525-2025")</f>
        <v/>
      </c>
      <c r="T289">
        <f>HYPERLINK("https://klasma.github.io/Logging_2305/kartor/A 12525-2025 karta.png", "A 12525-2025")</f>
        <v/>
      </c>
      <c r="V289">
        <f>HYPERLINK("https://klasma.github.io/Logging_2305/klagomål/A 12525-2025 FSC-klagomål.docx", "A 12525-2025")</f>
        <v/>
      </c>
      <c r="W289">
        <f>HYPERLINK("https://klasma.github.io/Logging_2305/klagomålsmail/A 12525-2025 FSC-klagomål mail.docx", "A 12525-2025")</f>
        <v/>
      </c>
      <c r="X289">
        <f>HYPERLINK("https://klasma.github.io/Logging_2305/tillsyn/A 12525-2025 tillsynsbegäran.docx", "A 12525-2025")</f>
        <v/>
      </c>
      <c r="Y289">
        <f>HYPERLINK("https://klasma.github.io/Logging_2305/tillsynsmail/A 12525-2025 tillsynsbegäran mail.docx", "A 12525-2025")</f>
        <v/>
      </c>
    </row>
    <row r="290" ht="15" customHeight="1">
      <c r="A290" t="inlineStr">
        <is>
          <t>A 40100-2023</t>
        </is>
      </c>
      <c r="B290" s="1" t="n">
        <v>45168</v>
      </c>
      <c r="C290" s="1" t="n">
        <v>45891</v>
      </c>
      <c r="D290" t="inlineStr">
        <is>
          <t>JÄMTLANDS LÄN</t>
        </is>
      </c>
      <c r="E290" t="inlineStr">
        <is>
          <t>BRÄCKE</t>
        </is>
      </c>
      <c r="F290" t="inlineStr">
        <is>
          <t>SCA</t>
        </is>
      </c>
      <c r="G290" t="n">
        <v>2.2</v>
      </c>
      <c r="H290" t="n">
        <v>1</v>
      </c>
      <c r="I290" t="n">
        <v>0</v>
      </c>
      <c r="J290" t="n">
        <v>0</v>
      </c>
      <c r="K290" t="n">
        <v>1</v>
      </c>
      <c r="L290" t="n">
        <v>0</v>
      </c>
      <c r="M290" t="n">
        <v>0</v>
      </c>
      <c r="N290" t="n">
        <v>0</v>
      </c>
      <c r="O290" t="n">
        <v>1</v>
      </c>
      <c r="P290" t="n">
        <v>1</v>
      </c>
      <c r="Q290" t="n">
        <v>1</v>
      </c>
      <c r="R290" s="2" t="inlineStr">
        <is>
          <t>Knärot</t>
        </is>
      </c>
      <c r="S290">
        <f>HYPERLINK("https://klasma.github.io/Logging_2305/artfynd/A 40100-2023 artfynd.xlsx", "A 40100-2023")</f>
        <v/>
      </c>
      <c r="T290">
        <f>HYPERLINK("https://klasma.github.io/Logging_2305/kartor/A 40100-2023 karta.png", "A 40100-2023")</f>
        <v/>
      </c>
      <c r="U290">
        <f>HYPERLINK("https://klasma.github.io/Logging_2305/knärot/A 40100-2023 karta knärot.png", "A 40100-2023")</f>
        <v/>
      </c>
      <c r="V290">
        <f>HYPERLINK("https://klasma.github.io/Logging_2305/klagomål/A 40100-2023 FSC-klagomål.docx", "A 40100-2023")</f>
        <v/>
      </c>
      <c r="W290">
        <f>HYPERLINK("https://klasma.github.io/Logging_2305/klagomålsmail/A 40100-2023 FSC-klagomål mail.docx", "A 40100-2023")</f>
        <v/>
      </c>
      <c r="X290">
        <f>HYPERLINK("https://klasma.github.io/Logging_2305/tillsyn/A 40100-2023 tillsynsbegäran.docx", "A 40100-2023")</f>
        <v/>
      </c>
      <c r="Y290">
        <f>HYPERLINK("https://klasma.github.io/Logging_2305/tillsynsmail/A 40100-2023 tillsynsbegäran mail.docx", "A 40100-2023")</f>
        <v/>
      </c>
    </row>
    <row r="291" ht="15" customHeight="1">
      <c r="A291" t="inlineStr">
        <is>
          <t>A 10736-2025</t>
        </is>
      </c>
      <c r="B291" s="1" t="n">
        <v>45722.40664351852</v>
      </c>
      <c r="C291" s="1" t="n">
        <v>45891</v>
      </c>
      <c r="D291" t="inlineStr">
        <is>
          <t>JÄMTLANDS LÄN</t>
        </is>
      </c>
      <c r="E291" t="inlineStr">
        <is>
          <t>BRÄCKE</t>
        </is>
      </c>
      <c r="F291" t="inlineStr">
        <is>
          <t>SCA</t>
        </is>
      </c>
      <c r="G291" t="n">
        <v>5</v>
      </c>
      <c r="H291" t="n">
        <v>1</v>
      </c>
      <c r="I291" t="n">
        <v>0</v>
      </c>
      <c r="J291" t="n">
        <v>0</v>
      </c>
      <c r="K291" t="n">
        <v>0</v>
      </c>
      <c r="L291" t="n">
        <v>0</v>
      </c>
      <c r="M291" t="n">
        <v>0</v>
      </c>
      <c r="N291" t="n">
        <v>0</v>
      </c>
      <c r="O291" t="n">
        <v>0</v>
      </c>
      <c r="P291" t="n">
        <v>0</v>
      </c>
      <c r="Q291" t="n">
        <v>1</v>
      </c>
      <c r="R291" s="2" t="inlineStr">
        <is>
          <t>Järnsparv</t>
        </is>
      </c>
      <c r="S291">
        <f>HYPERLINK("https://klasma.github.io/Logging_2305/artfynd/A 10736-2025 artfynd.xlsx", "A 10736-2025")</f>
        <v/>
      </c>
      <c r="T291">
        <f>HYPERLINK("https://klasma.github.io/Logging_2305/kartor/A 10736-2025 karta.png", "A 10736-2025")</f>
        <v/>
      </c>
      <c r="V291">
        <f>HYPERLINK("https://klasma.github.io/Logging_2305/klagomål/A 10736-2025 FSC-klagomål.docx", "A 10736-2025")</f>
        <v/>
      </c>
      <c r="W291">
        <f>HYPERLINK("https://klasma.github.io/Logging_2305/klagomålsmail/A 10736-2025 FSC-klagomål mail.docx", "A 10736-2025")</f>
        <v/>
      </c>
      <c r="X291">
        <f>HYPERLINK("https://klasma.github.io/Logging_2305/tillsyn/A 10736-2025 tillsynsbegäran.docx", "A 10736-2025")</f>
        <v/>
      </c>
      <c r="Y291">
        <f>HYPERLINK("https://klasma.github.io/Logging_2305/tillsynsmail/A 10736-2025 tillsynsbegäran mail.docx", "A 10736-2025")</f>
        <v/>
      </c>
      <c r="Z291">
        <f>HYPERLINK("https://klasma.github.io/Logging_2305/fåglar/A 10736-2025 prioriterade fågelarter.docx", "A 10736-2025")</f>
        <v/>
      </c>
    </row>
    <row r="292" ht="15" customHeight="1">
      <c r="A292" t="inlineStr">
        <is>
          <t>A 57797-2023</t>
        </is>
      </c>
      <c r="B292" s="1" t="n">
        <v>45246</v>
      </c>
      <c r="C292" s="1" t="n">
        <v>45891</v>
      </c>
      <c r="D292" t="inlineStr">
        <is>
          <t>JÄMTLANDS LÄN</t>
        </is>
      </c>
      <c r="E292" t="inlineStr">
        <is>
          <t>BRÄCKE</t>
        </is>
      </c>
      <c r="F292" t="inlineStr">
        <is>
          <t>SCA</t>
        </is>
      </c>
      <c r="G292" t="n">
        <v>2.7</v>
      </c>
      <c r="H292" t="n">
        <v>0</v>
      </c>
      <c r="I292" t="n">
        <v>1</v>
      </c>
      <c r="J292" t="n">
        <v>0</v>
      </c>
      <c r="K292" t="n">
        <v>0</v>
      </c>
      <c r="L292" t="n">
        <v>0</v>
      </c>
      <c r="M292" t="n">
        <v>0</v>
      </c>
      <c r="N292" t="n">
        <v>0</v>
      </c>
      <c r="O292" t="n">
        <v>0</v>
      </c>
      <c r="P292" t="n">
        <v>0</v>
      </c>
      <c r="Q292" t="n">
        <v>1</v>
      </c>
      <c r="R292" s="2" t="inlineStr">
        <is>
          <t>Korallblylav</t>
        </is>
      </c>
      <c r="S292">
        <f>HYPERLINK("https://klasma.github.io/Logging_2305/artfynd/A 57797-2023 artfynd.xlsx", "A 57797-2023")</f>
        <v/>
      </c>
      <c r="T292">
        <f>HYPERLINK("https://klasma.github.io/Logging_2305/kartor/A 57797-2023 karta.png", "A 57797-2023")</f>
        <v/>
      </c>
      <c r="V292">
        <f>HYPERLINK("https://klasma.github.io/Logging_2305/klagomål/A 57797-2023 FSC-klagomål.docx", "A 57797-2023")</f>
        <v/>
      </c>
      <c r="W292">
        <f>HYPERLINK("https://klasma.github.io/Logging_2305/klagomålsmail/A 57797-2023 FSC-klagomål mail.docx", "A 57797-2023")</f>
        <v/>
      </c>
      <c r="X292">
        <f>HYPERLINK("https://klasma.github.io/Logging_2305/tillsyn/A 57797-2023 tillsynsbegäran.docx", "A 57797-2023")</f>
        <v/>
      </c>
      <c r="Y292">
        <f>HYPERLINK("https://klasma.github.io/Logging_2305/tillsynsmail/A 57797-2023 tillsynsbegäran mail.docx", "A 57797-2023")</f>
        <v/>
      </c>
    </row>
    <row r="293" ht="15" customHeight="1">
      <c r="A293" t="inlineStr">
        <is>
          <t>A 9204-2025</t>
        </is>
      </c>
      <c r="B293" s="1" t="n">
        <v>45714.48988425926</v>
      </c>
      <c r="C293" s="1" t="n">
        <v>45891</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45891</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53280-2022</t>
        </is>
      </c>
      <c r="B295" s="1" t="n">
        <v>44876</v>
      </c>
      <c r="C295" s="1" t="n">
        <v>45891</v>
      </c>
      <c r="D295" t="inlineStr">
        <is>
          <t>JÄMTLANDS LÄN</t>
        </is>
      </c>
      <c r="E295" t="inlineStr">
        <is>
          <t>BRÄCKE</t>
        </is>
      </c>
      <c r="F295" t="inlineStr">
        <is>
          <t>SCA</t>
        </is>
      </c>
      <c r="G295" t="n">
        <v>2</v>
      </c>
      <c r="H295" t="n">
        <v>0</v>
      </c>
      <c r="I295" t="n">
        <v>1</v>
      </c>
      <c r="J295" t="n">
        <v>0</v>
      </c>
      <c r="K295" t="n">
        <v>0</v>
      </c>
      <c r="L295" t="n">
        <v>0</v>
      </c>
      <c r="M295" t="n">
        <v>0</v>
      </c>
      <c r="N295" t="n">
        <v>0</v>
      </c>
      <c r="O295" t="n">
        <v>0</v>
      </c>
      <c r="P295" t="n">
        <v>0</v>
      </c>
      <c r="Q295" t="n">
        <v>1</v>
      </c>
      <c r="R295" s="2" t="inlineStr">
        <is>
          <t>Stuplav</t>
        </is>
      </c>
      <c r="S295">
        <f>HYPERLINK("https://klasma.github.io/Logging_2305/artfynd/A 53280-2022 artfynd.xlsx", "A 53280-2022")</f>
        <v/>
      </c>
      <c r="T295">
        <f>HYPERLINK("https://klasma.github.io/Logging_2305/kartor/A 53280-2022 karta.png", "A 53280-2022")</f>
        <v/>
      </c>
      <c r="V295">
        <f>HYPERLINK("https://klasma.github.io/Logging_2305/klagomål/A 53280-2022 FSC-klagomål.docx", "A 53280-2022")</f>
        <v/>
      </c>
      <c r="W295">
        <f>HYPERLINK("https://klasma.github.io/Logging_2305/klagomålsmail/A 53280-2022 FSC-klagomål mail.docx", "A 53280-2022")</f>
        <v/>
      </c>
      <c r="X295">
        <f>HYPERLINK("https://klasma.github.io/Logging_2305/tillsyn/A 53280-2022 tillsynsbegäran.docx", "A 53280-2022")</f>
        <v/>
      </c>
      <c r="Y295">
        <f>HYPERLINK("https://klasma.github.io/Logging_2305/tillsynsmail/A 53280-2022 tillsynsbegäran mail.docx", "A 53280-2022")</f>
        <v/>
      </c>
    </row>
    <row r="296" ht="15" customHeight="1">
      <c r="A296" t="inlineStr">
        <is>
          <t>A 37248-2025</t>
        </is>
      </c>
      <c r="B296" s="1" t="n">
        <v>45876.40665509259</v>
      </c>
      <c r="C296" s="1" t="n">
        <v>45891</v>
      </c>
      <c r="D296" t="inlineStr">
        <is>
          <t>JÄMTLANDS LÄN</t>
        </is>
      </c>
      <c r="E296" t="inlineStr">
        <is>
          <t>BRÄCKE</t>
        </is>
      </c>
      <c r="F296" t="inlineStr">
        <is>
          <t>SCA</t>
        </is>
      </c>
      <c r="G296" t="n">
        <v>5</v>
      </c>
      <c r="H296" t="n">
        <v>0</v>
      </c>
      <c r="I296" t="n">
        <v>1</v>
      </c>
      <c r="J296" t="n">
        <v>0</v>
      </c>
      <c r="K296" t="n">
        <v>0</v>
      </c>
      <c r="L296" t="n">
        <v>0</v>
      </c>
      <c r="M296" t="n">
        <v>0</v>
      </c>
      <c r="N296" t="n">
        <v>0</v>
      </c>
      <c r="O296" t="n">
        <v>0</v>
      </c>
      <c r="P296" t="n">
        <v>0</v>
      </c>
      <c r="Q296" t="n">
        <v>1</v>
      </c>
      <c r="R296" s="2" t="inlineStr">
        <is>
          <t>Vedticka</t>
        </is>
      </c>
      <c r="S296">
        <f>HYPERLINK("https://klasma.github.io/Logging_2305/artfynd/A 37248-2025 artfynd.xlsx", "A 37248-2025")</f>
        <v/>
      </c>
      <c r="T296">
        <f>HYPERLINK("https://klasma.github.io/Logging_2305/kartor/A 37248-2025 karta.png", "A 37248-2025")</f>
        <v/>
      </c>
      <c r="V296">
        <f>HYPERLINK("https://klasma.github.io/Logging_2305/klagomål/A 37248-2025 FSC-klagomål.docx", "A 37248-2025")</f>
        <v/>
      </c>
      <c r="W296">
        <f>HYPERLINK("https://klasma.github.io/Logging_2305/klagomålsmail/A 37248-2025 FSC-klagomål mail.docx", "A 37248-2025")</f>
        <v/>
      </c>
      <c r="X296">
        <f>HYPERLINK("https://klasma.github.io/Logging_2305/tillsyn/A 37248-2025 tillsynsbegäran.docx", "A 37248-2025")</f>
        <v/>
      </c>
      <c r="Y296">
        <f>HYPERLINK("https://klasma.github.io/Logging_2305/tillsynsmail/A 37248-2025 tillsynsbegäran mail.docx", "A 37248-2025")</f>
        <v/>
      </c>
    </row>
    <row r="297" ht="15" customHeight="1">
      <c r="A297" t="inlineStr">
        <is>
          <t>A 31450-2025</t>
        </is>
      </c>
      <c r="B297" s="1" t="n">
        <v>45833.53162037037</v>
      </c>
      <c r="C297" s="1" t="n">
        <v>45891</v>
      </c>
      <c r="D297" t="inlineStr">
        <is>
          <t>JÄMTLANDS LÄN</t>
        </is>
      </c>
      <c r="E297" t="inlineStr">
        <is>
          <t>BRÄCKE</t>
        </is>
      </c>
      <c r="F297" t="inlineStr">
        <is>
          <t>SCA</t>
        </is>
      </c>
      <c r="G297" t="n">
        <v>1.6</v>
      </c>
      <c r="H297" t="n">
        <v>1</v>
      </c>
      <c r="I297" t="n">
        <v>1</v>
      </c>
      <c r="J297" t="n">
        <v>0</v>
      </c>
      <c r="K297" t="n">
        <v>0</v>
      </c>
      <c r="L297" t="n">
        <v>0</v>
      </c>
      <c r="M297" t="n">
        <v>0</v>
      </c>
      <c r="N297" t="n">
        <v>0</v>
      </c>
      <c r="O297" t="n">
        <v>0</v>
      </c>
      <c r="P297" t="n">
        <v>0</v>
      </c>
      <c r="Q297" t="n">
        <v>1</v>
      </c>
      <c r="R297" s="2" t="inlineStr">
        <is>
          <t>Plattlummer</t>
        </is>
      </c>
      <c r="S297">
        <f>HYPERLINK("https://klasma.github.io/Logging_2305/artfynd/A 31450-2025 artfynd.xlsx", "A 31450-2025")</f>
        <v/>
      </c>
      <c r="T297">
        <f>HYPERLINK("https://klasma.github.io/Logging_2305/kartor/A 31450-2025 karta.png", "A 31450-2025")</f>
        <v/>
      </c>
      <c r="V297">
        <f>HYPERLINK("https://klasma.github.io/Logging_2305/klagomål/A 31450-2025 FSC-klagomål.docx", "A 31450-2025")</f>
        <v/>
      </c>
      <c r="W297">
        <f>HYPERLINK("https://klasma.github.io/Logging_2305/klagomålsmail/A 31450-2025 FSC-klagomål mail.docx", "A 31450-2025")</f>
        <v/>
      </c>
      <c r="X297">
        <f>HYPERLINK("https://klasma.github.io/Logging_2305/tillsyn/A 31450-2025 tillsynsbegäran.docx", "A 31450-2025")</f>
        <v/>
      </c>
      <c r="Y297">
        <f>HYPERLINK("https://klasma.github.io/Logging_2305/tillsynsmail/A 31450-2025 tillsynsbegäran mail.docx", "A 31450-2025")</f>
        <v/>
      </c>
    </row>
    <row r="298" ht="15" customHeight="1">
      <c r="A298" t="inlineStr">
        <is>
          <t>A 37922-2025</t>
        </is>
      </c>
      <c r="B298" s="1" t="n">
        <v>45881.5750462963</v>
      </c>
      <c r="C298" s="1" t="n">
        <v>45891</v>
      </c>
      <c r="D298" t="inlineStr">
        <is>
          <t>JÄMTLANDS LÄN</t>
        </is>
      </c>
      <c r="E298" t="inlineStr">
        <is>
          <t>BRÄCKE</t>
        </is>
      </c>
      <c r="F298" t="inlineStr">
        <is>
          <t>SCA</t>
        </is>
      </c>
      <c r="G298" t="n">
        <v>2.1</v>
      </c>
      <c r="H298" t="n">
        <v>1</v>
      </c>
      <c r="I298" t="n">
        <v>1</v>
      </c>
      <c r="J298" t="n">
        <v>0</v>
      </c>
      <c r="K298" t="n">
        <v>0</v>
      </c>
      <c r="L298" t="n">
        <v>0</v>
      </c>
      <c r="M298" t="n">
        <v>0</v>
      </c>
      <c r="N298" t="n">
        <v>0</v>
      </c>
      <c r="O298" t="n">
        <v>0</v>
      </c>
      <c r="P298" t="n">
        <v>0</v>
      </c>
      <c r="Q298" t="n">
        <v>1</v>
      </c>
      <c r="R298" s="2" t="inlineStr">
        <is>
          <t>Plattlummer</t>
        </is>
      </c>
      <c r="S298">
        <f>HYPERLINK("https://klasma.github.io/Logging_2305/artfynd/A 37922-2025 artfynd.xlsx", "A 37922-2025")</f>
        <v/>
      </c>
      <c r="T298">
        <f>HYPERLINK("https://klasma.github.io/Logging_2305/kartor/A 37922-2025 karta.png", "A 37922-2025")</f>
        <v/>
      </c>
      <c r="V298">
        <f>HYPERLINK("https://klasma.github.io/Logging_2305/klagomål/A 37922-2025 FSC-klagomål.docx", "A 37922-2025")</f>
        <v/>
      </c>
      <c r="W298">
        <f>HYPERLINK("https://klasma.github.io/Logging_2305/klagomålsmail/A 37922-2025 FSC-klagomål mail.docx", "A 37922-2025")</f>
        <v/>
      </c>
      <c r="X298">
        <f>HYPERLINK("https://klasma.github.io/Logging_2305/tillsyn/A 37922-2025 tillsynsbegäran.docx", "A 37922-2025")</f>
        <v/>
      </c>
      <c r="Y298">
        <f>HYPERLINK("https://klasma.github.io/Logging_2305/tillsynsmail/A 37922-2025 tillsynsbegäran mail.docx", "A 37922-2025")</f>
        <v/>
      </c>
    </row>
    <row r="299" ht="15" customHeight="1">
      <c r="A299" t="inlineStr">
        <is>
          <t>A 37976-2025</t>
        </is>
      </c>
      <c r="B299" s="1" t="n">
        <v>45881.67775462963</v>
      </c>
      <c r="C299" s="1" t="n">
        <v>45891</v>
      </c>
      <c r="D299" t="inlineStr">
        <is>
          <t>JÄMTLANDS LÄN</t>
        </is>
      </c>
      <c r="E299" t="inlineStr">
        <is>
          <t>BRÄCKE</t>
        </is>
      </c>
      <c r="F299" t="inlineStr">
        <is>
          <t>SCA</t>
        </is>
      </c>
      <c r="G299" t="n">
        <v>11.3</v>
      </c>
      <c r="H299" t="n">
        <v>0</v>
      </c>
      <c r="I299" t="n">
        <v>0</v>
      </c>
      <c r="J299" t="n">
        <v>1</v>
      </c>
      <c r="K299" t="n">
        <v>0</v>
      </c>
      <c r="L299" t="n">
        <v>0</v>
      </c>
      <c r="M299" t="n">
        <v>0</v>
      </c>
      <c r="N299" t="n">
        <v>0</v>
      </c>
      <c r="O299" t="n">
        <v>1</v>
      </c>
      <c r="P299" t="n">
        <v>0</v>
      </c>
      <c r="Q299" t="n">
        <v>1</v>
      </c>
      <c r="R299" s="2" t="inlineStr">
        <is>
          <t>Lunglav</t>
        </is>
      </c>
      <c r="S299">
        <f>HYPERLINK("https://klasma.github.io/Logging_2305/artfynd/A 37976-2025 artfynd.xlsx", "A 37976-2025")</f>
        <v/>
      </c>
      <c r="T299">
        <f>HYPERLINK("https://klasma.github.io/Logging_2305/kartor/A 37976-2025 karta.png", "A 37976-2025")</f>
        <v/>
      </c>
      <c r="V299">
        <f>HYPERLINK("https://klasma.github.io/Logging_2305/klagomål/A 37976-2025 FSC-klagomål.docx", "A 37976-2025")</f>
        <v/>
      </c>
      <c r="W299">
        <f>HYPERLINK("https://klasma.github.io/Logging_2305/klagomålsmail/A 37976-2025 FSC-klagomål mail.docx", "A 37976-2025")</f>
        <v/>
      </c>
      <c r="X299">
        <f>HYPERLINK("https://klasma.github.io/Logging_2305/tillsyn/A 37976-2025 tillsynsbegäran.docx", "A 37976-2025")</f>
        <v/>
      </c>
      <c r="Y299">
        <f>HYPERLINK("https://klasma.github.io/Logging_2305/tillsynsmail/A 37976-2025 tillsynsbegäran mail.docx", "A 37976-2025")</f>
        <v/>
      </c>
    </row>
    <row r="300" ht="15" customHeight="1">
      <c r="A300" t="inlineStr">
        <is>
          <t>A 38158-2025</t>
        </is>
      </c>
      <c r="B300" s="1" t="n">
        <v>45882.61518518518</v>
      </c>
      <c r="C300" s="1" t="n">
        <v>45891</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34226-2025</t>
        </is>
      </c>
      <c r="B301" s="1" t="n">
        <v>45845.656875</v>
      </c>
      <c r="C301" s="1" t="n">
        <v>45891</v>
      </c>
      <c r="D301" t="inlineStr">
        <is>
          <t>JÄMTLANDS LÄN</t>
        </is>
      </c>
      <c r="E301" t="inlineStr">
        <is>
          <t>BRÄCKE</t>
        </is>
      </c>
      <c r="F301" t="inlineStr">
        <is>
          <t>SCA</t>
        </is>
      </c>
      <c r="G301" t="n">
        <v>9</v>
      </c>
      <c r="H301" t="n">
        <v>1</v>
      </c>
      <c r="I301" t="n">
        <v>0</v>
      </c>
      <c r="J301" t="n">
        <v>1</v>
      </c>
      <c r="K301" t="n">
        <v>0</v>
      </c>
      <c r="L301" t="n">
        <v>0</v>
      </c>
      <c r="M301" t="n">
        <v>0</v>
      </c>
      <c r="N301" t="n">
        <v>0</v>
      </c>
      <c r="O301" t="n">
        <v>1</v>
      </c>
      <c r="P301" t="n">
        <v>0</v>
      </c>
      <c r="Q301" t="n">
        <v>1</v>
      </c>
      <c r="R301" s="2" t="inlineStr">
        <is>
          <t>Talltita</t>
        </is>
      </c>
      <c r="S301">
        <f>HYPERLINK("https://klasma.github.io/Logging_2305/artfynd/A 34226-2025 artfynd.xlsx", "A 34226-2025")</f>
        <v/>
      </c>
      <c r="T301">
        <f>HYPERLINK("https://klasma.github.io/Logging_2305/kartor/A 34226-2025 karta.png", "A 34226-2025")</f>
        <v/>
      </c>
      <c r="V301">
        <f>HYPERLINK("https://klasma.github.io/Logging_2305/klagomål/A 34226-2025 FSC-klagomål.docx", "A 34226-2025")</f>
        <v/>
      </c>
      <c r="W301">
        <f>HYPERLINK("https://klasma.github.io/Logging_2305/klagomålsmail/A 34226-2025 FSC-klagomål mail.docx", "A 34226-2025")</f>
        <v/>
      </c>
      <c r="X301">
        <f>HYPERLINK("https://klasma.github.io/Logging_2305/tillsyn/A 34226-2025 tillsynsbegäran.docx", "A 34226-2025")</f>
        <v/>
      </c>
      <c r="Y301">
        <f>HYPERLINK("https://klasma.github.io/Logging_2305/tillsynsmail/A 34226-2025 tillsynsbegäran mail.docx", "A 34226-2025")</f>
        <v/>
      </c>
      <c r="Z301">
        <f>HYPERLINK("https://klasma.github.io/Logging_2305/fåglar/A 34226-2025 prioriterade fågelarter.docx", "A 34226-2025")</f>
        <v/>
      </c>
    </row>
    <row r="302" ht="15" customHeight="1">
      <c r="A302" t="inlineStr">
        <is>
          <t>A 34300-2025</t>
        </is>
      </c>
      <c r="B302" s="1" t="n">
        <v>45846.34518518519</v>
      </c>
      <c r="C302" s="1" t="n">
        <v>45891</v>
      </c>
      <c r="D302" t="inlineStr">
        <is>
          <t>JÄMTLANDS LÄN</t>
        </is>
      </c>
      <c r="E302" t="inlineStr">
        <is>
          <t>BRÄCKE</t>
        </is>
      </c>
      <c r="F302" t="inlineStr">
        <is>
          <t>Naturvårdsverket</t>
        </is>
      </c>
      <c r="G302" t="n">
        <v>2.3</v>
      </c>
      <c r="H302" t="n">
        <v>0</v>
      </c>
      <c r="I302" t="n">
        <v>0</v>
      </c>
      <c r="J302" t="n">
        <v>0</v>
      </c>
      <c r="K302" t="n">
        <v>1</v>
      </c>
      <c r="L302" t="n">
        <v>0</v>
      </c>
      <c r="M302" t="n">
        <v>0</v>
      </c>
      <c r="N302" t="n">
        <v>0</v>
      </c>
      <c r="O302" t="n">
        <v>1</v>
      </c>
      <c r="P302" t="n">
        <v>1</v>
      </c>
      <c r="Q302" t="n">
        <v>1</v>
      </c>
      <c r="R302" s="2" t="inlineStr">
        <is>
          <t>Rotfingersvamp</t>
        </is>
      </c>
      <c r="S302">
        <f>HYPERLINK("https://klasma.github.io/Logging_2305/artfynd/A 34300-2025 artfynd.xlsx", "A 34300-2025")</f>
        <v/>
      </c>
      <c r="T302">
        <f>HYPERLINK("https://klasma.github.io/Logging_2305/kartor/A 34300-2025 karta.png", "A 34300-2025")</f>
        <v/>
      </c>
      <c r="V302">
        <f>HYPERLINK("https://klasma.github.io/Logging_2305/klagomål/A 34300-2025 FSC-klagomål.docx", "A 34300-2025")</f>
        <v/>
      </c>
      <c r="W302">
        <f>HYPERLINK("https://klasma.github.io/Logging_2305/klagomålsmail/A 34300-2025 FSC-klagomål mail.docx", "A 34300-2025")</f>
        <v/>
      </c>
      <c r="X302">
        <f>HYPERLINK("https://klasma.github.io/Logging_2305/tillsyn/A 34300-2025 tillsynsbegäran.docx", "A 34300-2025")</f>
        <v/>
      </c>
      <c r="Y302">
        <f>HYPERLINK("https://klasma.github.io/Logging_2305/tillsynsmail/A 34300-2025 tillsynsbegäran mail.docx", "A 34300-2025")</f>
        <v/>
      </c>
    </row>
    <row r="303" ht="15" customHeight="1">
      <c r="A303" t="inlineStr">
        <is>
          <t>A 39085-2025</t>
        </is>
      </c>
      <c r="B303" s="1" t="n">
        <v>45888.49021990741</v>
      </c>
      <c r="C303" s="1" t="n">
        <v>45891</v>
      </c>
      <c r="D303" t="inlineStr">
        <is>
          <t>JÄMTLANDS LÄN</t>
        </is>
      </c>
      <c r="E303" t="inlineStr">
        <is>
          <t>BRÄCKE</t>
        </is>
      </c>
      <c r="F303" t="inlineStr">
        <is>
          <t>SCA</t>
        </is>
      </c>
      <c r="G303" t="n">
        <v>3.3</v>
      </c>
      <c r="H303" t="n">
        <v>0</v>
      </c>
      <c r="I303" t="n">
        <v>0</v>
      </c>
      <c r="J303" t="n">
        <v>1</v>
      </c>
      <c r="K303" t="n">
        <v>0</v>
      </c>
      <c r="L303" t="n">
        <v>0</v>
      </c>
      <c r="M303" t="n">
        <v>0</v>
      </c>
      <c r="N303" t="n">
        <v>0</v>
      </c>
      <c r="O303" t="n">
        <v>1</v>
      </c>
      <c r="P303" t="n">
        <v>0</v>
      </c>
      <c r="Q303" t="n">
        <v>1</v>
      </c>
      <c r="R303" s="2" t="inlineStr">
        <is>
          <t>Lunglav</t>
        </is>
      </c>
      <c r="S303">
        <f>HYPERLINK("https://klasma.github.io/Logging_2305/artfynd/A 39085-2025 artfynd.xlsx", "A 39085-2025")</f>
        <v/>
      </c>
      <c r="T303">
        <f>HYPERLINK("https://klasma.github.io/Logging_2305/kartor/A 39085-2025 karta.png", "A 39085-2025")</f>
        <v/>
      </c>
      <c r="V303">
        <f>HYPERLINK("https://klasma.github.io/Logging_2305/klagomål/A 39085-2025 FSC-klagomål.docx", "A 39085-2025")</f>
        <v/>
      </c>
      <c r="W303">
        <f>HYPERLINK("https://klasma.github.io/Logging_2305/klagomålsmail/A 39085-2025 FSC-klagomål mail.docx", "A 39085-2025")</f>
        <v/>
      </c>
      <c r="X303">
        <f>HYPERLINK("https://klasma.github.io/Logging_2305/tillsyn/A 39085-2025 tillsynsbegäran.docx", "A 39085-2025")</f>
        <v/>
      </c>
      <c r="Y303">
        <f>HYPERLINK("https://klasma.github.io/Logging_2305/tillsynsmail/A 39085-2025 tillsynsbegäran mail.docx", "A 39085-2025")</f>
        <v/>
      </c>
    </row>
    <row r="304" ht="15" customHeight="1">
      <c r="A304" t="inlineStr">
        <is>
          <t>A 34615-2025</t>
        </is>
      </c>
      <c r="B304" s="1" t="n">
        <v>45847.6778125</v>
      </c>
      <c r="C304" s="1" t="n">
        <v>45891</v>
      </c>
      <c r="D304" t="inlineStr">
        <is>
          <t>JÄMTLANDS LÄN</t>
        </is>
      </c>
      <c r="E304" t="inlineStr">
        <is>
          <t>BRÄCKE</t>
        </is>
      </c>
      <c r="F304" t="inlineStr">
        <is>
          <t>SCA</t>
        </is>
      </c>
      <c r="G304" t="n">
        <v>2.7</v>
      </c>
      <c r="H304" t="n">
        <v>0</v>
      </c>
      <c r="I304" t="n">
        <v>0</v>
      </c>
      <c r="J304" t="n">
        <v>0</v>
      </c>
      <c r="K304" t="n">
        <v>1</v>
      </c>
      <c r="L304" t="n">
        <v>0</v>
      </c>
      <c r="M304" t="n">
        <v>0</v>
      </c>
      <c r="N304" t="n">
        <v>0</v>
      </c>
      <c r="O304" t="n">
        <v>1</v>
      </c>
      <c r="P304" t="n">
        <v>1</v>
      </c>
      <c r="Q304" t="n">
        <v>1</v>
      </c>
      <c r="R304" s="2" t="inlineStr">
        <is>
          <t>Jättemusseron</t>
        </is>
      </c>
      <c r="S304">
        <f>HYPERLINK("https://klasma.github.io/Logging_2305/artfynd/A 34615-2025 artfynd.xlsx", "A 34615-2025")</f>
        <v/>
      </c>
      <c r="T304">
        <f>HYPERLINK("https://klasma.github.io/Logging_2305/kartor/A 34615-2025 karta.png", "A 34615-2025")</f>
        <v/>
      </c>
      <c r="V304">
        <f>HYPERLINK("https://klasma.github.io/Logging_2305/klagomål/A 34615-2025 FSC-klagomål.docx", "A 34615-2025")</f>
        <v/>
      </c>
      <c r="W304">
        <f>HYPERLINK("https://klasma.github.io/Logging_2305/klagomålsmail/A 34615-2025 FSC-klagomål mail.docx", "A 34615-2025")</f>
        <v/>
      </c>
      <c r="X304">
        <f>HYPERLINK("https://klasma.github.io/Logging_2305/tillsyn/A 34615-2025 tillsynsbegäran.docx", "A 34615-2025")</f>
        <v/>
      </c>
      <c r="Y304">
        <f>HYPERLINK("https://klasma.github.io/Logging_2305/tillsynsmail/A 34615-2025 tillsynsbegäran mail.docx", "A 34615-2025")</f>
        <v/>
      </c>
    </row>
    <row r="305" ht="15" customHeight="1">
      <c r="A305" t="inlineStr">
        <is>
          <t>A 724-2023</t>
        </is>
      </c>
      <c r="B305" s="1" t="n">
        <v>44930.94215277778</v>
      </c>
      <c r="C305" s="1" t="n">
        <v>45891</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24552-2022</t>
        </is>
      </c>
      <c r="B306" s="1" t="n">
        <v>44726</v>
      </c>
      <c r="C306" s="1" t="n">
        <v>45891</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11614-2024</t>
        </is>
      </c>
      <c r="B307" s="1" t="n">
        <v>45373.42134259259</v>
      </c>
      <c r="C307" s="1" t="n">
        <v>45891</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39701-2022</t>
        </is>
      </c>
      <c r="B308" s="1" t="n">
        <v>44818</v>
      </c>
      <c r="C308" s="1" t="n">
        <v>45891</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45891</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45891</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45891</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53196-2020</t>
        </is>
      </c>
      <c r="B312" s="1" t="n">
        <v>44122.43391203704</v>
      </c>
      <c r="C312" s="1" t="n">
        <v>45891</v>
      </c>
      <c r="D312" t="inlineStr">
        <is>
          <t>JÄMTLANDS LÄN</t>
        </is>
      </c>
      <c r="E312" t="inlineStr">
        <is>
          <t>BRÄCKE</t>
        </is>
      </c>
      <c r="G312" t="n">
        <v>1</v>
      </c>
      <c r="H312" t="n">
        <v>0</v>
      </c>
      <c r="I312" t="n">
        <v>0</v>
      </c>
      <c r="J312" t="n">
        <v>0</v>
      </c>
      <c r="K312" t="n">
        <v>0</v>
      </c>
      <c r="L312" t="n">
        <v>0</v>
      </c>
      <c r="M312" t="n">
        <v>0</v>
      </c>
      <c r="N312" t="n">
        <v>0</v>
      </c>
      <c r="O312" t="n">
        <v>0</v>
      </c>
      <c r="P312" t="n">
        <v>0</v>
      </c>
      <c r="Q312" t="n">
        <v>0</v>
      </c>
      <c r="R312" s="2" t="inlineStr"/>
    </row>
    <row r="313" ht="15" customHeight="1">
      <c r="A313" t="inlineStr">
        <is>
          <t>A 64809-2020</t>
        </is>
      </c>
      <c r="B313" s="1" t="n">
        <v>44169</v>
      </c>
      <c r="C313" s="1" t="n">
        <v>45891</v>
      </c>
      <c r="D313" t="inlineStr">
        <is>
          <t>JÄMTLANDS LÄN</t>
        </is>
      </c>
      <c r="E313" t="inlineStr">
        <is>
          <t>BRÄCKE</t>
        </is>
      </c>
      <c r="F313" t="inlineStr">
        <is>
          <t>SCA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14079-2021</t>
        </is>
      </c>
      <c r="B314" s="1" t="n">
        <v>44277</v>
      </c>
      <c r="C314" s="1" t="n">
        <v>45891</v>
      </c>
      <c r="D314" t="inlineStr">
        <is>
          <t>JÄMTLANDS LÄN</t>
        </is>
      </c>
      <c r="E314" t="inlineStr">
        <is>
          <t>BRÄCKE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45891</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62970-2020</t>
        </is>
      </c>
      <c r="B316" s="1" t="n">
        <v>44162</v>
      </c>
      <c r="C316" s="1" t="n">
        <v>45891</v>
      </c>
      <c r="D316" t="inlineStr">
        <is>
          <t>JÄMTLANDS LÄN</t>
        </is>
      </c>
      <c r="E316" t="inlineStr">
        <is>
          <t>BRÄCKE</t>
        </is>
      </c>
      <c r="G316" t="n">
        <v>2.4</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45891</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51022-2022</t>
        </is>
      </c>
      <c r="B318" s="1" t="n">
        <v>44867</v>
      </c>
      <c r="C318" s="1" t="n">
        <v>45891</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44752-2022</t>
        </is>
      </c>
      <c r="B319" s="1" t="n">
        <v>44840</v>
      </c>
      <c r="C319" s="1" t="n">
        <v>45891</v>
      </c>
      <c r="D319" t="inlineStr">
        <is>
          <t>JÄMTLANDS LÄN</t>
        </is>
      </c>
      <c r="E319" t="inlineStr">
        <is>
          <t>BRÄCKE</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54829-2022</t>
        </is>
      </c>
      <c r="B320" s="1" t="n">
        <v>44883</v>
      </c>
      <c r="C320" s="1" t="n">
        <v>45891</v>
      </c>
      <c r="D320" t="inlineStr">
        <is>
          <t>JÄMTLANDS LÄN</t>
        </is>
      </c>
      <c r="E320" t="inlineStr">
        <is>
          <t>BRÄCKE</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45891</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45891</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44908-2020</t>
        </is>
      </c>
      <c r="B323" s="1" t="n">
        <v>44088</v>
      </c>
      <c r="C323" s="1" t="n">
        <v>45891</v>
      </c>
      <c r="D323" t="inlineStr">
        <is>
          <t>JÄMTLANDS LÄN</t>
        </is>
      </c>
      <c r="E323" t="inlineStr">
        <is>
          <t>BRÄCKE</t>
        </is>
      </c>
      <c r="G323" t="n">
        <v>6.1</v>
      </c>
      <c r="H323" t="n">
        <v>0</v>
      </c>
      <c r="I323" t="n">
        <v>0</v>
      </c>
      <c r="J323" t="n">
        <v>0</v>
      </c>
      <c r="K323" t="n">
        <v>0</v>
      </c>
      <c r="L323" t="n">
        <v>0</v>
      </c>
      <c r="M323" t="n">
        <v>0</v>
      </c>
      <c r="N323" t="n">
        <v>0</v>
      </c>
      <c r="O323" t="n">
        <v>0</v>
      </c>
      <c r="P323" t="n">
        <v>0</v>
      </c>
      <c r="Q323" t="n">
        <v>0</v>
      </c>
      <c r="R323" s="2" t="inlineStr"/>
    </row>
    <row r="324" ht="15" customHeight="1">
      <c r="A324" t="inlineStr">
        <is>
          <t>A 59322-2021</t>
        </is>
      </c>
      <c r="B324" s="1" t="n">
        <v>44490.94116898148</v>
      </c>
      <c r="C324" s="1" t="n">
        <v>45891</v>
      </c>
      <c r="D324" t="inlineStr">
        <is>
          <t>JÄMTLANDS LÄN</t>
        </is>
      </c>
      <c r="E324" t="inlineStr">
        <is>
          <t>BRÄCKE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45891</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45891</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18006-2021</t>
        </is>
      </c>
      <c r="B327" s="1" t="n">
        <v>44301</v>
      </c>
      <c r="C327" s="1" t="n">
        <v>45891</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5380-2022</t>
        </is>
      </c>
      <c r="B328" s="1" t="n">
        <v>44594</v>
      </c>
      <c r="C328" s="1" t="n">
        <v>45891</v>
      </c>
      <c r="D328" t="inlineStr">
        <is>
          <t>JÄMTLANDS LÄN</t>
        </is>
      </c>
      <c r="E328" t="inlineStr">
        <is>
          <t>BRÄCKE</t>
        </is>
      </c>
      <c r="F328" t="inlineStr">
        <is>
          <t>SCA</t>
        </is>
      </c>
      <c r="G328" t="n">
        <v>18.3</v>
      </c>
      <c r="H328" t="n">
        <v>0</v>
      </c>
      <c r="I328" t="n">
        <v>0</v>
      </c>
      <c r="J328" t="n">
        <v>0</v>
      </c>
      <c r="K328" t="n">
        <v>0</v>
      </c>
      <c r="L328" t="n">
        <v>0</v>
      </c>
      <c r="M328" t="n">
        <v>0</v>
      </c>
      <c r="N328" t="n">
        <v>0</v>
      </c>
      <c r="O328" t="n">
        <v>0</v>
      </c>
      <c r="P328" t="n">
        <v>0</v>
      </c>
      <c r="Q328" t="n">
        <v>0</v>
      </c>
      <c r="R328" s="2" t="inlineStr"/>
      <c r="U328">
        <f>HYPERLINK("https://klasma.github.io/Logging_2305/knärot/A 5380-2022 karta knärot.png", "A 5380-2022")</f>
        <v/>
      </c>
      <c r="V328">
        <f>HYPERLINK("https://klasma.github.io/Logging_2305/klagomål/A 5380-2022 FSC-klagomål.docx", "A 5380-2022")</f>
        <v/>
      </c>
      <c r="W328">
        <f>HYPERLINK("https://klasma.github.io/Logging_2305/klagomålsmail/A 5380-2022 FSC-klagomål mail.docx", "A 5380-2022")</f>
        <v/>
      </c>
      <c r="X328">
        <f>HYPERLINK("https://klasma.github.io/Logging_2305/tillsyn/A 5380-2022 tillsynsbegäran.docx", "A 5380-2022")</f>
        <v/>
      </c>
      <c r="Y328">
        <f>HYPERLINK("https://klasma.github.io/Logging_2305/tillsynsmail/A 5380-2022 tillsynsbegäran mail.docx", "A 5380-2022")</f>
        <v/>
      </c>
    </row>
    <row r="329" ht="15" customHeight="1">
      <c r="A329" t="inlineStr">
        <is>
          <t>A 1027-2021</t>
        </is>
      </c>
      <c r="B329" s="1" t="n">
        <v>44207</v>
      </c>
      <c r="C329" s="1" t="n">
        <v>45891</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45891</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43421-2022</t>
        </is>
      </c>
      <c r="B331" s="1" t="n">
        <v>44834</v>
      </c>
      <c r="C331" s="1" t="n">
        <v>45891</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45891</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45891</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45891</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45891</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45891</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63600-2021</t>
        </is>
      </c>
      <c r="B337" s="1" t="n">
        <v>44508</v>
      </c>
      <c r="C337" s="1" t="n">
        <v>45891</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45891</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45891</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45891</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45891</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45891</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49838-2022</t>
        </is>
      </c>
      <c r="B343" s="1" t="n">
        <v>44862.92952546296</v>
      </c>
      <c r="C343" s="1" t="n">
        <v>45891</v>
      </c>
      <c r="D343" t="inlineStr">
        <is>
          <t>JÄMTLANDS LÄN</t>
        </is>
      </c>
      <c r="E343" t="inlineStr">
        <is>
          <t>BRÄCKE</t>
        </is>
      </c>
      <c r="G343" t="n">
        <v>1.1</v>
      </c>
      <c r="H343" t="n">
        <v>0</v>
      </c>
      <c r="I343" t="n">
        <v>0</v>
      </c>
      <c r="J343" t="n">
        <v>0</v>
      </c>
      <c r="K343" t="n">
        <v>0</v>
      </c>
      <c r="L343" t="n">
        <v>0</v>
      </c>
      <c r="M343" t="n">
        <v>0</v>
      </c>
      <c r="N343" t="n">
        <v>0</v>
      </c>
      <c r="O343" t="n">
        <v>0</v>
      </c>
      <c r="P343" t="n">
        <v>0</v>
      </c>
      <c r="Q343" t="n">
        <v>0</v>
      </c>
      <c r="R343" s="2" t="inlineStr"/>
    </row>
    <row r="344" ht="15" customHeight="1">
      <c r="A344" t="inlineStr">
        <is>
          <t>A 21722-2022</t>
        </is>
      </c>
      <c r="B344" s="1" t="n">
        <v>44706</v>
      </c>
      <c r="C344" s="1" t="n">
        <v>45891</v>
      </c>
      <c r="D344" t="inlineStr">
        <is>
          <t>JÄMTLANDS LÄN</t>
        </is>
      </c>
      <c r="E344" t="inlineStr">
        <is>
          <t>BRÄCKE</t>
        </is>
      </c>
      <c r="G344" t="n">
        <v>1.5</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45891</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45891</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45891</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45891</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38593-2021</t>
        </is>
      </c>
      <c r="B349" s="1" t="n">
        <v>44407</v>
      </c>
      <c r="C349" s="1" t="n">
        <v>45891</v>
      </c>
      <c r="D349" t="inlineStr">
        <is>
          <t>JÄMTLANDS LÄN</t>
        </is>
      </c>
      <c r="E349" t="inlineStr">
        <is>
          <t>BRÄCKE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67622-2020</t>
        </is>
      </c>
      <c r="B350" s="1" t="n">
        <v>44181</v>
      </c>
      <c r="C350" s="1" t="n">
        <v>45891</v>
      </c>
      <c r="D350" t="inlineStr">
        <is>
          <t>JÄMTLANDS LÄN</t>
        </is>
      </c>
      <c r="E350" t="inlineStr">
        <is>
          <t>BRÄCKE</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57716-2020</t>
        </is>
      </c>
      <c r="B351" s="1" t="n">
        <v>44140</v>
      </c>
      <c r="C351" s="1" t="n">
        <v>45891</v>
      </c>
      <c r="D351" t="inlineStr">
        <is>
          <t>JÄMTLANDS LÄN</t>
        </is>
      </c>
      <c r="E351" t="inlineStr">
        <is>
          <t>BRÄCKE</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45891</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45891</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45891</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45891</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45891</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45891</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45891</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45891</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31093-2021</t>
        </is>
      </c>
      <c r="B360" s="1" t="n">
        <v>44368</v>
      </c>
      <c r="C360" s="1" t="n">
        <v>45891</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29930-2021</t>
        </is>
      </c>
      <c r="B361" s="1" t="n">
        <v>44362</v>
      </c>
      <c r="C361" s="1" t="n">
        <v>45891</v>
      </c>
      <c r="D361" t="inlineStr">
        <is>
          <t>JÄMTLANDS LÄN</t>
        </is>
      </c>
      <c r="E361" t="inlineStr">
        <is>
          <t>BRÄCKE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45891</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45891</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45891</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45891</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29603-2021</t>
        </is>
      </c>
      <c r="B366" s="1" t="n">
        <v>44361</v>
      </c>
      <c r="C366" s="1" t="n">
        <v>45891</v>
      </c>
      <c r="D366" t="inlineStr">
        <is>
          <t>JÄMTLANDS LÄN</t>
        </is>
      </c>
      <c r="E366" t="inlineStr">
        <is>
          <t>BRÄCKE</t>
        </is>
      </c>
      <c r="F366" t="inlineStr">
        <is>
          <t>Naturvårdsverket</t>
        </is>
      </c>
      <c r="G366" t="n">
        <v>3.9</v>
      </c>
      <c r="H366" t="n">
        <v>0</v>
      </c>
      <c r="I366" t="n">
        <v>0</v>
      </c>
      <c r="J366" t="n">
        <v>0</v>
      </c>
      <c r="K366" t="n">
        <v>0</v>
      </c>
      <c r="L366" t="n">
        <v>0</v>
      </c>
      <c r="M366" t="n">
        <v>0</v>
      </c>
      <c r="N366" t="n">
        <v>0</v>
      </c>
      <c r="O366" t="n">
        <v>0</v>
      </c>
      <c r="P366" t="n">
        <v>0</v>
      </c>
      <c r="Q366" t="n">
        <v>0</v>
      </c>
      <c r="R366" s="2" t="inlineStr"/>
    </row>
    <row r="367" ht="15" customHeight="1">
      <c r="A367" t="inlineStr">
        <is>
          <t>A 37234-2022</t>
        </is>
      </c>
      <c r="B367" s="1" t="n">
        <v>44806.94603009259</v>
      </c>
      <c r="C367" s="1" t="n">
        <v>45891</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45891</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45891</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45891</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45891</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45891</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45891</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45891</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45891</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45891</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45891</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45891</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45891</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45891</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45891</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45891</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45891</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17738-2022</t>
        </is>
      </c>
      <c r="B384" s="1" t="n">
        <v>44680.95217592592</v>
      </c>
      <c r="C384" s="1" t="n">
        <v>45891</v>
      </c>
      <c r="D384" t="inlineStr">
        <is>
          <t>JÄMTLANDS LÄN</t>
        </is>
      </c>
      <c r="E384" t="inlineStr">
        <is>
          <t>BRÄCKE</t>
        </is>
      </c>
      <c r="F384" t="inlineStr">
        <is>
          <t>SCA</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47559-2021</t>
        </is>
      </c>
      <c r="B385" s="1" t="n">
        <v>44447</v>
      </c>
      <c r="C385" s="1" t="n">
        <v>45891</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45701-2022</t>
        </is>
      </c>
      <c r="B386" s="1" t="n">
        <v>44845</v>
      </c>
      <c r="C386" s="1" t="n">
        <v>45891</v>
      </c>
      <c r="D386" t="inlineStr">
        <is>
          <t>JÄMTLANDS LÄN</t>
        </is>
      </c>
      <c r="E386" t="inlineStr">
        <is>
          <t>BRÄCKE</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16117-2021</t>
        </is>
      </c>
      <c r="B387" s="1" t="n">
        <v>44291</v>
      </c>
      <c r="C387" s="1" t="n">
        <v>45891</v>
      </c>
      <c r="D387" t="inlineStr">
        <is>
          <t>JÄMTLANDS LÄN</t>
        </is>
      </c>
      <c r="E387" t="inlineStr">
        <is>
          <t>BRÄCKE</t>
        </is>
      </c>
      <c r="G387" t="n">
        <v>3.6</v>
      </c>
      <c r="H387" t="n">
        <v>0</v>
      </c>
      <c r="I387" t="n">
        <v>0</v>
      </c>
      <c r="J387" t="n">
        <v>0</v>
      </c>
      <c r="K387" t="n">
        <v>0</v>
      </c>
      <c r="L387" t="n">
        <v>0</v>
      </c>
      <c r="M387" t="n">
        <v>0</v>
      </c>
      <c r="N387" t="n">
        <v>0</v>
      </c>
      <c r="O387" t="n">
        <v>0</v>
      </c>
      <c r="P387" t="n">
        <v>0</v>
      </c>
      <c r="Q387" t="n">
        <v>0</v>
      </c>
      <c r="R387" s="2" t="inlineStr"/>
    </row>
    <row r="388" ht="15" customHeight="1">
      <c r="A388" t="inlineStr">
        <is>
          <t>A 20069-2022</t>
        </is>
      </c>
      <c r="B388" s="1" t="n">
        <v>44697.94190972222</v>
      </c>
      <c r="C388" s="1" t="n">
        <v>45891</v>
      </c>
      <c r="D388" t="inlineStr">
        <is>
          <t>JÄMTLANDS LÄN</t>
        </is>
      </c>
      <c r="E388" t="inlineStr">
        <is>
          <t>BRÄCKE</t>
        </is>
      </c>
      <c r="F388" t="inlineStr">
        <is>
          <t>SCA</t>
        </is>
      </c>
      <c r="G388" t="n">
        <v>5.3</v>
      </c>
      <c r="H388" t="n">
        <v>0</v>
      </c>
      <c r="I388" t="n">
        <v>0</v>
      </c>
      <c r="J388" t="n">
        <v>0</v>
      </c>
      <c r="K388" t="n">
        <v>0</v>
      </c>
      <c r="L388" t="n">
        <v>0</v>
      </c>
      <c r="M388" t="n">
        <v>0</v>
      </c>
      <c r="N388" t="n">
        <v>0</v>
      </c>
      <c r="O388" t="n">
        <v>0</v>
      </c>
      <c r="P388" t="n">
        <v>0</v>
      </c>
      <c r="Q388" t="n">
        <v>0</v>
      </c>
      <c r="R388" s="2" t="inlineStr"/>
    </row>
    <row r="389" ht="15" customHeight="1">
      <c r="A389" t="inlineStr">
        <is>
          <t>A 56416-2020</t>
        </is>
      </c>
      <c r="B389" s="1" t="n">
        <v>44137</v>
      </c>
      <c r="C389" s="1" t="n">
        <v>45891</v>
      </c>
      <c r="D389" t="inlineStr">
        <is>
          <t>JÄMTLANDS LÄN</t>
        </is>
      </c>
      <c r="E389" t="inlineStr">
        <is>
          <t>BRÄCKE</t>
        </is>
      </c>
      <c r="G389" t="n">
        <v>0.5</v>
      </c>
      <c r="H389" t="n">
        <v>0</v>
      </c>
      <c r="I389" t="n">
        <v>0</v>
      </c>
      <c r="J389" t="n">
        <v>0</v>
      </c>
      <c r="K389" t="n">
        <v>0</v>
      </c>
      <c r="L389" t="n">
        <v>0</v>
      </c>
      <c r="M389" t="n">
        <v>0</v>
      </c>
      <c r="N389" t="n">
        <v>0</v>
      </c>
      <c r="O389" t="n">
        <v>0</v>
      </c>
      <c r="P389" t="n">
        <v>0</v>
      </c>
      <c r="Q389" t="n">
        <v>0</v>
      </c>
      <c r="R389" s="2" t="inlineStr"/>
    </row>
    <row r="390" ht="15" customHeight="1">
      <c r="A390" t="inlineStr">
        <is>
          <t>A 53612-2021</t>
        </is>
      </c>
      <c r="B390" s="1" t="n">
        <v>44469</v>
      </c>
      <c r="C390" s="1" t="n">
        <v>45891</v>
      </c>
      <c r="D390" t="inlineStr">
        <is>
          <t>JÄMTLANDS LÄN</t>
        </is>
      </c>
      <c r="E390" t="inlineStr">
        <is>
          <t>BRÄCKE</t>
        </is>
      </c>
      <c r="G390" t="n">
        <v>1.7</v>
      </c>
      <c r="H390" t="n">
        <v>0</v>
      </c>
      <c r="I390" t="n">
        <v>0</v>
      </c>
      <c r="J390" t="n">
        <v>0</v>
      </c>
      <c r="K390" t="n">
        <v>0</v>
      </c>
      <c r="L390" t="n">
        <v>0</v>
      </c>
      <c r="M390" t="n">
        <v>0</v>
      </c>
      <c r="N390" t="n">
        <v>0</v>
      </c>
      <c r="O390" t="n">
        <v>0</v>
      </c>
      <c r="P390" t="n">
        <v>0</v>
      </c>
      <c r="Q390" t="n">
        <v>0</v>
      </c>
      <c r="R390" s="2" t="inlineStr"/>
    </row>
    <row r="391" ht="15" customHeight="1">
      <c r="A391" t="inlineStr">
        <is>
          <t>A 48555-2022</t>
        </is>
      </c>
      <c r="B391" s="1" t="n">
        <v>44859</v>
      </c>
      <c r="C391" s="1" t="n">
        <v>45891</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47838-2020</t>
        </is>
      </c>
      <c r="B392" s="1" t="n">
        <v>44098</v>
      </c>
      <c r="C392" s="1" t="n">
        <v>45891</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46602-2022</t>
        </is>
      </c>
      <c r="B393" s="1" t="n">
        <v>44848</v>
      </c>
      <c r="C393" s="1" t="n">
        <v>45891</v>
      </c>
      <c r="D393" t="inlineStr">
        <is>
          <t>JÄMTLANDS LÄN</t>
        </is>
      </c>
      <c r="E393" t="inlineStr">
        <is>
          <t>BRÄCKE</t>
        </is>
      </c>
      <c r="G393" t="n">
        <v>1.6</v>
      </c>
      <c r="H393" t="n">
        <v>0</v>
      </c>
      <c r="I393" t="n">
        <v>0</v>
      </c>
      <c r="J393" t="n">
        <v>0</v>
      </c>
      <c r="K393" t="n">
        <v>0</v>
      </c>
      <c r="L393" t="n">
        <v>0</v>
      </c>
      <c r="M393" t="n">
        <v>0</v>
      </c>
      <c r="N393" t="n">
        <v>0</v>
      </c>
      <c r="O393" t="n">
        <v>0</v>
      </c>
      <c r="P393" t="n">
        <v>0</v>
      </c>
      <c r="Q393" t="n">
        <v>0</v>
      </c>
      <c r="R393" s="2" t="inlineStr"/>
    </row>
    <row r="394" ht="15" customHeight="1">
      <c r="A394" t="inlineStr">
        <is>
          <t>A 51020-2022</t>
        </is>
      </c>
      <c r="B394" s="1" t="n">
        <v>44867.95071759259</v>
      </c>
      <c r="C394" s="1" t="n">
        <v>45891</v>
      </c>
      <c r="D394" t="inlineStr">
        <is>
          <t>JÄMTLANDS LÄN</t>
        </is>
      </c>
      <c r="E394" t="inlineStr">
        <is>
          <t>BRÄCKE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16619-2021</t>
        </is>
      </c>
      <c r="B395" s="1" t="n">
        <v>44294</v>
      </c>
      <c r="C395" s="1" t="n">
        <v>45891</v>
      </c>
      <c r="D395" t="inlineStr">
        <is>
          <t>JÄMTLANDS LÄN</t>
        </is>
      </c>
      <c r="E395" t="inlineStr">
        <is>
          <t>BRÄCKE</t>
        </is>
      </c>
      <c r="G395" t="n">
        <v>10.3</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45891</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46623-2022</t>
        </is>
      </c>
      <c r="B397" s="1" t="n">
        <v>44848.95137731481</v>
      </c>
      <c r="C397" s="1" t="n">
        <v>45891</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56221-2021</t>
        </is>
      </c>
      <c r="B398" s="1" t="n">
        <v>44477</v>
      </c>
      <c r="C398" s="1" t="n">
        <v>45891</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45891</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37032-2022</t>
        </is>
      </c>
      <c r="B400" s="1" t="n">
        <v>44806</v>
      </c>
      <c r="C400" s="1" t="n">
        <v>45891</v>
      </c>
      <c r="D400" t="inlineStr">
        <is>
          <t>JÄMTLANDS LÄN</t>
        </is>
      </c>
      <c r="E400" t="inlineStr">
        <is>
          <t>BRÄCKE</t>
        </is>
      </c>
      <c r="G400" t="n">
        <v>0.7</v>
      </c>
      <c r="H400" t="n">
        <v>0</v>
      </c>
      <c r="I400" t="n">
        <v>0</v>
      </c>
      <c r="J400" t="n">
        <v>0</v>
      </c>
      <c r="K400" t="n">
        <v>0</v>
      </c>
      <c r="L400" t="n">
        <v>0</v>
      </c>
      <c r="M400" t="n">
        <v>0</v>
      </c>
      <c r="N400" t="n">
        <v>0</v>
      </c>
      <c r="O400" t="n">
        <v>0</v>
      </c>
      <c r="P400" t="n">
        <v>0</v>
      </c>
      <c r="Q400" t="n">
        <v>0</v>
      </c>
      <c r="R400" s="2" t="inlineStr"/>
    </row>
    <row r="401" ht="15" customHeight="1">
      <c r="A401" t="inlineStr">
        <is>
          <t>A 26139-2022</t>
        </is>
      </c>
      <c r="B401" s="1" t="n">
        <v>44734</v>
      </c>
      <c r="C401" s="1" t="n">
        <v>45891</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4542-2022</t>
        </is>
      </c>
      <c r="B402" s="1" t="n">
        <v>44590</v>
      </c>
      <c r="C402" s="1" t="n">
        <v>45891</v>
      </c>
      <c r="D402" t="inlineStr">
        <is>
          <t>JÄMTLANDS LÄN</t>
        </is>
      </c>
      <c r="E402" t="inlineStr">
        <is>
          <t>BRÄCKE</t>
        </is>
      </c>
      <c r="G402" t="n">
        <v>18.5</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45891</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59331-2020</t>
        </is>
      </c>
      <c r="B404" s="1" t="n">
        <v>44147.9399537037</v>
      </c>
      <c r="C404" s="1" t="n">
        <v>45891</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45891</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19810-2022</t>
        </is>
      </c>
      <c r="B406" s="1" t="n">
        <v>44694.93921296296</v>
      </c>
      <c r="C406" s="1" t="n">
        <v>45891</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2621-2024</t>
        </is>
      </c>
      <c r="B407" s="1" t="n">
        <v>45313.94908564815</v>
      </c>
      <c r="C407" s="1" t="n">
        <v>45891</v>
      </c>
      <c r="D407" t="inlineStr">
        <is>
          <t>JÄMTLANDS LÄN</t>
        </is>
      </c>
      <c r="E407" t="inlineStr">
        <is>
          <t>BRÄCKE</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70807-2021</t>
        </is>
      </c>
      <c r="B408" s="1" t="n">
        <v>44537</v>
      </c>
      <c r="C408" s="1" t="n">
        <v>45891</v>
      </c>
      <c r="D408" t="inlineStr">
        <is>
          <t>JÄMTLANDS LÄN</t>
        </is>
      </c>
      <c r="E408" t="inlineStr">
        <is>
          <t>BRÄCKE</t>
        </is>
      </c>
      <c r="G408" t="n">
        <v>0.9</v>
      </c>
      <c r="H408" t="n">
        <v>0</v>
      </c>
      <c r="I408" t="n">
        <v>0</v>
      </c>
      <c r="J408" t="n">
        <v>0</v>
      </c>
      <c r="K408" t="n">
        <v>0</v>
      </c>
      <c r="L408" t="n">
        <v>0</v>
      </c>
      <c r="M408" t="n">
        <v>0</v>
      </c>
      <c r="N408" t="n">
        <v>0</v>
      </c>
      <c r="O408" t="n">
        <v>0</v>
      </c>
      <c r="P408" t="n">
        <v>0</v>
      </c>
      <c r="Q408" t="n">
        <v>0</v>
      </c>
      <c r="R408" s="2" t="inlineStr"/>
    </row>
    <row r="409" ht="15" customHeight="1">
      <c r="A409" t="inlineStr">
        <is>
          <t>A 55523-2022</t>
        </is>
      </c>
      <c r="B409" s="1" t="n">
        <v>44887.94924768519</v>
      </c>
      <c r="C409" s="1" t="n">
        <v>45891</v>
      </c>
      <c r="D409" t="inlineStr">
        <is>
          <t>JÄMTLANDS LÄN</t>
        </is>
      </c>
      <c r="E409" t="inlineStr">
        <is>
          <t>BRÄCKE</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61602-2020</t>
        </is>
      </c>
      <c r="B410" s="1" t="n">
        <v>44158</v>
      </c>
      <c r="C410" s="1" t="n">
        <v>45891</v>
      </c>
      <c r="D410" t="inlineStr">
        <is>
          <t>JÄMTLANDS LÄN</t>
        </is>
      </c>
      <c r="E410" t="inlineStr">
        <is>
          <t>BRÄCKE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43832-2021</t>
        </is>
      </c>
      <c r="B411" s="1" t="n">
        <v>44433.9410300926</v>
      </c>
      <c r="C411" s="1" t="n">
        <v>45891</v>
      </c>
      <c r="D411" t="inlineStr">
        <is>
          <t>JÄMTLANDS LÄN</t>
        </is>
      </c>
      <c r="E411" t="inlineStr">
        <is>
          <t>BRÄCKE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45891</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62953-2021</t>
        </is>
      </c>
      <c r="B413" s="1" t="n">
        <v>44504</v>
      </c>
      <c r="C413" s="1" t="n">
        <v>45891</v>
      </c>
      <c r="D413" t="inlineStr">
        <is>
          <t>JÄMTLANDS LÄN</t>
        </is>
      </c>
      <c r="E413" t="inlineStr">
        <is>
          <t>BRÄCKE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31978-2022</t>
        </is>
      </c>
      <c r="B414" s="1" t="n">
        <v>44777.95574074074</v>
      </c>
      <c r="C414" s="1" t="n">
        <v>45891</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45891</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45426-2022</t>
        </is>
      </c>
      <c r="B416" s="1" t="n">
        <v>44844</v>
      </c>
      <c r="C416" s="1" t="n">
        <v>45891</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10536-2022</t>
        </is>
      </c>
      <c r="B417" s="1" t="n">
        <v>44623.92185185185</v>
      </c>
      <c r="C417" s="1" t="n">
        <v>45891</v>
      </c>
      <c r="D417" t="inlineStr">
        <is>
          <t>JÄMTLANDS LÄN</t>
        </is>
      </c>
      <c r="E417" t="inlineStr">
        <is>
          <t>BRÄCKE</t>
        </is>
      </c>
      <c r="G417" t="n">
        <v>3.1</v>
      </c>
      <c r="H417" t="n">
        <v>0</v>
      </c>
      <c r="I417" t="n">
        <v>0</v>
      </c>
      <c r="J417" t="n">
        <v>0</v>
      </c>
      <c r="K417" t="n">
        <v>0</v>
      </c>
      <c r="L417" t="n">
        <v>0</v>
      </c>
      <c r="M417" t="n">
        <v>0</v>
      </c>
      <c r="N417" t="n">
        <v>0</v>
      </c>
      <c r="O417" t="n">
        <v>0</v>
      </c>
      <c r="P417" t="n">
        <v>0</v>
      </c>
      <c r="Q417" t="n">
        <v>0</v>
      </c>
      <c r="R417" s="2" t="inlineStr"/>
    </row>
    <row r="418" ht="15" customHeight="1">
      <c r="A418" t="inlineStr">
        <is>
          <t>A 68901-2021</t>
        </is>
      </c>
      <c r="B418" s="1" t="n">
        <v>44526</v>
      </c>
      <c r="C418" s="1" t="n">
        <v>45891</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48667-2020</t>
        </is>
      </c>
      <c r="B419" s="1" t="n">
        <v>44098</v>
      </c>
      <c r="C419" s="1" t="n">
        <v>45891</v>
      </c>
      <c r="D419" t="inlineStr">
        <is>
          <t>JÄMTLANDS LÄN</t>
        </is>
      </c>
      <c r="E419" t="inlineStr">
        <is>
          <t>BRÄCKE</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56005-2020</t>
        </is>
      </c>
      <c r="B420" s="1" t="n">
        <v>44133</v>
      </c>
      <c r="C420" s="1" t="n">
        <v>45891</v>
      </c>
      <c r="D420" t="inlineStr">
        <is>
          <t>JÄMTLANDS LÄN</t>
        </is>
      </c>
      <c r="E420" t="inlineStr">
        <is>
          <t>BRÄCKE</t>
        </is>
      </c>
      <c r="G420" t="n">
        <v>0.7</v>
      </c>
      <c r="H420" t="n">
        <v>0</v>
      </c>
      <c r="I420" t="n">
        <v>0</v>
      </c>
      <c r="J420" t="n">
        <v>0</v>
      </c>
      <c r="K420" t="n">
        <v>0</v>
      </c>
      <c r="L420" t="n">
        <v>0</v>
      </c>
      <c r="M420" t="n">
        <v>0</v>
      </c>
      <c r="N420" t="n">
        <v>0</v>
      </c>
      <c r="O420" t="n">
        <v>0</v>
      </c>
      <c r="P420" t="n">
        <v>0</v>
      </c>
      <c r="Q420" t="n">
        <v>0</v>
      </c>
      <c r="R420" s="2" t="inlineStr"/>
    </row>
    <row r="421" ht="15" customHeight="1">
      <c r="A421" t="inlineStr">
        <is>
          <t>A 24950-2021</t>
        </is>
      </c>
      <c r="B421" s="1" t="n">
        <v>44341</v>
      </c>
      <c r="C421" s="1" t="n">
        <v>45891</v>
      </c>
      <c r="D421" t="inlineStr">
        <is>
          <t>JÄMTLANDS LÄN</t>
        </is>
      </c>
      <c r="E421" t="inlineStr">
        <is>
          <t>BRÄCKE</t>
        </is>
      </c>
      <c r="F421" t="inlineStr">
        <is>
          <t>Kyrkan</t>
        </is>
      </c>
      <c r="G421" t="n">
        <v>15.3</v>
      </c>
      <c r="H421" t="n">
        <v>0</v>
      </c>
      <c r="I421" t="n">
        <v>0</v>
      </c>
      <c r="J421" t="n">
        <v>0</v>
      </c>
      <c r="K421" t="n">
        <v>0</v>
      </c>
      <c r="L421" t="n">
        <v>0</v>
      </c>
      <c r="M421" t="n">
        <v>0</v>
      </c>
      <c r="N421" t="n">
        <v>0</v>
      </c>
      <c r="O421" t="n">
        <v>0</v>
      </c>
      <c r="P421" t="n">
        <v>0</v>
      </c>
      <c r="Q421" t="n">
        <v>0</v>
      </c>
      <c r="R421" s="2" t="inlineStr"/>
    </row>
    <row r="422" ht="15" customHeight="1">
      <c r="A422" t="inlineStr">
        <is>
          <t>A 56598-2020</t>
        </is>
      </c>
      <c r="B422" s="1" t="n">
        <v>44137</v>
      </c>
      <c r="C422" s="1" t="n">
        <v>45891</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30483-2022</t>
        </is>
      </c>
      <c r="B423" s="1" t="n">
        <v>44761.94037037037</v>
      </c>
      <c r="C423" s="1" t="n">
        <v>45891</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38424-2021</t>
        </is>
      </c>
      <c r="B424" s="1" t="n">
        <v>44406.93799768519</v>
      </c>
      <c r="C424" s="1" t="n">
        <v>45891</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32964-2022</t>
        </is>
      </c>
      <c r="B425" s="1" t="n">
        <v>44784.9250462963</v>
      </c>
      <c r="C425" s="1" t="n">
        <v>45891</v>
      </c>
      <c r="D425" t="inlineStr">
        <is>
          <t>JÄMTLANDS LÄN</t>
        </is>
      </c>
      <c r="E425" t="inlineStr">
        <is>
          <t>BRÄCKE</t>
        </is>
      </c>
      <c r="G425" t="n">
        <v>2.6</v>
      </c>
      <c r="H425" t="n">
        <v>0</v>
      </c>
      <c r="I425" t="n">
        <v>0</v>
      </c>
      <c r="J425" t="n">
        <v>0</v>
      </c>
      <c r="K425" t="n">
        <v>0</v>
      </c>
      <c r="L425" t="n">
        <v>0</v>
      </c>
      <c r="M425" t="n">
        <v>0</v>
      </c>
      <c r="N425" t="n">
        <v>0</v>
      </c>
      <c r="O425" t="n">
        <v>0</v>
      </c>
      <c r="P425" t="n">
        <v>0</v>
      </c>
      <c r="Q425" t="n">
        <v>0</v>
      </c>
      <c r="R425" s="2" t="inlineStr"/>
    </row>
    <row r="426" ht="15" customHeight="1">
      <c r="A426" t="inlineStr">
        <is>
          <t>A 16723-2021</t>
        </is>
      </c>
      <c r="B426" s="1" t="n">
        <v>44293</v>
      </c>
      <c r="C426" s="1" t="n">
        <v>45891</v>
      </c>
      <c r="D426" t="inlineStr">
        <is>
          <t>JÄMTLANDS LÄN</t>
        </is>
      </c>
      <c r="E426" t="inlineStr">
        <is>
          <t>BRÄCKE</t>
        </is>
      </c>
      <c r="G426" t="n">
        <v>1.7</v>
      </c>
      <c r="H426" t="n">
        <v>0</v>
      </c>
      <c r="I426" t="n">
        <v>0</v>
      </c>
      <c r="J426" t="n">
        <v>0</v>
      </c>
      <c r="K426" t="n">
        <v>0</v>
      </c>
      <c r="L426" t="n">
        <v>0</v>
      </c>
      <c r="M426" t="n">
        <v>0</v>
      </c>
      <c r="N426" t="n">
        <v>0</v>
      </c>
      <c r="O426" t="n">
        <v>0</v>
      </c>
      <c r="P426" t="n">
        <v>0</v>
      </c>
      <c r="Q426" t="n">
        <v>0</v>
      </c>
      <c r="R426" s="2" t="inlineStr"/>
    </row>
    <row r="427" ht="15" customHeight="1">
      <c r="A427" t="inlineStr">
        <is>
          <t>A 40278-2022</t>
        </is>
      </c>
      <c r="B427" s="1" t="n">
        <v>44820</v>
      </c>
      <c r="C427" s="1" t="n">
        <v>45891</v>
      </c>
      <c r="D427" t="inlineStr">
        <is>
          <t>JÄMTLANDS LÄN</t>
        </is>
      </c>
      <c r="E427" t="inlineStr">
        <is>
          <t>BRÄCKE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27258-2021</t>
        </is>
      </c>
      <c r="B428" s="1" t="n">
        <v>44350.93927083333</v>
      </c>
      <c r="C428" s="1" t="n">
        <v>45891</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56648-2021</t>
        </is>
      </c>
      <c r="B429" s="1" t="n">
        <v>44480.92122685185</v>
      </c>
      <c r="C429" s="1" t="n">
        <v>45891</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54809-2021</t>
        </is>
      </c>
      <c r="B430" s="1" t="n">
        <v>44473.94386574074</v>
      </c>
      <c r="C430" s="1" t="n">
        <v>45891</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45891</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45891</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45891</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55900-2022</t>
        </is>
      </c>
      <c r="B434" s="1" t="n">
        <v>44888.95368055555</v>
      </c>
      <c r="C434" s="1" t="n">
        <v>45891</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50981-2020</t>
        </is>
      </c>
      <c r="B435" s="1" t="n">
        <v>44111</v>
      </c>
      <c r="C435" s="1" t="n">
        <v>45891</v>
      </c>
      <c r="D435" t="inlineStr">
        <is>
          <t>JÄMTLANDS LÄN</t>
        </is>
      </c>
      <c r="E435" t="inlineStr">
        <is>
          <t>BRÄCKE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45891</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45891</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37828-2022</t>
        </is>
      </c>
      <c r="B438" s="1" t="n">
        <v>44810.9428587963</v>
      </c>
      <c r="C438" s="1" t="n">
        <v>45891</v>
      </c>
      <c r="D438" t="inlineStr">
        <is>
          <t>JÄMTLANDS LÄN</t>
        </is>
      </c>
      <c r="E438" t="inlineStr">
        <is>
          <t>BRÄCKE</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37829-2022</t>
        </is>
      </c>
      <c r="B439" s="1" t="n">
        <v>44810.94292824074</v>
      </c>
      <c r="C439" s="1" t="n">
        <v>45891</v>
      </c>
      <c r="D439" t="inlineStr">
        <is>
          <t>JÄMTLANDS LÄN</t>
        </is>
      </c>
      <c r="E439" t="inlineStr">
        <is>
          <t>BRÄCKE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30490-2022</t>
        </is>
      </c>
      <c r="B440" s="1" t="n">
        <v>44761</v>
      </c>
      <c r="C440" s="1" t="n">
        <v>45891</v>
      </c>
      <c r="D440" t="inlineStr">
        <is>
          <t>JÄMTLANDS LÄN</t>
        </is>
      </c>
      <c r="E440" t="inlineStr">
        <is>
          <t>BRÄCKE</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28285-2022</t>
        </is>
      </c>
      <c r="B441" s="1" t="n">
        <v>44746</v>
      </c>
      <c r="C441" s="1" t="n">
        <v>45891</v>
      </c>
      <c r="D441" t="inlineStr">
        <is>
          <t>JÄMTLANDS LÄN</t>
        </is>
      </c>
      <c r="E441" t="inlineStr">
        <is>
          <t>BRÄCKE</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21654-2022</t>
        </is>
      </c>
      <c r="B442" s="1" t="n">
        <v>44706.94207175926</v>
      </c>
      <c r="C442" s="1" t="n">
        <v>45891</v>
      </c>
      <c r="D442" t="inlineStr">
        <is>
          <t>JÄMTLANDS LÄN</t>
        </is>
      </c>
      <c r="E442" t="inlineStr">
        <is>
          <t>BRÄCKE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21656-2022</t>
        </is>
      </c>
      <c r="B443" s="1" t="n">
        <v>44706.9421875</v>
      </c>
      <c r="C443" s="1" t="n">
        <v>45891</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45891</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26750-2022</t>
        </is>
      </c>
      <c r="B445" s="1" t="n">
        <v>44739.94125</v>
      </c>
      <c r="C445" s="1" t="n">
        <v>45891</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45891</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18221-2022</t>
        </is>
      </c>
      <c r="B447" s="1" t="n">
        <v>44685</v>
      </c>
      <c r="C447" s="1" t="n">
        <v>45891</v>
      </c>
      <c r="D447" t="inlineStr">
        <is>
          <t>JÄMTLANDS LÄN</t>
        </is>
      </c>
      <c r="E447" t="inlineStr">
        <is>
          <t>BRÄCKE</t>
        </is>
      </c>
      <c r="G447" t="n">
        <v>1.5</v>
      </c>
      <c r="H447" t="n">
        <v>0</v>
      </c>
      <c r="I447" t="n">
        <v>0</v>
      </c>
      <c r="J447" t="n">
        <v>0</v>
      </c>
      <c r="K447" t="n">
        <v>0</v>
      </c>
      <c r="L447" t="n">
        <v>0</v>
      </c>
      <c r="M447" t="n">
        <v>0</v>
      </c>
      <c r="N447" t="n">
        <v>0</v>
      </c>
      <c r="O447" t="n">
        <v>0</v>
      </c>
      <c r="P447" t="n">
        <v>0</v>
      </c>
      <c r="Q447" t="n">
        <v>0</v>
      </c>
      <c r="R447" s="2" t="inlineStr"/>
    </row>
    <row r="448" ht="15" customHeight="1">
      <c r="A448" t="inlineStr">
        <is>
          <t>A 42656-2022</t>
        </is>
      </c>
      <c r="B448" s="1" t="n">
        <v>44831</v>
      </c>
      <c r="C448" s="1" t="n">
        <v>45891</v>
      </c>
      <c r="D448" t="inlineStr">
        <is>
          <t>JÄMTLANDS LÄN</t>
        </is>
      </c>
      <c r="E448" t="inlineStr">
        <is>
          <t>BRÄCKE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16733-2021</t>
        </is>
      </c>
      <c r="B449" s="1" t="n">
        <v>44293</v>
      </c>
      <c r="C449" s="1" t="n">
        <v>45891</v>
      </c>
      <c r="D449" t="inlineStr">
        <is>
          <t>JÄMTLANDS LÄN</t>
        </is>
      </c>
      <c r="E449" t="inlineStr">
        <is>
          <t>BRÄCKE</t>
        </is>
      </c>
      <c r="G449" t="n">
        <v>4</v>
      </c>
      <c r="H449" t="n">
        <v>0</v>
      </c>
      <c r="I449" t="n">
        <v>0</v>
      </c>
      <c r="J449" t="n">
        <v>0</v>
      </c>
      <c r="K449" t="n">
        <v>0</v>
      </c>
      <c r="L449" t="n">
        <v>0</v>
      </c>
      <c r="M449" t="n">
        <v>0</v>
      </c>
      <c r="N449" t="n">
        <v>0</v>
      </c>
      <c r="O449" t="n">
        <v>0</v>
      </c>
      <c r="P449" t="n">
        <v>0</v>
      </c>
      <c r="Q449" t="n">
        <v>0</v>
      </c>
      <c r="R449" s="2" t="inlineStr"/>
    </row>
    <row r="450" ht="15" customHeight="1">
      <c r="A450" t="inlineStr">
        <is>
          <t>A 20532-2025</t>
        </is>
      </c>
      <c r="B450" s="1" t="n">
        <v>45775.61515046296</v>
      </c>
      <c r="C450" s="1" t="n">
        <v>45891</v>
      </c>
      <c r="D450" t="inlineStr">
        <is>
          <t>JÄMTLANDS LÄN</t>
        </is>
      </c>
      <c r="E450" t="inlineStr">
        <is>
          <t>BRÄCKE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56782-2020</t>
        </is>
      </c>
      <c r="B451" s="1" t="n">
        <v>44137</v>
      </c>
      <c r="C451" s="1" t="n">
        <v>45891</v>
      </c>
      <c r="D451" t="inlineStr">
        <is>
          <t>JÄMTLANDS LÄN</t>
        </is>
      </c>
      <c r="E451" t="inlineStr">
        <is>
          <t>BRÄCKE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3866-2025</t>
        </is>
      </c>
      <c r="B452" s="1" t="n">
        <v>45684.31995370371</v>
      </c>
      <c r="C452" s="1" t="n">
        <v>45891</v>
      </c>
      <c r="D452" t="inlineStr">
        <is>
          <t>JÄMTLANDS LÄN</t>
        </is>
      </c>
      <c r="E452" t="inlineStr">
        <is>
          <t>BRÄCKE</t>
        </is>
      </c>
      <c r="G452" t="n">
        <v>0.6</v>
      </c>
      <c r="H452" t="n">
        <v>0</v>
      </c>
      <c r="I452" t="n">
        <v>0</v>
      </c>
      <c r="J452" t="n">
        <v>0</v>
      </c>
      <c r="K452" t="n">
        <v>0</v>
      </c>
      <c r="L452" t="n">
        <v>0</v>
      </c>
      <c r="M452" t="n">
        <v>0</v>
      </c>
      <c r="N452" t="n">
        <v>0</v>
      </c>
      <c r="O452" t="n">
        <v>0</v>
      </c>
      <c r="P452" t="n">
        <v>0</v>
      </c>
      <c r="Q452" t="n">
        <v>0</v>
      </c>
      <c r="R452" s="2" t="inlineStr"/>
    </row>
    <row r="453" ht="15" customHeight="1">
      <c r="A453" t="inlineStr">
        <is>
          <t>A 45436-2022</t>
        </is>
      </c>
      <c r="B453" s="1" t="n">
        <v>44844.95355324074</v>
      </c>
      <c r="C453" s="1" t="n">
        <v>45891</v>
      </c>
      <c r="D453" t="inlineStr">
        <is>
          <t>JÄMTLANDS LÄN</t>
        </is>
      </c>
      <c r="E453" t="inlineStr">
        <is>
          <t>BRÄCKE</t>
        </is>
      </c>
      <c r="G453" t="n">
        <v>2.8</v>
      </c>
      <c r="H453" t="n">
        <v>0</v>
      </c>
      <c r="I453" t="n">
        <v>0</v>
      </c>
      <c r="J453" t="n">
        <v>0</v>
      </c>
      <c r="K453" t="n">
        <v>0</v>
      </c>
      <c r="L453" t="n">
        <v>0</v>
      </c>
      <c r="M453" t="n">
        <v>0</v>
      </c>
      <c r="N453" t="n">
        <v>0</v>
      </c>
      <c r="O453" t="n">
        <v>0</v>
      </c>
      <c r="P453" t="n">
        <v>0</v>
      </c>
      <c r="Q453" t="n">
        <v>0</v>
      </c>
      <c r="R453" s="2" t="inlineStr"/>
    </row>
    <row r="454" ht="15" customHeight="1">
      <c r="A454" t="inlineStr">
        <is>
          <t>A 12705-2025</t>
        </is>
      </c>
      <c r="B454" s="1" t="n">
        <v>45733.46938657408</v>
      </c>
      <c r="C454" s="1" t="n">
        <v>45891</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12722-2025</t>
        </is>
      </c>
      <c r="B455" s="1" t="n">
        <v>45733.48998842593</v>
      </c>
      <c r="C455" s="1" t="n">
        <v>45891</v>
      </c>
      <c r="D455" t="inlineStr">
        <is>
          <t>JÄMTLANDS LÄN</t>
        </is>
      </c>
      <c r="E455" t="inlineStr">
        <is>
          <t>BRÄCKE</t>
        </is>
      </c>
      <c r="F455" t="inlineStr">
        <is>
          <t>SCA</t>
        </is>
      </c>
      <c r="G455" t="n">
        <v>10.3</v>
      </c>
      <c r="H455" t="n">
        <v>0</v>
      </c>
      <c r="I455" t="n">
        <v>0</v>
      </c>
      <c r="J455" t="n">
        <v>0</v>
      </c>
      <c r="K455" t="n">
        <v>0</v>
      </c>
      <c r="L455" t="n">
        <v>0</v>
      </c>
      <c r="M455" t="n">
        <v>0</v>
      </c>
      <c r="N455" t="n">
        <v>0</v>
      </c>
      <c r="O455" t="n">
        <v>0</v>
      </c>
      <c r="P455" t="n">
        <v>0</v>
      </c>
      <c r="Q455" t="n">
        <v>0</v>
      </c>
      <c r="R455" s="2" t="inlineStr"/>
    </row>
    <row r="456" ht="15" customHeight="1">
      <c r="A456" t="inlineStr">
        <is>
          <t>A 40769-2021</t>
        </is>
      </c>
      <c r="B456" s="1" t="n">
        <v>44420</v>
      </c>
      <c r="C456" s="1" t="n">
        <v>45891</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1914-2025</t>
        </is>
      </c>
      <c r="B457" s="1" t="n">
        <v>45671.65984953703</v>
      </c>
      <c r="C457" s="1" t="n">
        <v>45891</v>
      </c>
      <c r="D457" t="inlineStr">
        <is>
          <t>JÄMTLANDS LÄN</t>
        </is>
      </c>
      <c r="E457" t="inlineStr">
        <is>
          <t>BRÄCKE</t>
        </is>
      </c>
      <c r="G457" t="n">
        <v>2.9</v>
      </c>
      <c r="H457" t="n">
        <v>0</v>
      </c>
      <c r="I457" t="n">
        <v>0</v>
      </c>
      <c r="J457" t="n">
        <v>0</v>
      </c>
      <c r="K457" t="n">
        <v>0</v>
      </c>
      <c r="L457" t="n">
        <v>0</v>
      </c>
      <c r="M457" t="n">
        <v>0</v>
      </c>
      <c r="N457" t="n">
        <v>0</v>
      </c>
      <c r="O457" t="n">
        <v>0</v>
      </c>
      <c r="P457" t="n">
        <v>0</v>
      </c>
      <c r="Q457" t="n">
        <v>0</v>
      </c>
      <c r="R457" s="2" t="inlineStr"/>
    </row>
    <row r="458" ht="15" customHeight="1">
      <c r="A458" t="inlineStr">
        <is>
          <t>A 4130-2025</t>
        </is>
      </c>
      <c r="B458" s="1" t="n">
        <v>45685.34472222222</v>
      </c>
      <c r="C458" s="1" t="n">
        <v>45891</v>
      </c>
      <c r="D458" t="inlineStr">
        <is>
          <t>JÄMTLANDS LÄN</t>
        </is>
      </c>
      <c r="E458" t="inlineStr">
        <is>
          <t>BRÄCKE</t>
        </is>
      </c>
      <c r="F458" t="inlineStr">
        <is>
          <t>SCA</t>
        </is>
      </c>
      <c r="G458" t="n">
        <v>14.7</v>
      </c>
      <c r="H458" t="n">
        <v>0</v>
      </c>
      <c r="I458" t="n">
        <v>0</v>
      </c>
      <c r="J458" t="n">
        <v>0</v>
      </c>
      <c r="K458" t="n">
        <v>0</v>
      </c>
      <c r="L458" t="n">
        <v>0</v>
      </c>
      <c r="M458" t="n">
        <v>0</v>
      </c>
      <c r="N458" t="n">
        <v>0</v>
      </c>
      <c r="O458" t="n">
        <v>0</v>
      </c>
      <c r="P458" t="n">
        <v>0</v>
      </c>
      <c r="Q458" t="n">
        <v>0</v>
      </c>
      <c r="R458" s="2" t="inlineStr"/>
    </row>
    <row r="459" ht="15" customHeight="1">
      <c r="A459" t="inlineStr">
        <is>
          <t>A 27351-2022</t>
        </is>
      </c>
      <c r="B459" s="1" t="n">
        <v>44742.42644675926</v>
      </c>
      <c r="C459" s="1" t="n">
        <v>45891</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11093-2024</t>
        </is>
      </c>
      <c r="B460" s="1" t="n">
        <v>45370.94986111111</v>
      </c>
      <c r="C460" s="1" t="n">
        <v>45891</v>
      </c>
      <c r="D460" t="inlineStr">
        <is>
          <t>JÄMTLANDS LÄN</t>
        </is>
      </c>
      <c r="E460" t="inlineStr">
        <is>
          <t>BRÄCKE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20070-2022</t>
        </is>
      </c>
      <c r="B461" s="1" t="n">
        <v>44697.94195601852</v>
      </c>
      <c r="C461" s="1" t="n">
        <v>45891</v>
      </c>
      <c r="D461" t="inlineStr">
        <is>
          <t>JÄMTLANDS LÄN</t>
        </is>
      </c>
      <c r="E461" t="inlineStr">
        <is>
          <t>BRÄCKE</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6291-2025</t>
        </is>
      </c>
      <c r="B462" s="1" t="n">
        <v>45698.65653935185</v>
      </c>
      <c r="C462" s="1" t="n">
        <v>45891</v>
      </c>
      <c r="D462" t="inlineStr">
        <is>
          <t>JÄMTLANDS LÄN</t>
        </is>
      </c>
      <c r="E462" t="inlineStr">
        <is>
          <t>BRÄCKE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34137-2023</t>
        </is>
      </c>
      <c r="B463" s="1" t="n">
        <v>45135</v>
      </c>
      <c r="C463" s="1" t="n">
        <v>45891</v>
      </c>
      <c r="D463" t="inlineStr">
        <is>
          <t>JÄMTLANDS LÄN</t>
        </is>
      </c>
      <c r="E463" t="inlineStr">
        <is>
          <t>BRÄCKE</t>
        </is>
      </c>
      <c r="F463" t="inlineStr">
        <is>
          <t>SCA</t>
        </is>
      </c>
      <c r="G463" t="n">
        <v>0.3</v>
      </c>
      <c r="H463" t="n">
        <v>0</v>
      </c>
      <c r="I463" t="n">
        <v>0</v>
      </c>
      <c r="J463" t="n">
        <v>0</v>
      </c>
      <c r="K463" t="n">
        <v>0</v>
      </c>
      <c r="L463" t="n">
        <v>0</v>
      </c>
      <c r="M463" t="n">
        <v>0</v>
      </c>
      <c r="N463" t="n">
        <v>0</v>
      </c>
      <c r="O463" t="n">
        <v>0</v>
      </c>
      <c r="P463" t="n">
        <v>0</v>
      </c>
      <c r="Q463" t="n">
        <v>0</v>
      </c>
      <c r="R463" s="2" t="inlineStr"/>
    </row>
    <row r="464" ht="15" customHeight="1">
      <c r="A464" t="inlineStr">
        <is>
          <t>A 18057-2025</t>
        </is>
      </c>
      <c r="B464" s="1" t="n">
        <v>45761.47681712963</v>
      </c>
      <c r="C464" s="1" t="n">
        <v>45891</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18065-2025</t>
        </is>
      </c>
      <c r="B465" s="1" t="n">
        <v>45761.48989583334</v>
      </c>
      <c r="C465" s="1" t="n">
        <v>45891</v>
      </c>
      <c r="D465" t="inlineStr">
        <is>
          <t>JÄMTLANDS LÄN</t>
        </is>
      </c>
      <c r="E465" t="inlineStr">
        <is>
          <t>BRÄCKE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57073-2020</t>
        </is>
      </c>
      <c r="B466" s="1" t="n">
        <v>44138</v>
      </c>
      <c r="C466" s="1" t="n">
        <v>45891</v>
      </c>
      <c r="D466" t="inlineStr">
        <is>
          <t>JÄMTLANDS LÄN</t>
        </is>
      </c>
      <c r="E466" t="inlineStr">
        <is>
          <t>BRÄCKE</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30719-2022</t>
        </is>
      </c>
      <c r="B467" s="1" t="n">
        <v>44763.94347222222</v>
      </c>
      <c r="C467" s="1" t="n">
        <v>45891</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7512-2025</t>
        </is>
      </c>
      <c r="B468" s="1" t="n">
        <v>45705.5106712963</v>
      </c>
      <c r="C468" s="1" t="n">
        <v>45891</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60870-2023</t>
        </is>
      </c>
      <c r="B469" s="1" t="n">
        <v>45260.96667824074</v>
      </c>
      <c r="C469" s="1" t="n">
        <v>45891</v>
      </c>
      <c r="D469" t="inlineStr">
        <is>
          <t>JÄMTLANDS LÄN</t>
        </is>
      </c>
      <c r="E469" t="inlineStr">
        <is>
          <t>BRÄCKE</t>
        </is>
      </c>
      <c r="G469" t="n">
        <v>6.1</v>
      </c>
      <c r="H469" t="n">
        <v>0</v>
      </c>
      <c r="I469" t="n">
        <v>0</v>
      </c>
      <c r="J469" t="n">
        <v>0</v>
      </c>
      <c r="K469" t="n">
        <v>0</v>
      </c>
      <c r="L469" t="n">
        <v>0</v>
      </c>
      <c r="M469" t="n">
        <v>0</v>
      </c>
      <c r="N469" t="n">
        <v>0</v>
      </c>
      <c r="O469" t="n">
        <v>0</v>
      </c>
      <c r="P469" t="n">
        <v>0</v>
      </c>
      <c r="Q469" t="n">
        <v>0</v>
      </c>
      <c r="R469" s="2" t="inlineStr"/>
    </row>
    <row r="470" ht="15" customHeight="1">
      <c r="A470" t="inlineStr">
        <is>
          <t>A 29325-2022</t>
        </is>
      </c>
      <c r="B470" s="1" t="n">
        <v>44751.94157407407</v>
      </c>
      <c r="C470" s="1" t="n">
        <v>45891</v>
      </c>
      <c r="D470" t="inlineStr">
        <is>
          <t>JÄMTLANDS LÄN</t>
        </is>
      </c>
      <c r="E470" t="inlineStr">
        <is>
          <t>BRÄCKE</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47257-2022</t>
        </is>
      </c>
      <c r="B471" s="1" t="n">
        <v>44852</v>
      </c>
      <c r="C471" s="1" t="n">
        <v>45891</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33773-2024</t>
        </is>
      </c>
      <c r="B472" s="1" t="n">
        <v>45520</v>
      </c>
      <c r="C472" s="1" t="n">
        <v>45891</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33774-2024</t>
        </is>
      </c>
      <c r="B473" s="1" t="n">
        <v>45520</v>
      </c>
      <c r="C473" s="1" t="n">
        <v>45891</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45891</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45691-2022</t>
        </is>
      </c>
      <c r="B475" s="1" t="n">
        <v>44845.95319444445</v>
      </c>
      <c r="C475" s="1" t="n">
        <v>45891</v>
      </c>
      <c r="D475" t="inlineStr">
        <is>
          <t>JÄMTLANDS LÄN</t>
        </is>
      </c>
      <c r="E475" t="inlineStr">
        <is>
          <t>BRÄCKE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104-2025</t>
        </is>
      </c>
      <c r="B476" s="1" t="n">
        <v>45659</v>
      </c>
      <c r="C476" s="1" t="n">
        <v>45891</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29323-2023</t>
        </is>
      </c>
      <c r="B477" s="1" t="n">
        <v>45105</v>
      </c>
      <c r="C477" s="1" t="n">
        <v>45891</v>
      </c>
      <c r="D477" t="inlineStr">
        <is>
          <t>JÄMTLANDS LÄN</t>
        </is>
      </c>
      <c r="E477" t="inlineStr">
        <is>
          <t>BRÄCKE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3249-2025</t>
        </is>
      </c>
      <c r="B478" s="1" t="n">
        <v>45679.53177083333</v>
      </c>
      <c r="C478" s="1" t="n">
        <v>45891</v>
      </c>
      <c r="D478" t="inlineStr">
        <is>
          <t>JÄMTLANDS LÄN</t>
        </is>
      </c>
      <c r="E478" t="inlineStr">
        <is>
          <t>BRÄCKE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13095-2025</t>
        </is>
      </c>
      <c r="B479" s="1" t="n">
        <v>45734.65609953704</v>
      </c>
      <c r="C479" s="1" t="n">
        <v>45891</v>
      </c>
      <c r="D479" t="inlineStr">
        <is>
          <t>JÄMTLANDS LÄN</t>
        </is>
      </c>
      <c r="E479" t="inlineStr">
        <is>
          <t>BRÄCKE</t>
        </is>
      </c>
      <c r="G479" t="n">
        <v>7.9</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45891</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44218-2020</t>
        </is>
      </c>
      <c r="B481" s="1" t="n">
        <v>44084</v>
      </c>
      <c r="C481" s="1" t="n">
        <v>45891</v>
      </c>
      <c r="D481" t="inlineStr">
        <is>
          <t>JÄMTLANDS LÄN</t>
        </is>
      </c>
      <c r="E481" t="inlineStr">
        <is>
          <t>BRÄCKE</t>
        </is>
      </c>
      <c r="G481" t="n">
        <v>2</v>
      </c>
      <c r="H481" t="n">
        <v>0</v>
      </c>
      <c r="I481" t="n">
        <v>0</v>
      </c>
      <c r="J481" t="n">
        <v>0</v>
      </c>
      <c r="K481" t="n">
        <v>0</v>
      </c>
      <c r="L481" t="n">
        <v>0</v>
      </c>
      <c r="M481" t="n">
        <v>0</v>
      </c>
      <c r="N481" t="n">
        <v>0</v>
      </c>
      <c r="O481" t="n">
        <v>0</v>
      </c>
      <c r="P481" t="n">
        <v>0</v>
      </c>
      <c r="Q481" t="n">
        <v>0</v>
      </c>
      <c r="R481" s="2" t="inlineStr"/>
    </row>
    <row r="482" ht="15" customHeight="1">
      <c r="A482" t="inlineStr">
        <is>
          <t>A 49339-2024</t>
        </is>
      </c>
      <c r="B482" s="1" t="n">
        <v>45595.59420138889</v>
      </c>
      <c r="C482" s="1" t="n">
        <v>45891</v>
      </c>
      <c r="D482" t="inlineStr">
        <is>
          <t>JÄMTLANDS LÄN</t>
        </is>
      </c>
      <c r="E482" t="inlineStr">
        <is>
          <t>BRÄCKE</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4170-2024</t>
        </is>
      </c>
      <c r="B483" s="1" t="n">
        <v>45323.94685185186</v>
      </c>
      <c r="C483" s="1" t="n">
        <v>45891</v>
      </c>
      <c r="D483" t="inlineStr">
        <is>
          <t>JÄMTLANDS LÄN</t>
        </is>
      </c>
      <c r="E483" t="inlineStr">
        <is>
          <t>BRÄCKE</t>
        </is>
      </c>
      <c r="F483" t="inlineStr">
        <is>
          <t>SCA</t>
        </is>
      </c>
      <c r="G483" t="n">
        <v>9.1</v>
      </c>
      <c r="H483" t="n">
        <v>0</v>
      </c>
      <c r="I483" t="n">
        <v>0</v>
      </c>
      <c r="J483" t="n">
        <v>0</v>
      </c>
      <c r="K483" t="n">
        <v>0</v>
      </c>
      <c r="L483" t="n">
        <v>0</v>
      </c>
      <c r="M483" t="n">
        <v>0</v>
      </c>
      <c r="N483" t="n">
        <v>0</v>
      </c>
      <c r="O483" t="n">
        <v>0</v>
      </c>
      <c r="P483" t="n">
        <v>0</v>
      </c>
      <c r="Q483" t="n">
        <v>0</v>
      </c>
      <c r="R483" s="2" t="inlineStr"/>
    </row>
    <row r="484" ht="15" customHeight="1">
      <c r="A484" t="inlineStr">
        <is>
          <t>A 26522-2024</t>
        </is>
      </c>
      <c r="B484" s="1" t="n">
        <v>45469</v>
      </c>
      <c r="C484" s="1" t="n">
        <v>45891</v>
      </c>
      <c r="D484" t="inlineStr">
        <is>
          <t>JÄMTLANDS LÄN</t>
        </is>
      </c>
      <c r="E484" t="inlineStr">
        <is>
          <t>BRÄCKE</t>
        </is>
      </c>
      <c r="G484" t="n">
        <v>14.1</v>
      </c>
      <c r="H484" t="n">
        <v>0</v>
      </c>
      <c r="I484" t="n">
        <v>0</v>
      </c>
      <c r="J484" t="n">
        <v>0</v>
      </c>
      <c r="K484" t="n">
        <v>0</v>
      </c>
      <c r="L484" t="n">
        <v>0</v>
      </c>
      <c r="M484" t="n">
        <v>0</v>
      </c>
      <c r="N484" t="n">
        <v>0</v>
      </c>
      <c r="O484" t="n">
        <v>0</v>
      </c>
      <c r="P484" t="n">
        <v>0</v>
      </c>
      <c r="Q484" t="n">
        <v>0</v>
      </c>
      <c r="R484" s="2" t="inlineStr"/>
    </row>
    <row r="485" ht="15" customHeight="1">
      <c r="A485" t="inlineStr">
        <is>
          <t>A 23752-2023</t>
        </is>
      </c>
      <c r="B485" s="1" t="n">
        <v>45077.92935185185</v>
      </c>
      <c r="C485" s="1" t="n">
        <v>45891</v>
      </c>
      <c r="D485" t="inlineStr">
        <is>
          <t>JÄMTLANDS LÄN</t>
        </is>
      </c>
      <c r="E485" t="inlineStr">
        <is>
          <t>BRÄCKE</t>
        </is>
      </c>
      <c r="G485" t="n">
        <v>0.8</v>
      </c>
      <c r="H485" t="n">
        <v>0</v>
      </c>
      <c r="I485" t="n">
        <v>0</v>
      </c>
      <c r="J485" t="n">
        <v>0</v>
      </c>
      <c r="K485" t="n">
        <v>0</v>
      </c>
      <c r="L485" t="n">
        <v>0</v>
      </c>
      <c r="M485" t="n">
        <v>0</v>
      </c>
      <c r="N485" t="n">
        <v>0</v>
      </c>
      <c r="O485" t="n">
        <v>0</v>
      </c>
      <c r="P485" t="n">
        <v>0</v>
      </c>
      <c r="Q485" t="n">
        <v>0</v>
      </c>
      <c r="R485" s="2" t="inlineStr"/>
    </row>
    <row r="486" ht="15" customHeight="1">
      <c r="A486" t="inlineStr">
        <is>
          <t>A 44444-2022</t>
        </is>
      </c>
      <c r="B486" s="1" t="n">
        <v>44839.95474537037</v>
      </c>
      <c r="C486" s="1" t="n">
        <v>45891</v>
      </c>
      <c r="D486" t="inlineStr">
        <is>
          <t>JÄMTLANDS LÄN</t>
        </is>
      </c>
      <c r="E486" t="inlineStr">
        <is>
          <t>BRÄCKE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32429-2024</t>
        </is>
      </c>
      <c r="B487" s="1" t="n">
        <v>45512.92820601852</v>
      </c>
      <c r="C487" s="1" t="n">
        <v>45891</v>
      </c>
      <c r="D487" t="inlineStr">
        <is>
          <t>JÄMTLANDS LÄN</t>
        </is>
      </c>
      <c r="E487" t="inlineStr">
        <is>
          <t>BRÄCKE</t>
        </is>
      </c>
      <c r="G487" t="n">
        <v>1.3</v>
      </c>
      <c r="H487" t="n">
        <v>0</v>
      </c>
      <c r="I487" t="n">
        <v>0</v>
      </c>
      <c r="J487" t="n">
        <v>0</v>
      </c>
      <c r="K487" t="n">
        <v>0</v>
      </c>
      <c r="L487" t="n">
        <v>0</v>
      </c>
      <c r="M487" t="n">
        <v>0</v>
      </c>
      <c r="N487" t="n">
        <v>0</v>
      </c>
      <c r="O487" t="n">
        <v>0</v>
      </c>
      <c r="P487" t="n">
        <v>0</v>
      </c>
      <c r="Q487" t="n">
        <v>0</v>
      </c>
      <c r="R487" s="2" t="inlineStr"/>
    </row>
    <row r="488" ht="15" customHeight="1">
      <c r="A488" t="inlineStr">
        <is>
          <t>A 4123-2025</t>
        </is>
      </c>
      <c r="B488" s="1" t="n">
        <v>45685.27107638889</v>
      </c>
      <c r="C488" s="1" t="n">
        <v>45891</v>
      </c>
      <c r="D488" t="inlineStr">
        <is>
          <t>JÄMTLANDS LÄN</t>
        </is>
      </c>
      <c r="E488" t="inlineStr">
        <is>
          <t>BRÄCKE</t>
        </is>
      </c>
      <c r="G488" t="n">
        <v>0.3</v>
      </c>
      <c r="H488" t="n">
        <v>0</v>
      </c>
      <c r="I488" t="n">
        <v>0</v>
      </c>
      <c r="J488" t="n">
        <v>0</v>
      </c>
      <c r="K488" t="n">
        <v>0</v>
      </c>
      <c r="L488" t="n">
        <v>0</v>
      </c>
      <c r="M488" t="n">
        <v>0</v>
      </c>
      <c r="N488" t="n">
        <v>0</v>
      </c>
      <c r="O488" t="n">
        <v>0</v>
      </c>
      <c r="P488" t="n">
        <v>0</v>
      </c>
      <c r="Q488" t="n">
        <v>0</v>
      </c>
      <c r="R488" s="2" t="inlineStr"/>
    </row>
    <row r="489" ht="15" customHeight="1">
      <c r="A489" t="inlineStr">
        <is>
          <t>A 30487-2024</t>
        </is>
      </c>
      <c r="B489" s="1" t="n">
        <v>45491.95027777777</v>
      </c>
      <c r="C489" s="1" t="n">
        <v>45891</v>
      </c>
      <c r="D489" t="inlineStr">
        <is>
          <t>JÄMTLANDS LÄN</t>
        </is>
      </c>
      <c r="E489" t="inlineStr">
        <is>
          <t>BRÄCKE</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45939-2024</t>
        </is>
      </c>
      <c r="B490" s="1" t="n">
        <v>45580.53155092592</v>
      </c>
      <c r="C490" s="1" t="n">
        <v>45891</v>
      </c>
      <c r="D490" t="inlineStr">
        <is>
          <t>JÄMTLANDS LÄN</t>
        </is>
      </c>
      <c r="E490" t="inlineStr">
        <is>
          <t>BRÄCKE</t>
        </is>
      </c>
      <c r="F490" t="inlineStr">
        <is>
          <t>Naturvårdsverket</t>
        </is>
      </c>
      <c r="G490" t="n">
        <v>0.9</v>
      </c>
      <c r="H490" t="n">
        <v>0</v>
      </c>
      <c r="I490" t="n">
        <v>0</v>
      </c>
      <c r="J490" t="n">
        <v>0</v>
      </c>
      <c r="K490" t="n">
        <v>0</v>
      </c>
      <c r="L490" t="n">
        <v>0</v>
      </c>
      <c r="M490" t="n">
        <v>0</v>
      </c>
      <c r="N490" t="n">
        <v>0</v>
      </c>
      <c r="O490" t="n">
        <v>0</v>
      </c>
      <c r="P490" t="n">
        <v>0</v>
      </c>
      <c r="Q490" t="n">
        <v>0</v>
      </c>
      <c r="R490" s="2" t="inlineStr"/>
    </row>
    <row r="491" ht="15" customHeight="1">
      <c r="A491" t="inlineStr">
        <is>
          <t>A 5005-2025</t>
        </is>
      </c>
      <c r="B491" s="1" t="n">
        <v>45691.36862268519</v>
      </c>
      <c r="C491" s="1" t="n">
        <v>45891</v>
      </c>
      <c r="D491" t="inlineStr">
        <is>
          <t>JÄMTLANDS LÄN</t>
        </is>
      </c>
      <c r="E491" t="inlineStr">
        <is>
          <t>BRÄCKE</t>
        </is>
      </c>
      <c r="G491" t="n">
        <v>9.5</v>
      </c>
      <c r="H491" t="n">
        <v>0</v>
      </c>
      <c r="I491" t="n">
        <v>0</v>
      </c>
      <c r="J491" t="n">
        <v>0</v>
      </c>
      <c r="K491" t="n">
        <v>0</v>
      </c>
      <c r="L491" t="n">
        <v>0</v>
      </c>
      <c r="M491" t="n">
        <v>0</v>
      </c>
      <c r="N491" t="n">
        <v>0</v>
      </c>
      <c r="O491" t="n">
        <v>0</v>
      </c>
      <c r="P491" t="n">
        <v>0</v>
      </c>
      <c r="Q491" t="n">
        <v>0</v>
      </c>
      <c r="R491" s="2" t="inlineStr"/>
    </row>
    <row r="492" ht="15" customHeight="1">
      <c r="A492" t="inlineStr">
        <is>
          <t>A 24056-2022</t>
        </is>
      </c>
      <c r="B492" s="1" t="n">
        <v>44724.938125</v>
      </c>
      <c r="C492" s="1" t="n">
        <v>45891</v>
      </c>
      <c r="D492" t="inlineStr">
        <is>
          <t>JÄMTLANDS LÄN</t>
        </is>
      </c>
      <c r="E492" t="inlineStr">
        <is>
          <t>BRÄCKE</t>
        </is>
      </c>
      <c r="G492" t="n">
        <v>1.4</v>
      </c>
      <c r="H492" t="n">
        <v>0</v>
      </c>
      <c r="I492" t="n">
        <v>0</v>
      </c>
      <c r="J492" t="n">
        <v>0</v>
      </c>
      <c r="K492" t="n">
        <v>0</v>
      </c>
      <c r="L492" t="n">
        <v>0</v>
      </c>
      <c r="M492" t="n">
        <v>0</v>
      </c>
      <c r="N492" t="n">
        <v>0</v>
      </c>
      <c r="O492" t="n">
        <v>0</v>
      </c>
      <c r="P492" t="n">
        <v>0</v>
      </c>
      <c r="Q492" t="n">
        <v>0</v>
      </c>
      <c r="R492" s="2" t="inlineStr"/>
    </row>
    <row r="493" ht="15" customHeight="1">
      <c r="A493" t="inlineStr">
        <is>
          <t>A 48064-2023</t>
        </is>
      </c>
      <c r="B493" s="1" t="n">
        <v>45204</v>
      </c>
      <c r="C493" s="1" t="n">
        <v>45891</v>
      </c>
      <c r="D493" t="inlineStr">
        <is>
          <t>JÄMTLANDS LÄN</t>
        </is>
      </c>
      <c r="E493" t="inlineStr">
        <is>
          <t>BRÄCKE</t>
        </is>
      </c>
      <c r="G493" t="n">
        <v>2.3</v>
      </c>
      <c r="H493" t="n">
        <v>0</v>
      </c>
      <c r="I493" t="n">
        <v>0</v>
      </c>
      <c r="J493" t="n">
        <v>0</v>
      </c>
      <c r="K493" t="n">
        <v>0</v>
      </c>
      <c r="L493" t="n">
        <v>0</v>
      </c>
      <c r="M493" t="n">
        <v>0</v>
      </c>
      <c r="N493" t="n">
        <v>0</v>
      </c>
      <c r="O493" t="n">
        <v>0</v>
      </c>
      <c r="P493" t="n">
        <v>0</v>
      </c>
      <c r="Q493" t="n">
        <v>0</v>
      </c>
      <c r="R493" s="2" t="inlineStr"/>
    </row>
    <row r="494" ht="15" customHeight="1">
      <c r="A494" t="inlineStr">
        <is>
          <t>A 4914-2025</t>
        </is>
      </c>
      <c r="B494" s="1" t="n">
        <v>45688.68173611111</v>
      </c>
      <c r="C494" s="1" t="n">
        <v>45891</v>
      </c>
      <c r="D494" t="inlineStr">
        <is>
          <t>JÄMTLANDS LÄN</t>
        </is>
      </c>
      <c r="E494" t="inlineStr">
        <is>
          <t>BRÄCKE</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49861-2022</t>
        </is>
      </c>
      <c r="B495" s="1" t="n">
        <v>44862</v>
      </c>
      <c r="C495" s="1" t="n">
        <v>45891</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17252-2025</t>
        </is>
      </c>
      <c r="B496" s="1" t="n">
        <v>45756.5109837963</v>
      </c>
      <c r="C496" s="1" t="n">
        <v>45891</v>
      </c>
      <c r="D496" t="inlineStr">
        <is>
          <t>JÄMTLANDS LÄN</t>
        </is>
      </c>
      <c r="E496" t="inlineStr">
        <is>
          <t>BRÄCKE</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42959-2024</t>
        </is>
      </c>
      <c r="B497" s="1" t="n">
        <v>45567.37144675926</v>
      </c>
      <c r="C497" s="1" t="n">
        <v>45891</v>
      </c>
      <c r="D497" t="inlineStr">
        <is>
          <t>JÄMTLANDS LÄN</t>
        </is>
      </c>
      <c r="E497" t="inlineStr">
        <is>
          <t>BRÄCKE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57420-2023</t>
        </is>
      </c>
      <c r="B498" s="1" t="n">
        <v>45245.96990740741</v>
      </c>
      <c r="C498" s="1" t="n">
        <v>45891</v>
      </c>
      <c r="D498" t="inlineStr">
        <is>
          <t>JÄMTLANDS LÄN</t>
        </is>
      </c>
      <c r="E498" t="inlineStr">
        <is>
          <t>BRÄCKE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63292-2023</t>
        </is>
      </c>
      <c r="B499" s="1" t="n">
        <v>45273.94680555556</v>
      </c>
      <c r="C499" s="1" t="n">
        <v>45891</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38007-2024</t>
        </is>
      </c>
      <c r="B500" s="1" t="n">
        <v>45544.62063657407</v>
      </c>
      <c r="C500" s="1" t="n">
        <v>45891</v>
      </c>
      <c r="D500" t="inlineStr">
        <is>
          <t>JÄMTLANDS LÄN</t>
        </is>
      </c>
      <c r="E500" t="inlineStr">
        <is>
          <t>BRÄCKE</t>
        </is>
      </c>
      <c r="G500" t="n">
        <v>1.6</v>
      </c>
      <c r="H500" t="n">
        <v>0</v>
      </c>
      <c r="I500" t="n">
        <v>0</v>
      </c>
      <c r="J500" t="n">
        <v>0</v>
      </c>
      <c r="K500" t="n">
        <v>0</v>
      </c>
      <c r="L500" t="n">
        <v>0</v>
      </c>
      <c r="M500" t="n">
        <v>0</v>
      </c>
      <c r="N500" t="n">
        <v>0</v>
      </c>
      <c r="O500" t="n">
        <v>0</v>
      </c>
      <c r="P500" t="n">
        <v>0</v>
      </c>
      <c r="Q500" t="n">
        <v>0</v>
      </c>
      <c r="R500" s="2" t="inlineStr"/>
    </row>
    <row r="501" ht="15" customHeight="1">
      <c r="A501" t="inlineStr">
        <is>
          <t>A 42290-2022</t>
        </is>
      </c>
      <c r="B501" s="1" t="n">
        <v>44830</v>
      </c>
      <c r="C501" s="1" t="n">
        <v>45891</v>
      </c>
      <c r="D501" t="inlineStr">
        <is>
          <t>JÄMTLANDS LÄN</t>
        </is>
      </c>
      <c r="E501" t="inlineStr">
        <is>
          <t>BRÄCKE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55658-2020</t>
        </is>
      </c>
      <c r="B502" s="1" t="n">
        <v>44131</v>
      </c>
      <c r="C502" s="1" t="n">
        <v>45891</v>
      </c>
      <c r="D502" t="inlineStr">
        <is>
          <t>JÄMTLANDS LÄN</t>
        </is>
      </c>
      <c r="E502" t="inlineStr">
        <is>
          <t>BRÄCKE</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53278-2022</t>
        </is>
      </c>
      <c r="B503" s="1" t="n">
        <v>44876.94785879629</v>
      </c>
      <c r="C503" s="1" t="n">
        <v>45891</v>
      </c>
      <c r="D503" t="inlineStr">
        <is>
          <t>JÄMTLANDS LÄN</t>
        </is>
      </c>
      <c r="E503" t="inlineStr">
        <is>
          <t>BRÄCKE</t>
        </is>
      </c>
      <c r="G503" t="n">
        <v>2</v>
      </c>
      <c r="H503" t="n">
        <v>0</v>
      </c>
      <c r="I503" t="n">
        <v>0</v>
      </c>
      <c r="J503" t="n">
        <v>0</v>
      </c>
      <c r="K503" t="n">
        <v>0</v>
      </c>
      <c r="L503" t="n">
        <v>0</v>
      </c>
      <c r="M503" t="n">
        <v>0</v>
      </c>
      <c r="N503" t="n">
        <v>0</v>
      </c>
      <c r="O503" t="n">
        <v>0</v>
      </c>
      <c r="P503" t="n">
        <v>0</v>
      </c>
      <c r="Q503" t="n">
        <v>0</v>
      </c>
      <c r="R503" s="2" t="inlineStr"/>
    </row>
    <row r="504" ht="15" customHeight="1">
      <c r="A504" t="inlineStr">
        <is>
          <t>A 50840-2023</t>
        </is>
      </c>
      <c r="B504" s="1" t="n">
        <v>45217</v>
      </c>
      <c r="C504" s="1" t="n">
        <v>45891</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46793-2021</t>
        </is>
      </c>
      <c r="B505" s="1" t="n">
        <v>44445</v>
      </c>
      <c r="C505" s="1" t="n">
        <v>45891</v>
      </c>
      <c r="D505" t="inlineStr">
        <is>
          <t>JÄMTLANDS LÄN</t>
        </is>
      </c>
      <c r="E505" t="inlineStr">
        <is>
          <t>BRÄCKE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20276-2023</t>
        </is>
      </c>
      <c r="B506" s="1" t="n">
        <v>45055.94465277778</v>
      </c>
      <c r="C506" s="1" t="n">
        <v>45891</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48425-2023</t>
        </is>
      </c>
      <c r="B507" s="1" t="n">
        <v>45205</v>
      </c>
      <c r="C507" s="1" t="n">
        <v>45891</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6362-2024</t>
        </is>
      </c>
      <c r="B508" s="1" t="n">
        <v>45338</v>
      </c>
      <c r="C508" s="1" t="n">
        <v>45891</v>
      </c>
      <c r="D508" t="inlineStr">
        <is>
          <t>JÄMTLANDS LÄN</t>
        </is>
      </c>
      <c r="E508" t="inlineStr">
        <is>
          <t>BRÄCKE</t>
        </is>
      </c>
      <c r="G508" t="n">
        <v>4</v>
      </c>
      <c r="H508" t="n">
        <v>0</v>
      </c>
      <c r="I508" t="n">
        <v>0</v>
      </c>
      <c r="J508" t="n">
        <v>0</v>
      </c>
      <c r="K508" t="n">
        <v>0</v>
      </c>
      <c r="L508" t="n">
        <v>0</v>
      </c>
      <c r="M508" t="n">
        <v>0</v>
      </c>
      <c r="N508" t="n">
        <v>0</v>
      </c>
      <c r="O508" t="n">
        <v>0</v>
      </c>
      <c r="P508" t="n">
        <v>0</v>
      </c>
      <c r="Q508" t="n">
        <v>0</v>
      </c>
      <c r="R508" s="2" t="inlineStr"/>
    </row>
    <row r="509" ht="15" customHeight="1">
      <c r="A509" t="inlineStr">
        <is>
          <t>A 9707-2025</t>
        </is>
      </c>
      <c r="B509" s="1" t="n">
        <v>45716.38592592593</v>
      </c>
      <c r="C509" s="1" t="n">
        <v>45891</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45891</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48435-2023</t>
        </is>
      </c>
      <c r="B511" s="1" t="n">
        <v>45205</v>
      </c>
      <c r="C511" s="1" t="n">
        <v>45891</v>
      </c>
      <c r="D511" t="inlineStr">
        <is>
          <t>JÄMTLANDS LÄN</t>
        </is>
      </c>
      <c r="E511" t="inlineStr">
        <is>
          <t>BRÄCKE</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53152-2024</t>
        </is>
      </c>
      <c r="B512" s="1" t="n">
        <v>45611.62123842593</v>
      </c>
      <c r="C512" s="1" t="n">
        <v>45891</v>
      </c>
      <c r="D512" t="inlineStr">
        <is>
          <t>JÄMTLANDS LÄN</t>
        </is>
      </c>
      <c r="E512" t="inlineStr">
        <is>
          <t>BRÄCKE</t>
        </is>
      </c>
      <c r="G512" t="n">
        <v>0.5</v>
      </c>
      <c r="H512" t="n">
        <v>0</v>
      </c>
      <c r="I512" t="n">
        <v>0</v>
      </c>
      <c r="J512" t="n">
        <v>0</v>
      </c>
      <c r="K512" t="n">
        <v>0</v>
      </c>
      <c r="L512" t="n">
        <v>0</v>
      </c>
      <c r="M512" t="n">
        <v>0</v>
      </c>
      <c r="N512" t="n">
        <v>0</v>
      </c>
      <c r="O512" t="n">
        <v>0</v>
      </c>
      <c r="P512" t="n">
        <v>0</v>
      </c>
      <c r="Q512" t="n">
        <v>0</v>
      </c>
      <c r="R512" s="2" t="inlineStr"/>
    </row>
    <row r="513" ht="15" customHeight="1">
      <c r="A513" t="inlineStr">
        <is>
          <t>A 40482-2021</t>
        </is>
      </c>
      <c r="B513" s="1" t="n">
        <v>44419.94334490741</v>
      </c>
      <c r="C513" s="1" t="n">
        <v>45891</v>
      </c>
      <c r="D513" t="inlineStr">
        <is>
          <t>JÄMTLANDS LÄN</t>
        </is>
      </c>
      <c r="E513" t="inlineStr">
        <is>
          <t>BRÄCKE</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3247-2025</t>
        </is>
      </c>
      <c r="B514" s="1" t="n">
        <v>45679.5315625</v>
      </c>
      <c r="C514" s="1" t="n">
        <v>45891</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13554-2024</t>
        </is>
      </c>
      <c r="B515" s="1" t="n">
        <v>45387</v>
      </c>
      <c r="C515" s="1" t="n">
        <v>45891</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16158-2024</t>
        </is>
      </c>
      <c r="B516" s="1" t="n">
        <v>45406.5909837963</v>
      </c>
      <c r="C516" s="1" t="n">
        <v>45891</v>
      </c>
      <c r="D516" t="inlineStr">
        <is>
          <t>JÄMTLANDS LÄN</t>
        </is>
      </c>
      <c r="E516" t="inlineStr">
        <is>
          <t>BRÄCKE</t>
        </is>
      </c>
      <c r="G516" t="n">
        <v>5</v>
      </c>
      <c r="H516" t="n">
        <v>0</v>
      </c>
      <c r="I516" t="n">
        <v>0</v>
      </c>
      <c r="J516" t="n">
        <v>0</v>
      </c>
      <c r="K516" t="n">
        <v>0</v>
      </c>
      <c r="L516" t="n">
        <v>0</v>
      </c>
      <c r="M516" t="n">
        <v>0</v>
      </c>
      <c r="N516" t="n">
        <v>0</v>
      </c>
      <c r="O516" t="n">
        <v>0</v>
      </c>
      <c r="P516" t="n">
        <v>0</v>
      </c>
      <c r="Q516" t="n">
        <v>0</v>
      </c>
      <c r="R516" s="2" t="inlineStr"/>
    </row>
    <row r="517" ht="15" customHeight="1">
      <c r="A517" t="inlineStr">
        <is>
          <t>A 18267-2025</t>
        </is>
      </c>
      <c r="B517" s="1" t="n">
        <v>45762.36527777778</v>
      </c>
      <c r="C517" s="1" t="n">
        <v>45891</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48079-2023</t>
        </is>
      </c>
      <c r="B518" s="1" t="n">
        <v>45204</v>
      </c>
      <c r="C518" s="1" t="n">
        <v>45891</v>
      </c>
      <c r="D518" t="inlineStr">
        <is>
          <t>JÄMTLANDS LÄN</t>
        </is>
      </c>
      <c r="E518" t="inlineStr">
        <is>
          <t>BRÄCKE</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54331-2023</t>
        </is>
      </c>
      <c r="B519" s="1" t="n">
        <v>45232.95782407407</v>
      </c>
      <c r="C519" s="1" t="n">
        <v>45891</v>
      </c>
      <c r="D519" t="inlineStr">
        <is>
          <t>JÄMTLANDS LÄN</t>
        </is>
      </c>
      <c r="E519" t="inlineStr">
        <is>
          <t>BRÄCKE</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54334-2023</t>
        </is>
      </c>
      <c r="B520" s="1" t="n">
        <v>45232.95790509259</v>
      </c>
      <c r="C520" s="1" t="n">
        <v>45891</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45891</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23746-2021</t>
        </is>
      </c>
      <c r="B522" s="1" t="n">
        <v>44334.93716435185</v>
      </c>
      <c r="C522" s="1" t="n">
        <v>45891</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11699-2025</t>
        </is>
      </c>
      <c r="B523" s="1" t="n">
        <v>45727.57402777778</v>
      </c>
      <c r="C523" s="1" t="n">
        <v>45891</v>
      </c>
      <c r="D523" t="inlineStr">
        <is>
          <t>JÄMTLANDS LÄN</t>
        </is>
      </c>
      <c r="E523" t="inlineStr">
        <is>
          <t>BRÄCKE</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4882-2025</t>
        </is>
      </c>
      <c r="B524" s="1" t="n">
        <v>45688.67729166667</v>
      </c>
      <c r="C524" s="1" t="n">
        <v>45891</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52269-2023</t>
        </is>
      </c>
      <c r="B525" s="1" t="n">
        <v>45217</v>
      </c>
      <c r="C525" s="1" t="n">
        <v>45891</v>
      </c>
      <c r="D525" t="inlineStr">
        <is>
          <t>JÄMTLANDS LÄN</t>
        </is>
      </c>
      <c r="E525" t="inlineStr">
        <is>
          <t>BRÄCKE</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23767-2023</t>
        </is>
      </c>
      <c r="B526" s="1" t="n">
        <v>45077</v>
      </c>
      <c r="C526" s="1" t="n">
        <v>45891</v>
      </c>
      <c r="D526" t="inlineStr">
        <is>
          <t>JÄMTLANDS LÄN</t>
        </is>
      </c>
      <c r="E526" t="inlineStr">
        <is>
          <t>BRÄCKE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23773-2023</t>
        </is>
      </c>
      <c r="B527" s="1" t="n">
        <v>45077.94631944445</v>
      </c>
      <c r="C527" s="1" t="n">
        <v>45891</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56686-2023</t>
        </is>
      </c>
      <c r="B528" s="1" t="n">
        <v>45243.96622685185</v>
      </c>
      <c r="C528" s="1" t="n">
        <v>45891</v>
      </c>
      <c r="D528" t="inlineStr">
        <is>
          <t>JÄMTLANDS LÄN</t>
        </is>
      </c>
      <c r="E528" t="inlineStr">
        <is>
          <t>BRÄCKE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14510-2025</t>
        </is>
      </c>
      <c r="B529" s="1" t="n">
        <v>45741.63628472222</v>
      </c>
      <c r="C529" s="1" t="n">
        <v>45891</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14511-2025</t>
        </is>
      </c>
      <c r="B530" s="1" t="n">
        <v>45741.63643518519</v>
      </c>
      <c r="C530" s="1" t="n">
        <v>45891</v>
      </c>
      <c r="D530" t="inlineStr">
        <is>
          <t>JÄMTLANDS LÄN</t>
        </is>
      </c>
      <c r="E530" t="inlineStr">
        <is>
          <t>BRÄCKE</t>
        </is>
      </c>
      <c r="F530" t="inlineStr">
        <is>
          <t>SCA</t>
        </is>
      </c>
      <c r="G530" t="n">
        <v>19.5</v>
      </c>
      <c r="H530" t="n">
        <v>0</v>
      </c>
      <c r="I530" t="n">
        <v>0</v>
      </c>
      <c r="J530" t="n">
        <v>0</v>
      </c>
      <c r="K530" t="n">
        <v>0</v>
      </c>
      <c r="L530" t="n">
        <v>0</v>
      </c>
      <c r="M530" t="n">
        <v>0</v>
      </c>
      <c r="N530" t="n">
        <v>0</v>
      </c>
      <c r="O530" t="n">
        <v>0</v>
      </c>
      <c r="P530" t="n">
        <v>0</v>
      </c>
      <c r="Q530" t="n">
        <v>0</v>
      </c>
      <c r="R530" s="2" t="inlineStr"/>
    </row>
    <row r="531" ht="15" customHeight="1">
      <c r="A531" t="inlineStr">
        <is>
          <t>A 23747-2021</t>
        </is>
      </c>
      <c r="B531" s="1" t="n">
        <v>44334</v>
      </c>
      <c r="C531" s="1" t="n">
        <v>45891</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59417-2023</t>
        </is>
      </c>
      <c r="B532" s="1" t="n">
        <v>45253</v>
      </c>
      <c r="C532" s="1" t="n">
        <v>45891</v>
      </c>
      <c r="D532" t="inlineStr">
        <is>
          <t>JÄMTLANDS LÄN</t>
        </is>
      </c>
      <c r="E532" t="inlineStr">
        <is>
          <t>BRÄCKE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46601-2022</t>
        </is>
      </c>
      <c r="B533" s="1" t="n">
        <v>44848</v>
      </c>
      <c r="C533" s="1" t="n">
        <v>45891</v>
      </c>
      <c r="D533" t="inlineStr">
        <is>
          <t>JÄMTLANDS LÄN</t>
        </is>
      </c>
      <c r="E533" t="inlineStr">
        <is>
          <t>BRÄCKE</t>
        </is>
      </c>
      <c r="G533" t="n">
        <v>2.7</v>
      </c>
      <c r="H533" t="n">
        <v>0</v>
      </c>
      <c r="I533" t="n">
        <v>0</v>
      </c>
      <c r="J533" t="n">
        <v>0</v>
      </c>
      <c r="K533" t="n">
        <v>0</v>
      </c>
      <c r="L533" t="n">
        <v>0</v>
      </c>
      <c r="M533" t="n">
        <v>0</v>
      </c>
      <c r="N533" t="n">
        <v>0</v>
      </c>
      <c r="O533" t="n">
        <v>0</v>
      </c>
      <c r="P533" t="n">
        <v>0</v>
      </c>
      <c r="Q533" t="n">
        <v>0</v>
      </c>
      <c r="R533" s="2" t="inlineStr"/>
    </row>
    <row r="534" ht="15" customHeight="1">
      <c r="A534" t="inlineStr">
        <is>
          <t>A 32101-2021</t>
        </is>
      </c>
      <c r="B534" s="1" t="n">
        <v>44370.94097222222</v>
      </c>
      <c r="C534" s="1" t="n">
        <v>45891</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57586-2024</t>
        </is>
      </c>
      <c r="B535" s="1" t="n">
        <v>45630.49229166667</v>
      </c>
      <c r="C535" s="1" t="n">
        <v>45891</v>
      </c>
      <c r="D535" t="inlineStr">
        <is>
          <t>JÄMTLANDS LÄN</t>
        </is>
      </c>
      <c r="E535" t="inlineStr">
        <is>
          <t>BRÄCKE</t>
        </is>
      </c>
      <c r="G535" t="n">
        <v>0.1</v>
      </c>
      <c r="H535" t="n">
        <v>0</v>
      </c>
      <c r="I535" t="n">
        <v>0</v>
      </c>
      <c r="J535" t="n">
        <v>0</v>
      </c>
      <c r="K535" t="n">
        <v>0</v>
      </c>
      <c r="L535" t="n">
        <v>0</v>
      </c>
      <c r="M535" t="n">
        <v>0</v>
      </c>
      <c r="N535" t="n">
        <v>0</v>
      </c>
      <c r="O535" t="n">
        <v>0</v>
      </c>
      <c r="P535" t="n">
        <v>0</v>
      </c>
      <c r="Q535" t="n">
        <v>0</v>
      </c>
      <c r="R535" s="2" t="inlineStr"/>
    </row>
    <row r="536" ht="15" customHeight="1">
      <c r="A536" t="inlineStr">
        <is>
          <t>A 13906-2025</t>
        </is>
      </c>
      <c r="B536" s="1" t="n">
        <v>45737.6359375</v>
      </c>
      <c r="C536" s="1" t="n">
        <v>45891</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55468-2024</t>
        </is>
      </c>
      <c r="B537" s="1" t="n">
        <v>45622.43024305555</v>
      </c>
      <c r="C537" s="1" t="n">
        <v>45891</v>
      </c>
      <c r="D537" t="inlineStr">
        <is>
          <t>JÄMTLANDS LÄN</t>
        </is>
      </c>
      <c r="E537" t="inlineStr">
        <is>
          <t>BRÄCKE</t>
        </is>
      </c>
      <c r="G537" t="n">
        <v>5.6</v>
      </c>
      <c r="H537" t="n">
        <v>0</v>
      </c>
      <c r="I537" t="n">
        <v>0</v>
      </c>
      <c r="J537" t="n">
        <v>0</v>
      </c>
      <c r="K537" t="n">
        <v>0</v>
      </c>
      <c r="L537" t="n">
        <v>0</v>
      </c>
      <c r="M537" t="n">
        <v>0</v>
      </c>
      <c r="N537" t="n">
        <v>0</v>
      </c>
      <c r="O537" t="n">
        <v>0</v>
      </c>
      <c r="P537" t="n">
        <v>0</v>
      </c>
      <c r="Q537" t="n">
        <v>0</v>
      </c>
      <c r="R537" s="2" t="inlineStr"/>
    </row>
    <row r="538" ht="15" customHeight="1">
      <c r="A538" t="inlineStr">
        <is>
          <t>A 14290-2025</t>
        </is>
      </c>
      <c r="B538" s="1" t="n">
        <v>45740.67755787037</v>
      </c>
      <c r="C538" s="1" t="n">
        <v>45891</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13244-2023</t>
        </is>
      </c>
      <c r="B539" s="1" t="n">
        <v>45002</v>
      </c>
      <c r="C539" s="1" t="n">
        <v>45891</v>
      </c>
      <c r="D539" t="inlineStr">
        <is>
          <t>JÄMTLANDS LÄN</t>
        </is>
      </c>
      <c r="E539" t="inlineStr">
        <is>
          <t>BRÄCKE</t>
        </is>
      </c>
      <c r="G539" t="n">
        <v>1.1</v>
      </c>
      <c r="H539" t="n">
        <v>0</v>
      </c>
      <c r="I539" t="n">
        <v>0</v>
      </c>
      <c r="J539" t="n">
        <v>0</v>
      </c>
      <c r="K539" t="n">
        <v>0</v>
      </c>
      <c r="L539" t="n">
        <v>0</v>
      </c>
      <c r="M539" t="n">
        <v>0</v>
      </c>
      <c r="N539" t="n">
        <v>0</v>
      </c>
      <c r="O539" t="n">
        <v>0</v>
      </c>
      <c r="P539" t="n">
        <v>0</v>
      </c>
      <c r="Q539" t="n">
        <v>0</v>
      </c>
      <c r="R539" s="2" t="inlineStr"/>
    </row>
    <row r="540" ht="15" customHeight="1">
      <c r="A540" t="inlineStr">
        <is>
          <t>A 49707-2024</t>
        </is>
      </c>
      <c r="B540" s="1" t="n">
        <v>45596.69832175926</v>
      </c>
      <c r="C540" s="1" t="n">
        <v>45891</v>
      </c>
      <c r="D540" t="inlineStr">
        <is>
          <t>JÄMTLANDS LÄN</t>
        </is>
      </c>
      <c r="E540" t="inlineStr">
        <is>
          <t>BRÄCKE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20267-2024</t>
        </is>
      </c>
      <c r="B541" s="1" t="n">
        <v>45434.9487962963</v>
      </c>
      <c r="C541" s="1" t="n">
        <v>45891</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34315-2022</t>
        </is>
      </c>
      <c r="B542" s="1" t="n">
        <v>44792</v>
      </c>
      <c r="C542" s="1" t="n">
        <v>45891</v>
      </c>
      <c r="D542" t="inlineStr">
        <is>
          <t>JÄMTLANDS LÄN</t>
        </is>
      </c>
      <c r="E542" t="inlineStr">
        <is>
          <t>BRÄCKE</t>
        </is>
      </c>
      <c r="G542" t="n">
        <v>4.9</v>
      </c>
      <c r="H542" t="n">
        <v>0</v>
      </c>
      <c r="I542" t="n">
        <v>0</v>
      </c>
      <c r="J542" t="n">
        <v>0</v>
      </c>
      <c r="K542" t="n">
        <v>0</v>
      </c>
      <c r="L542" t="n">
        <v>0</v>
      </c>
      <c r="M542" t="n">
        <v>0</v>
      </c>
      <c r="N542" t="n">
        <v>0</v>
      </c>
      <c r="O542" t="n">
        <v>0</v>
      </c>
      <c r="P542" t="n">
        <v>0</v>
      </c>
      <c r="Q542" t="n">
        <v>0</v>
      </c>
      <c r="R542" s="2" t="inlineStr"/>
    </row>
    <row r="543" ht="15" customHeight="1">
      <c r="A543" t="inlineStr">
        <is>
          <t>A 57942-2023</t>
        </is>
      </c>
      <c r="B543" s="1" t="n">
        <v>45244</v>
      </c>
      <c r="C543" s="1" t="n">
        <v>45891</v>
      </c>
      <c r="D543" t="inlineStr">
        <is>
          <t>JÄMTLANDS LÄN</t>
        </is>
      </c>
      <c r="E543" t="inlineStr">
        <is>
          <t>BRÄCKE</t>
        </is>
      </c>
      <c r="G543" t="n">
        <v>3.9</v>
      </c>
      <c r="H543" t="n">
        <v>0</v>
      </c>
      <c r="I543" t="n">
        <v>0</v>
      </c>
      <c r="J543" t="n">
        <v>0</v>
      </c>
      <c r="K543" t="n">
        <v>0</v>
      </c>
      <c r="L543" t="n">
        <v>0</v>
      </c>
      <c r="M543" t="n">
        <v>0</v>
      </c>
      <c r="N543" t="n">
        <v>0</v>
      </c>
      <c r="O543" t="n">
        <v>0</v>
      </c>
      <c r="P543" t="n">
        <v>0</v>
      </c>
      <c r="Q543" t="n">
        <v>0</v>
      </c>
      <c r="R543" s="2" t="inlineStr"/>
    </row>
    <row r="544" ht="15" customHeight="1">
      <c r="A544" t="inlineStr">
        <is>
          <t>A 4861-2025</t>
        </is>
      </c>
      <c r="B544" s="1" t="n">
        <v>45688.67481481482</v>
      </c>
      <c r="C544" s="1" t="n">
        <v>45891</v>
      </c>
      <c r="D544" t="inlineStr">
        <is>
          <t>JÄMTLANDS LÄN</t>
        </is>
      </c>
      <c r="E544" t="inlineStr">
        <is>
          <t>BRÄCKE</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33870-2023</t>
        </is>
      </c>
      <c r="B545" s="1" t="n">
        <v>45133.95326388889</v>
      </c>
      <c r="C545" s="1" t="n">
        <v>45891</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15944-2025</t>
        </is>
      </c>
      <c r="B546" s="1" t="n">
        <v>45749.48545138889</v>
      </c>
      <c r="C546" s="1" t="n">
        <v>45891</v>
      </c>
      <c r="D546" t="inlineStr">
        <is>
          <t>JÄMTLANDS LÄN</t>
        </is>
      </c>
      <c r="E546" t="inlineStr">
        <is>
          <t>BRÄCKE</t>
        </is>
      </c>
      <c r="G546" t="n">
        <v>4.5</v>
      </c>
      <c r="H546" t="n">
        <v>0</v>
      </c>
      <c r="I546" t="n">
        <v>0</v>
      </c>
      <c r="J546" t="n">
        <v>0</v>
      </c>
      <c r="K546" t="n">
        <v>0</v>
      </c>
      <c r="L546" t="n">
        <v>0</v>
      </c>
      <c r="M546" t="n">
        <v>0</v>
      </c>
      <c r="N546" t="n">
        <v>0</v>
      </c>
      <c r="O546" t="n">
        <v>0</v>
      </c>
      <c r="P546" t="n">
        <v>0</v>
      </c>
      <c r="Q546" t="n">
        <v>0</v>
      </c>
      <c r="R546" s="2" t="inlineStr"/>
    </row>
    <row r="547" ht="15" customHeight="1">
      <c r="A547" t="inlineStr">
        <is>
          <t>A 40711-2022</t>
        </is>
      </c>
      <c r="B547" s="1" t="n">
        <v>44820</v>
      </c>
      <c r="C547" s="1" t="n">
        <v>45891</v>
      </c>
      <c r="D547" t="inlineStr">
        <is>
          <t>JÄMTLANDS LÄN</t>
        </is>
      </c>
      <c r="E547" t="inlineStr">
        <is>
          <t>BRÄCKE</t>
        </is>
      </c>
      <c r="G547" t="n">
        <v>5.4</v>
      </c>
      <c r="H547" t="n">
        <v>0</v>
      </c>
      <c r="I547" t="n">
        <v>0</v>
      </c>
      <c r="J547" t="n">
        <v>0</v>
      </c>
      <c r="K547" t="n">
        <v>0</v>
      </c>
      <c r="L547" t="n">
        <v>0</v>
      </c>
      <c r="M547" t="n">
        <v>0</v>
      </c>
      <c r="N547" t="n">
        <v>0</v>
      </c>
      <c r="O547" t="n">
        <v>0</v>
      </c>
      <c r="P547" t="n">
        <v>0</v>
      </c>
      <c r="Q547" t="n">
        <v>0</v>
      </c>
      <c r="R547" s="2" t="inlineStr"/>
    </row>
    <row r="548" ht="15" customHeight="1">
      <c r="A548" t="inlineStr">
        <is>
          <t>A 44324-2023</t>
        </is>
      </c>
      <c r="B548" s="1" t="n">
        <v>45188</v>
      </c>
      <c r="C548" s="1" t="n">
        <v>45891</v>
      </c>
      <c r="D548" t="inlineStr">
        <is>
          <t>JÄMTLANDS LÄN</t>
        </is>
      </c>
      <c r="E548" t="inlineStr">
        <is>
          <t>BRÄCKE</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40083-2020</t>
        </is>
      </c>
      <c r="B549" s="1" t="n">
        <v>44067</v>
      </c>
      <c r="C549" s="1" t="n">
        <v>45891</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39662-2024</t>
        </is>
      </c>
      <c r="B550" s="1" t="n">
        <v>45552.51068287037</v>
      </c>
      <c r="C550" s="1" t="n">
        <v>45891</v>
      </c>
      <c r="D550" t="inlineStr">
        <is>
          <t>JÄMTLANDS LÄN</t>
        </is>
      </c>
      <c r="E550" t="inlineStr">
        <is>
          <t>BRÄCKE</t>
        </is>
      </c>
      <c r="F550" t="inlineStr">
        <is>
          <t>SCA</t>
        </is>
      </c>
      <c r="G550" t="n">
        <v>11.3</v>
      </c>
      <c r="H550" t="n">
        <v>0</v>
      </c>
      <c r="I550" t="n">
        <v>0</v>
      </c>
      <c r="J550" t="n">
        <v>0</v>
      </c>
      <c r="K550" t="n">
        <v>0</v>
      </c>
      <c r="L550" t="n">
        <v>0</v>
      </c>
      <c r="M550" t="n">
        <v>0</v>
      </c>
      <c r="N550" t="n">
        <v>0</v>
      </c>
      <c r="O550" t="n">
        <v>0</v>
      </c>
      <c r="P550" t="n">
        <v>0</v>
      </c>
      <c r="Q550" t="n">
        <v>0</v>
      </c>
      <c r="R550" s="2" t="inlineStr"/>
    </row>
    <row r="551" ht="15" customHeight="1">
      <c r="A551" t="inlineStr">
        <is>
          <t>A 20093-2023</t>
        </is>
      </c>
      <c r="B551" s="1" t="n">
        <v>45054.94181712963</v>
      </c>
      <c r="C551" s="1" t="n">
        <v>45891</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2954-2023</t>
        </is>
      </c>
      <c r="B552" s="1" t="n">
        <v>44945.62861111111</v>
      </c>
      <c r="C552" s="1" t="n">
        <v>45891</v>
      </c>
      <c r="D552" t="inlineStr">
        <is>
          <t>JÄMTLANDS LÄN</t>
        </is>
      </c>
      <c r="E552" t="inlineStr">
        <is>
          <t>BRÄCKE</t>
        </is>
      </c>
      <c r="F552" t="inlineStr">
        <is>
          <t>Övriga Aktiebolag</t>
        </is>
      </c>
      <c r="G552" t="n">
        <v>5.7</v>
      </c>
      <c r="H552" t="n">
        <v>0</v>
      </c>
      <c r="I552" t="n">
        <v>0</v>
      </c>
      <c r="J552" t="n">
        <v>0</v>
      </c>
      <c r="K552" t="n">
        <v>0</v>
      </c>
      <c r="L552" t="n">
        <v>0</v>
      </c>
      <c r="M552" t="n">
        <v>0</v>
      </c>
      <c r="N552" t="n">
        <v>0</v>
      </c>
      <c r="O552" t="n">
        <v>0</v>
      </c>
      <c r="P552" t="n">
        <v>0</v>
      </c>
      <c r="Q552" t="n">
        <v>0</v>
      </c>
      <c r="R552" s="2" t="inlineStr"/>
    </row>
    <row r="553" ht="15" customHeight="1">
      <c r="A553" t="inlineStr">
        <is>
          <t>A 35746-2022</t>
        </is>
      </c>
      <c r="B553" s="1" t="n">
        <v>44799.94366898148</v>
      </c>
      <c r="C553" s="1" t="n">
        <v>45891</v>
      </c>
      <c r="D553" t="inlineStr">
        <is>
          <t>JÄMTLANDS LÄN</t>
        </is>
      </c>
      <c r="E553" t="inlineStr">
        <is>
          <t>BRÄCKE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8891-2025</t>
        </is>
      </c>
      <c r="B554" s="1" t="n">
        <v>45713.39917824074</v>
      </c>
      <c r="C554" s="1" t="n">
        <v>45891</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34409-2021</t>
        </is>
      </c>
      <c r="B555" s="1" t="n">
        <v>44379</v>
      </c>
      <c r="C555" s="1" t="n">
        <v>45891</v>
      </c>
      <c r="D555" t="inlineStr">
        <is>
          <t>JÄMTLANDS LÄN</t>
        </is>
      </c>
      <c r="E555" t="inlineStr">
        <is>
          <t>BRÄCKE</t>
        </is>
      </c>
      <c r="F555" t="inlineStr">
        <is>
          <t>SCA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19342-2025</t>
        </is>
      </c>
      <c r="B556" s="1" t="n">
        <v>45769.59520833333</v>
      </c>
      <c r="C556" s="1" t="n">
        <v>45891</v>
      </c>
      <c r="D556" t="inlineStr">
        <is>
          <t>JÄMTLANDS LÄN</t>
        </is>
      </c>
      <c r="E556" t="inlineStr">
        <is>
          <t>BRÄCKE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6213-2025</t>
        </is>
      </c>
      <c r="B557" s="1" t="n">
        <v>45698.51072916666</v>
      </c>
      <c r="C557" s="1" t="n">
        <v>45891</v>
      </c>
      <c r="D557" t="inlineStr">
        <is>
          <t>JÄMTLANDS LÄN</t>
        </is>
      </c>
      <c r="E557" t="inlineStr">
        <is>
          <t>BRÄCKE</t>
        </is>
      </c>
      <c r="F557" t="inlineStr">
        <is>
          <t>SCA</t>
        </is>
      </c>
      <c r="G557" t="n">
        <v>11.4</v>
      </c>
      <c r="H557" t="n">
        <v>0</v>
      </c>
      <c r="I557" t="n">
        <v>0</v>
      </c>
      <c r="J557" t="n">
        <v>0</v>
      </c>
      <c r="K557" t="n">
        <v>0</v>
      </c>
      <c r="L557" t="n">
        <v>0</v>
      </c>
      <c r="M557" t="n">
        <v>0</v>
      </c>
      <c r="N557" t="n">
        <v>0</v>
      </c>
      <c r="O557" t="n">
        <v>0</v>
      </c>
      <c r="P557" t="n">
        <v>0</v>
      </c>
      <c r="Q557" t="n">
        <v>0</v>
      </c>
      <c r="R557" s="2" t="inlineStr"/>
    </row>
    <row r="558" ht="15" customHeight="1">
      <c r="A558" t="inlineStr">
        <is>
          <t>A 58740-2023</t>
        </is>
      </c>
      <c r="B558" s="1" t="n">
        <v>45251.92890046296</v>
      </c>
      <c r="C558" s="1" t="n">
        <v>45891</v>
      </c>
      <c r="D558" t="inlineStr">
        <is>
          <t>JÄMTLANDS LÄN</t>
        </is>
      </c>
      <c r="E558" t="inlineStr">
        <is>
          <t>BRÄCKE</t>
        </is>
      </c>
      <c r="G558" t="n">
        <v>1.4</v>
      </c>
      <c r="H558" t="n">
        <v>0</v>
      </c>
      <c r="I558" t="n">
        <v>0</v>
      </c>
      <c r="J558" t="n">
        <v>0</v>
      </c>
      <c r="K558" t="n">
        <v>0</v>
      </c>
      <c r="L558" t="n">
        <v>0</v>
      </c>
      <c r="M558" t="n">
        <v>0</v>
      </c>
      <c r="N558" t="n">
        <v>0</v>
      </c>
      <c r="O558" t="n">
        <v>0</v>
      </c>
      <c r="P558" t="n">
        <v>0</v>
      </c>
      <c r="Q558" t="n">
        <v>0</v>
      </c>
      <c r="R558" s="2" t="inlineStr"/>
    </row>
    <row r="559" ht="15" customHeight="1">
      <c r="A559" t="inlineStr">
        <is>
          <t>A 17907-2025</t>
        </is>
      </c>
      <c r="B559" s="1" t="n">
        <v>45758.73046296297</v>
      </c>
      <c r="C559" s="1" t="n">
        <v>45891</v>
      </c>
      <c r="D559" t="inlineStr">
        <is>
          <t>JÄMTLANDS LÄN</t>
        </is>
      </c>
      <c r="E559" t="inlineStr">
        <is>
          <t>BRÄCKE</t>
        </is>
      </c>
      <c r="G559" t="n">
        <v>3</v>
      </c>
      <c r="H559" t="n">
        <v>0</v>
      </c>
      <c r="I559" t="n">
        <v>0</v>
      </c>
      <c r="J559" t="n">
        <v>0</v>
      </c>
      <c r="K559" t="n">
        <v>0</v>
      </c>
      <c r="L559" t="n">
        <v>0</v>
      </c>
      <c r="M559" t="n">
        <v>0</v>
      </c>
      <c r="N559" t="n">
        <v>0</v>
      </c>
      <c r="O559" t="n">
        <v>0</v>
      </c>
      <c r="P559" t="n">
        <v>0</v>
      </c>
      <c r="Q559" t="n">
        <v>0</v>
      </c>
      <c r="R559" s="2" t="inlineStr"/>
    </row>
    <row r="560" ht="15" customHeight="1">
      <c r="A560" t="inlineStr">
        <is>
          <t>A 13166-2024</t>
        </is>
      </c>
      <c r="B560" s="1" t="n">
        <v>45386.40141203703</v>
      </c>
      <c r="C560" s="1" t="n">
        <v>45891</v>
      </c>
      <c r="D560" t="inlineStr">
        <is>
          <t>JÄMTLANDS LÄN</t>
        </is>
      </c>
      <c r="E560" t="inlineStr">
        <is>
          <t>BRÄCKE</t>
        </is>
      </c>
      <c r="G560" t="n">
        <v>7.3</v>
      </c>
      <c r="H560" t="n">
        <v>0</v>
      </c>
      <c r="I560" t="n">
        <v>0</v>
      </c>
      <c r="J560" t="n">
        <v>0</v>
      </c>
      <c r="K560" t="n">
        <v>0</v>
      </c>
      <c r="L560" t="n">
        <v>0</v>
      </c>
      <c r="M560" t="n">
        <v>0</v>
      </c>
      <c r="N560" t="n">
        <v>0</v>
      </c>
      <c r="O560" t="n">
        <v>0</v>
      </c>
      <c r="P560" t="n">
        <v>0</v>
      </c>
      <c r="Q560" t="n">
        <v>0</v>
      </c>
      <c r="R560" s="2" t="inlineStr"/>
    </row>
    <row r="561" ht="15" customHeight="1">
      <c r="A561" t="inlineStr">
        <is>
          <t>A 24874-2024</t>
        </is>
      </c>
      <c r="B561" s="1" t="n">
        <v>45461.52280092592</v>
      </c>
      <c r="C561" s="1" t="n">
        <v>45891</v>
      </c>
      <c r="D561" t="inlineStr">
        <is>
          <t>JÄMTLANDS LÄN</t>
        </is>
      </c>
      <c r="E561" t="inlineStr">
        <is>
          <t>BRÄCKE</t>
        </is>
      </c>
      <c r="G561" t="n">
        <v>12</v>
      </c>
      <c r="H561" t="n">
        <v>0</v>
      </c>
      <c r="I561" t="n">
        <v>0</v>
      </c>
      <c r="J561" t="n">
        <v>0</v>
      </c>
      <c r="K561" t="n">
        <v>0</v>
      </c>
      <c r="L561" t="n">
        <v>0</v>
      </c>
      <c r="M561" t="n">
        <v>0</v>
      </c>
      <c r="N561" t="n">
        <v>0</v>
      </c>
      <c r="O561" t="n">
        <v>0</v>
      </c>
      <c r="P561" t="n">
        <v>0</v>
      </c>
      <c r="Q561" t="n">
        <v>0</v>
      </c>
      <c r="R561" s="2" t="inlineStr"/>
    </row>
    <row r="562" ht="15" customHeight="1">
      <c r="A562" t="inlineStr">
        <is>
          <t>A 24878-2024</t>
        </is>
      </c>
      <c r="B562" s="1" t="n">
        <v>45461.55193287037</v>
      </c>
      <c r="C562" s="1" t="n">
        <v>45891</v>
      </c>
      <c r="D562" t="inlineStr">
        <is>
          <t>JÄMTLANDS LÄN</t>
        </is>
      </c>
      <c r="E562" t="inlineStr">
        <is>
          <t>BRÄCKE</t>
        </is>
      </c>
      <c r="G562" t="n">
        <v>3.8</v>
      </c>
      <c r="H562" t="n">
        <v>0</v>
      </c>
      <c r="I562" t="n">
        <v>0</v>
      </c>
      <c r="J562" t="n">
        <v>0</v>
      </c>
      <c r="K562" t="n">
        <v>0</v>
      </c>
      <c r="L562" t="n">
        <v>0</v>
      </c>
      <c r="M562" t="n">
        <v>0</v>
      </c>
      <c r="N562" t="n">
        <v>0</v>
      </c>
      <c r="O562" t="n">
        <v>0</v>
      </c>
      <c r="P562" t="n">
        <v>0</v>
      </c>
      <c r="Q562" t="n">
        <v>0</v>
      </c>
      <c r="R562" s="2" t="inlineStr"/>
    </row>
    <row r="563" ht="15" customHeight="1">
      <c r="A563" t="inlineStr">
        <is>
          <t>A 35395-2024</t>
        </is>
      </c>
      <c r="B563" s="1" t="n">
        <v>45531.403125</v>
      </c>
      <c r="C563" s="1" t="n">
        <v>45891</v>
      </c>
      <c r="D563" t="inlineStr">
        <is>
          <t>JÄMTLANDS LÄN</t>
        </is>
      </c>
      <c r="E563" t="inlineStr">
        <is>
          <t>BRÄCKE</t>
        </is>
      </c>
      <c r="F563" t="inlineStr">
        <is>
          <t>SCA</t>
        </is>
      </c>
      <c r="G563" t="n">
        <v>23.2</v>
      </c>
      <c r="H563" t="n">
        <v>0</v>
      </c>
      <c r="I563" t="n">
        <v>0</v>
      </c>
      <c r="J563" t="n">
        <v>0</v>
      </c>
      <c r="K563" t="n">
        <v>0</v>
      </c>
      <c r="L563" t="n">
        <v>0</v>
      </c>
      <c r="M563" t="n">
        <v>0</v>
      </c>
      <c r="N563" t="n">
        <v>0</v>
      </c>
      <c r="O563" t="n">
        <v>0</v>
      </c>
      <c r="P563" t="n">
        <v>0</v>
      </c>
      <c r="Q563" t="n">
        <v>0</v>
      </c>
      <c r="R563" s="2" t="inlineStr"/>
    </row>
    <row r="564" ht="15" customHeight="1">
      <c r="A564" t="inlineStr">
        <is>
          <t>A 35400-2024</t>
        </is>
      </c>
      <c r="B564" s="1" t="n">
        <v>45531.40457175926</v>
      </c>
      <c r="C564" s="1" t="n">
        <v>45891</v>
      </c>
      <c r="D564" t="inlineStr">
        <is>
          <t>JÄMTLANDS LÄN</t>
        </is>
      </c>
      <c r="E564" t="inlineStr">
        <is>
          <t>BRÄCKE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13180-2024</t>
        </is>
      </c>
      <c r="B565" s="1" t="n">
        <v>45386.43207175926</v>
      </c>
      <c r="C565" s="1" t="n">
        <v>45891</v>
      </c>
      <c r="D565" t="inlineStr">
        <is>
          <t>JÄMTLANDS LÄN</t>
        </is>
      </c>
      <c r="E565" t="inlineStr">
        <is>
          <t>BRÄCKE</t>
        </is>
      </c>
      <c r="G565" t="n">
        <v>1.8</v>
      </c>
      <c r="H565" t="n">
        <v>0</v>
      </c>
      <c r="I565" t="n">
        <v>0</v>
      </c>
      <c r="J565" t="n">
        <v>0</v>
      </c>
      <c r="K565" t="n">
        <v>0</v>
      </c>
      <c r="L565" t="n">
        <v>0</v>
      </c>
      <c r="M565" t="n">
        <v>0</v>
      </c>
      <c r="N565" t="n">
        <v>0</v>
      </c>
      <c r="O565" t="n">
        <v>0</v>
      </c>
      <c r="P565" t="n">
        <v>0</v>
      </c>
      <c r="Q565" t="n">
        <v>0</v>
      </c>
      <c r="R565" s="2" t="inlineStr"/>
    </row>
    <row r="566" ht="15" customHeight="1">
      <c r="A566" t="inlineStr">
        <is>
          <t>A 22986-2023</t>
        </is>
      </c>
      <c r="B566" s="1" t="n">
        <v>45072.94140046297</v>
      </c>
      <c r="C566" s="1" t="n">
        <v>45891</v>
      </c>
      <c r="D566" t="inlineStr">
        <is>
          <t>JÄMTLANDS LÄN</t>
        </is>
      </c>
      <c r="E566" t="inlineStr">
        <is>
          <t>BRÄCKE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32961-2022</t>
        </is>
      </c>
      <c r="B567" s="1" t="n">
        <v>44784.92487268519</v>
      </c>
      <c r="C567" s="1" t="n">
        <v>45891</v>
      </c>
      <c r="D567" t="inlineStr">
        <is>
          <t>JÄMTLANDS LÄN</t>
        </is>
      </c>
      <c r="E567" t="inlineStr">
        <is>
          <t>BRÄCKE</t>
        </is>
      </c>
      <c r="G567" t="n">
        <v>2.6</v>
      </c>
      <c r="H567" t="n">
        <v>0</v>
      </c>
      <c r="I567" t="n">
        <v>0</v>
      </c>
      <c r="J567" t="n">
        <v>0</v>
      </c>
      <c r="K567" t="n">
        <v>0</v>
      </c>
      <c r="L567" t="n">
        <v>0</v>
      </c>
      <c r="M567" t="n">
        <v>0</v>
      </c>
      <c r="N567" t="n">
        <v>0</v>
      </c>
      <c r="O567" t="n">
        <v>0</v>
      </c>
      <c r="P567" t="n">
        <v>0</v>
      </c>
      <c r="Q567" t="n">
        <v>0</v>
      </c>
      <c r="R567" s="2" t="inlineStr"/>
    </row>
    <row r="568" ht="15" customHeight="1">
      <c r="A568" t="inlineStr">
        <is>
          <t>A 26444-2022</t>
        </is>
      </c>
      <c r="B568" s="1" t="n">
        <v>44738.93929398148</v>
      </c>
      <c r="C568" s="1" t="n">
        <v>45891</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26351-2023</t>
        </is>
      </c>
      <c r="B569" s="1" t="n">
        <v>45091</v>
      </c>
      <c r="C569" s="1" t="n">
        <v>45891</v>
      </c>
      <c r="D569" t="inlineStr">
        <is>
          <t>JÄMTLANDS LÄN</t>
        </is>
      </c>
      <c r="E569" t="inlineStr">
        <is>
          <t>BRÄCKE</t>
        </is>
      </c>
      <c r="F569" t="inlineStr">
        <is>
          <t>SCA</t>
        </is>
      </c>
      <c r="G569" t="n">
        <v>7.8</v>
      </c>
      <c r="H569" t="n">
        <v>0</v>
      </c>
      <c r="I569" t="n">
        <v>0</v>
      </c>
      <c r="J569" t="n">
        <v>0</v>
      </c>
      <c r="K569" t="n">
        <v>0</v>
      </c>
      <c r="L569" t="n">
        <v>0</v>
      </c>
      <c r="M569" t="n">
        <v>0</v>
      </c>
      <c r="N569" t="n">
        <v>0</v>
      </c>
      <c r="O569" t="n">
        <v>0</v>
      </c>
      <c r="P569" t="n">
        <v>0</v>
      </c>
      <c r="Q569" t="n">
        <v>0</v>
      </c>
      <c r="R569" s="2" t="inlineStr"/>
    </row>
    <row r="570" ht="15" customHeight="1">
      <c r="A570" t="inlineStr">
        <is>
          <t>A 61483-2024</t>
        </is>
      </c>
      <c r="B570" s="1" t="n">
        <v>45646.52915509259</v>
      </c>
      <c r="C570" s="1" t="n">
        <v>45891</v>
      </c>
      <c r="D570" t="inlineStr">
        <is>
          <t>JÄMTLANDS LÄN</t>
        </is>
      </c>
      <c r="E570" t="inlineStr">
        <is>
          <t>BRÄCKE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20803-2021</t>
        </is>
      </c>
      <c r="B571" s="1" t="n">
        <v>44316</v>
      </c>
      <c r="C571" s="1" t="n">
        <v>45891</v>
      </c>
      <c r="D571" t="inlineStr">
        <is>
          <t>JÄMTLANDS LÄN</t>
        </is>
      </c>
      <c r="E571" t="inlineStr">
        <is>
          <t>BRÄCKE</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24195-2023</t>
        </is>
      </c>
      <c r="B572" s="1" t="n">
        <v>45079</v>
      </c>
      <c r="C572" s="1" t="n">
        <v>45891</v>
      </c>
      <c r="D572" t="inlineStr">
        <is>
          <t>JÄMTLANDS LÄN</t>
        </is>
      </c>
      <c r="E572" t="inlineStr">
        <is>
          <t>BRÄCKE</t>
        </is>
      </c>
      <c r="G572" t="n">
        <v>1.5</v>
      </c>
      <c r="H572" t="n">
        <v>0</v>
      </c>
      <c r="I572" t="n">
        <v>0</v>
      </c>
      <c r="J572" t="n">
        <v>0</v>
      </c>
      <c r="K572" t="n">
        <v>0</v>
      </c>
      <c r="L572" t="n">
        <v>0</v>
      </c>
      <c r="M572" t="n">
        <v>0</v>
      </c>
      <c r="N572" t="n">
        <v>0</v>
      </c>
      <c r="O572" t="n">
        <v>0</v>
      </c>
      <c r="P572" t="n">
        <v>0</v>
      </c>
      <c r="Q572" t="n">
        <v>0</v>
      </c>
      <c r="R572" s="2" t="inlineStr"/>
    </row>
    <row r="573" ht="15" customHeight="1">
      <c r="A573" t="inlineStr">
        <is>
          <t>A 2064-2024</t>
        </is>
      </c>
      <c r="B573" s="1" t="n">
        <v>45308</v>
      </c>
      <c r="C573" s="1" t="n">
        <v>45891</v>
      </c>
      <c r="D573" t="inlineStr">
        <is>
          <t>JÄMTLANDS LÄN</t>
        </is>
      </c>
      <c r="E573" t="inlineStr">
        <is>
          <t>BRÄCKE</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26100-2021</t>
        </is>
      </c>
      <c r="B574" s="1" t="n">
        <v>44344.93584490741</v>
      </c>
      <c r="C574" s="1" t="n">
        <v>45891</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8052-2022</t>
        </is>
      </c>
      <c r="B575" s="1" t="n">
        <v>44609</v>
      </c>
      <c r="C575" s="1" t="n">
        <v>45891</v>
      </c>
      <c r="D575" t="inlineStr">
        <is>
          <t>JÄMTLANDS LÄN</t>
        </is>
      </c>
      <c r="E575" t="inlineStr">
        <is>
          <t>BRÄCKE</t>
        </is>
      </c>
      <c r="G575" t="n">
        <v>0.6</v>
      </c>
      <c r="H575" t="n">
        <v>0</v>
      </c>
      <c r="I575" t="n">
        <v>0</v>
      </c>
      <c r="J575" t="n">
        <v>0</v>
      </c>
      <c r="K575" t="n">
        <v>0</v>
      </c>
      <c r="L575" t="n">
        <v>0</v>
      </c>
      <c r="M575" t="n">
        <v>0</v>
      </c>
      <c r="N575" t="n">
        <v>0</v>
      </c>
      <c r="O575" t="n">
        <v>0</v>
      </c>
      <c r="P575" t="n">
        <v>0</v>
      </c>
      <c r="Q575" t="n">
        <v>0</v>
      </c>
      <c r="R575" s="2" t="inlineStr"/>
    </row>
    <row r="576" ht="15" customHeight="1">
      <c r="A576" t="inlineStr">
        <is>
          <t>A 12640-2025</t>
        </is>
      </c>
      <c r="B576" s="1" t="n">
        <v>45733.38606481482</v>
      </c>
      <c r="C576" s="1" t="n">
        <v>45891</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22978-2024</t>
        </is>
      </c>
      <c r="B577" s="1" t="n">
        <v>45449</v>
      </c>
      <c r="C577" s="1" t="n">
        <v>45891</v>
      </c>
      <c r="D577" t="inlineStr">
        <is>
          <t>JÄMTLANDS LÄN</t>
        </is>
      </c>
      <c r="E577" t="inlineStr">
        <is>
          <t>BRÄCKE</t>
        </is>
      </c>
      <c r="G577" t="n">
        <v>3.9</v>
      </c>
      <c r="H577" t="n">
        <v>0</v>
      </c>
      <c r="I577" t="n">
        <v>0</v>
      </c>
      <c r="J577" t="n">
        <v>0</v>
      </c>
      <c r="K577" t="n">
        <v>0</v>
      </c>
      <c r="L577" t="n">
        <v>0</v>
      </c>
      <c r="M577" t="n">
        <v>0</v>
      </c>
      <c r="N577" t="n">
        <v>0</v>
      </c>
      <c r="O577" t="n">
        <v>0</v>
      </c>
      <c r="P577" t="n">
        <v>0</v>
      </c>
      <c r="Q577" t="n">
        <v>0</v>
      </c>
      <c r="R577" s="2" t="inlineStr"/>
    </row>
    <row r="578" ht="15" customHeight="1">
      <c r="A578" t="inlineStr">
        <is>
          <t>A 50151-2023</t>
        </is>
      </c>
      <c r="B578" s="1" t="n">
        <v>45208</v>
      </c>
      <c r="C578" s="1" t="n">
        <v>45891</v>
      </c>
      <c r="D578" t="inlineStr">
        <is>
          <t>JÄMTLANDS LÄN</t>
        </is>
      </c>
      <c r="E578" t="inlineStr">
        <is>
          <t>BRÄCKE</t>
        </is>
      </c>
      <c r="G578" t="n">
        <v>0.8</v>
      </c>
      <c r="H578" t="n">
        <v>0</v>
      </c>
      <c r="I578" t="n">
        <v>0</v>
      </c>
      <c r="J578" t="n">
        <v>0</v>
      </c>
      <c r="K578" t="n">
        <v>0</v>
      </c>
      <c r="L578" t="n">
        <v>0</v>
      </c>
      <c r="M578" t="n">
        <v>0</v>
      </c>
      <c r="N578" t="n">
        <v>0</v>
      </c>
      <c r="O578" t="n">
        <v>0</v>
      </c>
      <c r="P578" t="n">
        <v>0</v>
      </c>
      <c r="Q578" t="n">
        <v>0</v>
      </c>
      <c r="R578" s="2" t="inlineStr"/>
    </row>
    <row r="579" ht="15" customHeight="1">
      <c r="A579" t="inlineStr">
        <is>
          <t>A 16707-2024</t>
        </is>
      </c>
      <c r="B579" s="1" t="n">
        <v>45409.07706018518</v>
      </c>
      <c r="C579" s="1" t="n">
        <v>45891</v>
      </c>
      <c r="D579" t="inlineStr">
        <is>
          <t>JÄMTLANDS LÄN</t>
        </is>
      </c>
      <c r="E579" t="inlineStr">
        <is>
          <t>BRÄCKE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12889-2024</t>
        </is>
      </c>
      <c r="B580" s="1" t="n">
        <v>45385</v>
      </c>
      <c r="C580" s="1" t="n">
        <v>45891</v>
      </c>
      <c r="D580" t="inlineStr">
        <is>
          <t>JÄMTLANDS LÄN</t>
        </is>
      </c>
      <c r="E580" t="inlineStr">
        <is>
          <t>BRÄCKE</t>
        </is>
      </c>
      <c r="F580" t="inlineStr">
        <is>
          <t>Kyrkan</t>
        </is>
      </c>
      <c r="G580" t="n">
        <v>12.1</v>
      </c>
      <c r="H580" t="n">
        <v>0</v>
      </c>
      <c r="I580" t="n">
        <v>0</v>
      </c>
      <c r="J580" t="n">
        <v>0</v>
      </c>
      <c r="K580" t="n">
        <v>0</v>
      </c>
      <c r="L580" t="n">
        <v>0</v>
      </c>
      <c r="M580" t="n">
        <v>0</v>
      </c>
      <c r="N580" t="n">
        <v>0</v>
      </c>
      <c r="O580" t="n">
        <v>0</v>
      </c>
      <c r="P580" t="n">
        <v>0</v>
      </c>
      <c r="Q580" t="n">
        <v>0</v>
      </c>
      <c r="R580" s="2" t="inlineStr"/>
    </row>
    <row r="581" ht="15" customHeight="1">
      <c r="A581" t="inlineStr">
        <is>
          <t>A 46952-2021</t>
        </is>
      </c>
      <c r="B581" s="1" t="n">
        <v>44446</v>
      </c>
      <c r="C581" s="1" t="n">
        <v>45891</v>
      </c>
      <c r="D581" t="inlineStr">
        <is>
          <t>JÄMTLANDS LÄN</t>
        </is>
      </c>
      <c r="E581" t="inlineStr">
        <is>
          <t>BRÄCKE</t>
        </is>
      </c>
      <c r="G581" t="n">
        <v>2.1</v>
      </c>
      <c r="H581" t="n">
        <v>0</v>
      </c>
      <c r="I581" t="n">
        <v>0</v>
      </c>
      <c r="J581" t="n">
        <v>0</v>
      </c>
      <c r="K581" t="n">
        <v>0</v>
      </c>
      <c r="L581" t="n">
        <v>0</v>
      </c>
      <c r="M581" t="n">
        <v>0</v>
      </c>
      <c r="N581" t="n">
        <v>0</v>
      </c>
      <c r="O581" t="n">
        <v>0</v>
      </c>
      <c r="P581" t="n">
        <v>0</v>
      </c>
      <c r="Q581" t="n">
        <v>0</v>
      </c>
      <c r="R581" s="2" t="inlineStr"/>
    </row>
    <row r="582" ht="15" customHeight="1">
      <c r="A582" t="inlineStr">
        <is>
          <t>A 16059-2024</t>
        </is>
      </c>
      <c r="B582" s="1" t="n">
        <v>45406.04950231482</v>
      </c>
      <c r="C582" s="1" t="n">
        <v>45891</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25883-2024</t>
        </is>
      </c>
      <c r="B583" s="1" t="n">
        <v>45467.49233796296</v>
      </c>
      <c r="C583" s="1" t="n">
        <v>45891</v>
      </c>
      <c r="D583" t="inlineStr">
        <is>
          <t>JÄMTLANDS LÄN</t>
        </is>
      </c>
      <c r="E583" t="inlineStr">
        <is>
          <t>BRÄCKE</t>
        </is>
      </c>
      <c r="G583" t="n">
        <v>1.8</v>
      </c>
      <c r="H583" t="n">
        <v>0</v>
      </c>
      <c r="I583" t="n">
        <v>0</v>
      </c>
      <c r="J583" t="n">
        <v>0</v>
      </c>
      <c r="K583" t="n">
        <v>0</v>
      </c>
      <c r="L583" t="n">
        <v>0</v>
      </c>
      <c r="M583" t="n">
        <v>0</v>
      </c>
      <c r="N583" t="n">
        <v>0</v>
      </c>
      <c r="O583" t="n">
        <v>0</v>
      </c>
      <c r="P583" t="n">
        <v>0</v>
      </c>
      <c r="Q583" t="n">
        <v>0</v>
      </c>
      <c r="R583" s="2" t="inlineStr"/>
    </row>
    <row r="584" ht="15" customHeight="1">
      <c r="A584" t="inlineStr">
        <is>
          <t>A 4365-2023</t>
        </is>
      </c>
      <c r="B584" s="1" t="n">
        <v>44954</v>
      </c>
      <c r="C584" s="1" t="n">
        <v>45891</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20879-2023</t>
        </is>
      </c>
      <c r="B585" s="1" t="n">
        <v>45058.94399305555</v>
      </c>
      <c r="C585" s="1" t="n">
        <v>45891</v>
      </c>
      <c r="D585" t="inlineStr">
        <is>
          <t>JÄMTLANDS LÄN</t>
        </is>
      </c>
      <c r="E585" t="inlineStr">
        <is>
          <t>BRÄCKE</t>
        </is>
      </c>
      <c r="F585" t="inlineStr">
        <is>
          <t>Naturvårdsverket</t>
        </is>
      </c>
      <c r="G585" t="n">
        <v>0.9</v>
      </c>
      <c r="H585" t="n">
        <v>0</v>
      </c>
      <c r="I585" t="n">
        <v>0</v>
      </c>
      <c r="J585" t="n">
        <v>0</v>
      </c>
      <c r="K585" t="n">
        <v>0</v>
      </c>
      <c r="L585" t="n">
        <v>0</v>
      </c>
      <c r="M585" t="n">
        <v>0</v>
      </c>
      <c r="N585" t="n">
        <v>0</v>
      </c>
      <c r="O585" t="n">
        <v>0</v>
      </c>
      <c r="P585" t="n">
        <v>0</v>
      </c>
      <c r="Q585" t="n">
        <v>0</v>
      </c>
      <c r="R585" s="2" t="inlineStr"/>
    </row>
    <row r="586" ht="15" customHeight="1">
      <c r="A586" t="inlineStr">
        <is>
          <t>A 26353-2023</t>
        </is>
      </c>
      <c r="B586" s="1" t="n">
        <v>45091.94232638889</v>
      </c>
      <c r="C586" s="1" t="n">
        <v>45891</v>
      </c>
      <c r="D586" t="inlineStr">
        <is>
          <t>JÄMTLANDS LÄN</t>
        </is>
      </c>
      <c r="E586" t="inlineStr">
        <is>
          <t>BRÄCKE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27354-2023</t>
        </is>
      </c>
      <c r="B587" s="1" t="n">
        <v>45096</v>
      </c>
      <c r="C587" s="1" t="n">
        <v>45891</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56822-2022</t>
        </is>
      </c>
      <c r="B588" s="1" t="n">
        <v>44894.44673611111</v>
      </c>
      <c r="C588" s="1" t="n">
        <v>45891</v>
      </c>
      <c r="D588" t="inlineStr">
        <is>
          <t>JÄMTLANDS LÄN</t>
        </is>
      </c>
      <c r="E588" t="inlineStr">
        <is>
          <t>BRÄCKE</t>
        </is>
      </c>
      <c r="G588" t="n">
        <v>1.2</v>
      </c>
      <c r="H588" t="n">
        <v>0</v>
      </c>
      <c r="I588" t="n">
        <v>0</v>
      </c>
      <c r="J588" t="n">
        <v>0</v>
      </c>
      <c r="K588" t="n">
        <v>0</v>
      </c>
      <c r="L588" t="n">
        <v>0</v>
      </c>
      <c r="M588" t="n">
        <v>0</v>
      </c>
      <c r="N588" t="n">
        <v>0</v>
      </c>
      <c r="O588" t="n">
        <v>0</v>
      </c>
      <c r="P588" t="n">
        <v>0</v>
      </c>
      <c r="Q588" t="n">
        <v>0</v>
      </c>
      <c r="R588" s="2" t="inlineStr"/>
    </row>
    <row r="589" ht="15" customHeight="1">
      <c r="A589" t="inlineStr">
        <is>
          <t>A 47983-2021</t>
        </is>
      </c>
      <c r="B589" s="1" t="n">
        <v>44448</v>
      </c>
      <c r="C589" s="1" t="n">
        <v>45891</v>
      </c>
      <c r="D589" t="inlineStr">
        <is>
          <t>JÄMTLANDS LÄN</t>
        </is>
      </c>
      <c r="E589" t="inlineStr">
        <is>
          <t>BRÄCKE</t>
        </is>
      </c>
      <c r="G589" t="n">
        <v>1</v>
      </c>
      <c r="H589" t="n">
        <v>0</v>
      </c>
      <c r="I589" t="n">
        <v>0</v>
      </c>
      <c r="J589" t="n">
        <v>0</v>
      </c>
      <c r="K589" t="n">
        <v>0</v>
      </c>
      <c r="L589" t="n">
        <v>0</v>
      </c>
      <c r="M589" t="n">
        <v>0</v>
      </c>
      <c r="N589" t="n">
        <v>0</v>
      </c>
      <c r="O589" t="n">
        <v>0</v>
      </c>
      <c r="P589" t="n">
        <v>0</v>
      </c>
      <c r="Q589" t="n">
        <v>0</v>
      </c>
      <c r="R589" s="2" t="inlineStr"/>
    </row>
    <row r="590" ht="15" customHeight="1">
      <c r="A590" t="inlineStr">
        <is>
          <t>A 31342-2021</t>
        </is>
      </c>
      <c r="B590" s="1" t="n">
        <v>44368.93855324074</v>
      </c>
      <c r="C590" s="1" t="n">
        <v>45891</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20003-2024</t>
        </is>
      </c>
      <c r="B591" s="1" t="n">
        <v>45433.94275462963</v>
      </c>
      <c r="C591" s="1" t="n">
        <v>45891</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20009-2024</t>
        </is>
      </c>
      <c r="B592" s="1" t="n">
        <v>45433.94325231481</v>
      </c>
      <c r="C592" s="1" t="n">
        <v>45891</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49721-2024</t>
        </is>
      </c>
      <c r="B593" s="1" t="n">
        <v>45596.72841435186</v>
      </c>
      <c r="C593" s="1" t="n">
        <v>45891</v>
      </c>
      <c r="D593" t="inlineStr">
        <is>
          <t>JÄMTLANDS LÄN</t>
        </is>
      </c>
      <c r="E593" t="inlineStr">
        <is>
          <t>BRÄCKE</t>
        </is>
      </c>
      <c r="G593" t="n">
        <v>1.6</v>
      </c>
      <c r="H593" t="n">
        <v>0</v>
      </c>
      <c r="I593" t="n">
        <v>0</v>
      </c>
      <c r="J593" t="n">
        <v>0</v>
      </c>
      <c r="K593" t="n">
        <v>0</v>
      </c>
      <c r="L593" t="n">
        <v>0</v>
      </c>
      <c r="M593" t="n">
        <v>0</v>
      </c>
      <c r="N593" t="n">
        <v>0</v>
      </c>
      <c r="O593" t="n">
        <v>0</v>
      </c>
      <c r="P593" t="n">
        <v>0</v>
      </c>
      <c r="Q593" t="n">
        <v>0</v>
      </c>
      <c r="R593" s="2" t="inlineStr"/>
    </row>
    <row r="594" ht="15" customHeight="1">
      <c r="A594" t="inlineStr">
        <is>
          <t>A 16322-2025</t>
        </is>
      </c>
      <c r="B594" s="1" t="n">
        <v>45751.34886574074</v>
      </c>
      <c r="C594" s="1" t="n">
        <v>45891</v>
      </c>
      <c r="D594" t="inlineStr">
        <is>
          <t>JÄMTLANDS LÄN</t>
        </is>
      </c>
      <c r="E594" t="inlineStr">
        <is>
          <t>BRÄCKE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56640-2021</t>
        </is>
      </c>
      <c r="B595" s="1" t="n">
        <v>44480</v>
      </c>
      <c r="C595" s="1" t="n">
        <v>45891</v>
      </c>
      <c r="D595" t="inlineStr">
        <is>
          <t>JÄMTLANDS LÄN</t>
        </is>
      </c>
      <c r="E595" t="inlineStr">
        <is>
          <t>BRÄCKE</t>
        </is>
      </c>
      <c r="G595" t="n">
        <v>2.7</v>
      </c>
      <c r="H595" t="n">
        <v>0</v>
      </c>
      <c r="I595" t="n">
        <v>0</v>
      </c>
      <c r="J595" t="n">
        <v>0</v>
      </c>
      <c r="K595" t="n">
        <v>0</v>
      </c>
      <c r="L595" t="n">
        <v>0</v>
      </c>
      <c r="M595" t="n">
        <v>0</v>
      </c>
      <c r="N595" t="n">
        <v>0</v>
      </c>
      <c r="O595" t="n">
        <v>0</v>
      </c>
      <c r="P595" t="n">
        <v>0</v>
      </c>
      <c r="Q595" t="n">
        <v>0</v>
      </c>
      <c r="R595" s="2" t="inlineStr"/>
    </row>
    <row r="596" ht="15" customHeight="1">
      <c r="A596" t="inlineStr">
        <is>
          <t>A 2065-2024</t>
        </is>
      </c>
      <c r="B596" s="1" t="n">
        <v>45308.97871527778</v>
      </c>
      <c r="C596" s="1" t="n">
        <v>45891</v>
      </c>
      <c r="D596" t="inlineStr">
        <is>
          <t>JÄMTLANDS LÄN</t>
        </is>
      </c>
      <c r="E596" t="inlineStr">
        <is>
          <t>BRÄCKE</t>
        </is>
      </c>
      <c r="F596" t="inlineStr">
        <is>
          <t>SCA</t>
        </is>
      </c>
      <c r="G596" t="n">
        <v>6</v>
      </c>
      <c r="H596" t="n">
        <v>0</v>
      </c>
      <c r="I596" t="n">
        <v>0</v>
      </c>
      <c r="J596" t="n">
        <v>0</v>
      </c>
      <c r="K596" t="n">
        <v>0</v>
      </c>
      <c r="L596" t="n">
        <v>0</v>
      </c>
      <c r="M596" t="n">
        <v>0</v>
      </c>
      <c r="N596" t="n">
        <v>0</v>
      </c>
      <c r="O596" t="n">
        <v>0</v>
      </c>
      <c r="P596" t="n">
        <v>0</v>
      </c>
      <c r="Q596" t="n">
        <v>0</v>
      </c>
      <c r="R596" s="2" t="inlineStr"/>
    </row>
    <row r="597" ht="15" customHeight="1">
      <c r="A597" t="inlineStr">
        <is>
          <t>A 56687-2023</t>
        </is>
      </c>
      <c r="B597" s="1" t="n">
        <v>45243.96633101852</v>
      </c>
      <c r="C597" s="1" t="n">
        <v>45891</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56688-2023</t>
        </is>
      </c>
      <c r="B598" s="1" t="n">
        <v>45243.96645833334</v>
      </c>
      <c r="C598" s="1" t="n">
        <v>45891</v>
      </c>
      <c r="D598" t="inlineStr">
        <is>
          <t>JÄMTLANDS LÄN</t>
        </is>
      </c>
      <c r="E598" t="inlineStr">
        <is>
          <t>BRÄCKE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29941-2023</t>
        </is>
      </c>
      <c r="B599" s="1" t="n">
        <v>45107</v>
      </c>
      <c r="C599" s="1" t="n">
        <v>45891</v>
      </c>
      <c r="D599" t="inlineStr">
        <is>
          <t>JÄMTLANDS LÄN</t>
        </is>
      </c>
      <c r="E599" t="inlineStr">
        <is>
          <t>BRÄCKE</t>
        </is>
      </c>
      <c r="G599" t="n">
        <v>6.1</v>
      </c>
      <c r="H599" t="n">
        <v>0</v>
      </c>
      <c r="I599" t="n">
        <v>0</v>
      </c>
      <c r="J599" t="n">
        <v>0</v>
      </c>
      <c r="K599" t="n">
        <v>0</v>
      </c>
      <c r="L599" t="n">
        <v>0</v>
      </c>
      <c r="M599" t="n">
        <v>0</v>
      </c>
      <c r="N599" t="n">
        <v>0</v>
      </c>
      <c r="O599" t="n">
        <v>0</v>
      </c>
      <c r="P599" t="n">
        <v>0</v>
      </c>
      <c r="Q599" t="n">
        <v>0</v>
      </c>
      <c r="R599" s="2" t="inlineStr"/>
    </row>
    <row r="600" ht="15" customHeight="1">
      <c r="A600" t="inlineStr">
        <is>
          <t>A 18350-2025</t>
        </is>
      </c>
      <c r="B600" s="1" t="n">
        <v>45762.54427083334</v>
      </c>
      <c r="C600" s="1" t="n">
        <v>45891</v>
      </c>
      <c r="D600" t="inlineStr">
        <is>
          <t>JÄMTLANDS LÄN</t>
        </is>
      </c>
      <c r="E600" t="inlineStr">
        <is>
          <t>BRÄCKE</t>
        </is>
      </c>
      <c r="G600" t="n">
        <v>5.7</v>
      </c>
      <c r="H600" t="n">
        <v>0</v>
      </c>
      <c r="I600" t="n">
        <v>0</v>
      </c>
      <c r="J600" t="n">
        <v>0</v>
      </c>
      <c r="K600" t="n">
        <v>0</v>
      </c>
      <c r="L600" t="n">
        <v>0</v>
      </c>
      <c r="M600" t="n">
        <v>0</v>
      </c>
      <c r="N600" t="n">
        <v>0</v>
      </c>
      <c r="O600" t="n">
        <v>0</v>
      </c>
      <c r="P600" t="n">
        <v>0</v>
      </c>
      <c r="Q600" t="n">
        <v>0</v>
      </c>
      <c r="R600" s="2" t="inlineStr"/>
    </row>
    <row r="601" ht="15" customHeight="1">
      <c r="A601" t="inlineStr">
        <is>
          <t>A 16512-2024</t>
        </is>
      </c>
      <c r="B601" s="1" t="n">
        <v>45408.39922453704</v>
      </c>
      <c r="C601" s="1" t="n">
        <v>45891</v>
      </c>
      <c r="D601" t="inlineStr">
        <is>
          <t>JÄMTLANDS LÄN</t>
        </is>
      </c>
      <c r="E601" t="inlineStr">
        <is>
          <t>BRÄCKE</t>
        </is>
      </c>
      <c r="G601" t="n">
        <v>3.2</v>
      </c>
      <c r="H601" t="n">
        <v>0</v>
      </c>
      <c r="I601" t="n">
        <v>0</v>
      </c>
      <c r="J601" t="n">
        <v>0</v>
      </c>
      <c r="K601" t="n">
        <v>0</v>
      </c>
      <c r="L601" t="n">
        <v>0</v>
      </c>
      <c r="M601" t="n">
        <v>0</v>
      </c>
      <c r="N601" t="n">
        <v>0</v>
      </c>
      <c r="O601" t="n">
        <v>0</v>
      </c>
      <c r="P601" t="n">
        <v>0</v>
      </c>
      <c r="Q601" t="n">
        <v>0</v>
      </c>
      <c r="R601" s="2" t="inlineStr"/>
    </row>
    <row r="602" ht="15" customHeight="1">
      <c r="A602" t="inlineStr">
        <is>
          <t>A 21380-2024</t>
        </is>
      </c>
      <c r="B602" s="1" t="n">
        <v>45440</v>
      </c>
      <c r="C602" s="1" t="n">
        <v>45891</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21381-2024</t>
        </is>
      </c>
      <c r="B603" s="1" t="n">
        <v>45440.95402777778</v>
      </c>
      <c r="C603" s="1" t="n">
        <v>45891</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45381-2024</t>
        </is>
      </c>
      <c r="B604" s="1" t="n">
        <v>45576.53155092592</v>
      </c>
      <c r="C604" s="1" t="n">
        <v>45891</v>
      </c>
      <c r="D604" t="inlineStr">
        <is>
          <t>JÄMTLANDS LÄN</t>
        </is>
      </c>
      <c r="E604" t="inlineStr">
        <is>
          <t>BRÄCKE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62074-2023</t>
        </is>
      </c>
      <c r="B605" s="1" t="n">
        <v>45266</v>
      </c>
      <c r="C605" s="1" t="n">
        <v>45891</v>
      </c>
      <c r="D605" t="inlineStr">
        <is>
          <t>JÄMTLANDS LÄN</t>
        </is>
      </c>
      <c r="E605" t="inlineStr">
        <is>
          <t>BRÄCKE</t>
        </is>
      </c>
      <c r="G605" t="n">
        <v>1.3</v>
      </c>
      <c r="H605" t="n">
        <v>0</v>
      </c>
      <c r="I605" t="n">
        <v>0</v>
      </c>
      <c r="J605" t="n">
        <v>0</v>
      </c>
      <c r="K605" t="n">
        <v>0</v>
      </c>
      <c r="L605" t="n">
        <v>0</v>
      </c>
      <c r="M605" t="n">
        <v>0</v>
      </c>
      <c r="N605" t="n">
        <v>0</v>
      </c>
      <c r="O605" t="n">
        <v>0</v>
      </c>
      <c r="P605" t="n">
        <v>0</v>
      </c>
      <c r="Q605" t="n">
        <v>0</v>
      </c>
      <c r="R605" s="2" t="inlineStr"/>
    </row>
    <row r="606" ht="15" customHeight="1">
      <c r="A606" t="inlineStr">
        <is>
          <t>A 26665-2021</t>
        </is>
      </c>
      <c r="B606" s="1" t="n">
        <v>44348</v>
      </c>
      <c r="C606" s="1" t="n">
        <v>45891</v>
      </c>
      <c r="D606" t="inlineStr">
        <is>
          <t>JÄMTLANDS LÄN</t>
        </is>
      </c>
      <c r="E606" t="inlineStr">
        <is>
          <t>BRÄCKE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6622-2025</t>
        </is>
      </c>
      <c r="B607" s="1" t="n">
        <v>45700.36594907408</v>
      </c>
      <c r="C607" s="1" t="n">
        <v>45891</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48480-2023</t>
        </is>
      </c>
      <c r="B608" s="1" t="n">
        <v>45206.95831018518</v>
      </c>
      <c r="C608" s="1" t="n">
        <v>45891</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10088-2025</t>
        </is>
      </c>
      <c r="B609" s="1" t="n">
        <v>45719.57335648148</v>
      </c>
      <c r="C609" s="1" t="n">
        <v>45891</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10106-2025</t>
        </is>
      </c>
      <c r="B610" s="1" t="n">
        <v>45719.58611111111</v>
      </c>
      <c r="C610" s="1" t="n">
        <v>45891</v>
      </c>
      <c r="D610" t="inlineStr">
        <is>
          <t>JÄMTLANDS LÄN</t>
        </is>
      </c>
      <c r="E610" t="inlineStr">
        <is>
          <t>BRÄCKE</t>
        </is>
      </c>
      <c r="G610" t="n">
        <v>4</v>
      </c>
      <c r="H610" t="n">
        <v>0</v>
      </c>
      <c r="I610" t="n">
        <v>0</v>
      </c>
      <c r="J610" t="n">
        <v>0</v>
      </c>
      <c r="K610" t="n">
        <v>0</v>
      </c>
      <c r="L610" t="n">
        <v>0</v>
      </c>
      <c r="M610" t="n">
        <v>0</v>
      </c>
      <c r="N610" t="n">
        <v>0</v>
      </c>
      <c r="O610" t="n">
        <v>0</v>
      </c>
      <c r="P610" t="n">
        <v>0</v>
      </c>
      <c r="Q610" t="n">
        <v>0</v>
      </c>
      <c r="R610" s="2" t="inlineStr"/>
    </row>
    <row r="611" ht="15" customHeight="1">
      <c r="A611" t="inlineStr">
        <is>
          <t>A 58758-2023</t>
        </is>
      </c>
      <c r="B611" s="1" t="n">
        <v>45251.93006944445</v>
      </c>
      <c r="C611" s="1" t="n">
        <v>45891</v>
      </c>
      <c r="D611" t="inlineStr">
        <is>
          <t>JÄMTLANDS LÄN</t>
        </is>
      </c>
      <c r="E611" t="inlineStr">
        <is>
          <t>BRÄCKE</t>
        </is>
      </c>
      <c r="G611" t="n">
        <v>1.4</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45891</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51042-2023</t>
        </is>
      </c>
      <c r="B613" s="1" t="n">
        <v>45218.62233796297</v>
      </c>
      <c r="C613" s="1" t="n">
        <v>45891</v>
      </c>
      <c r="D613" t="inlineStr">
        <is>
          <t>JÄMTLANDS LÄN</t>
        </is>
      </c>
      <c r="E613" t="inlineStr">
        <is>
          <t>BRÄCKE</t>
        </is>
      </c>
      <c r="G613" t="n">
        <v>0.6</v>
      </c>
      <c r="H613" t="n">
        <v>0</v>
      </c>
      <c r="I613" t="n">
        <v>0</v>
      </c>
      <c r="J613" t="n">
        <v>0</v>
      </c>
      <c r="K613" t="n">
        <v>0</v>
      </c>
      <c r="L613" t="n">
        <v>0</v>
      </c>
      <c r="M613" t="n">
        <v>0</v>
      </c>
      <c r="N613" t="n">
        <v>0</v>
      </c>
      <c r="O613" t="n">
        <v>0</v>
      </c>
      <c r="P613" t="n">
        <v>0</v>
      </c>
      <c r="Q613" t="n">
        <v>0</v>
      </c>
      <c r="R613" s="2" t="inlineStr"/>
    </row>
    <row r="614" ht="15" customHeight="1">
      <c r="A614" t="inlineStr">
        <is>
          <t>A 47186-2023</t>
        </is>
      </c>
      <c r="B614" s="1" t="n">
        <v>45201</v>
      </c>
      <c r="C614" s="1" t="n">
        <v>45891</v>
      </c>
      <c r="D614" t="inlineStr">
        <is>
          <t>JÄMTLANDS LÄN</t>
        </is>
      </c>
      <c r="E614" t="inlineStr">
        <is>
          <t>BRÄCKE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41183-2023</t>
        </is>
      </c>
      <c r="B615" s="1" t="n">
        <v>45170</v>
      </c>
      <c r="C615" s="1" t="n">
        <v>45891</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26278-2024</t>
        </is>
      </c>
      <c r="B616" s="1" t="n">
        <v>45468.68905092592</v>
      </c>
      <c r="C616" s="1" t="n">
        <v>45891</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4381-2023</t>
        </is>
      </c>
      <c r="B617" s="1" t="n">
        <v>44955</v>
      </c>
      <c r="C617" s="1" t="n">
        <v>45891</v>
      </c>
      <c r="D617" t="inlineStr">
        <is>
          <t>JÄMTLANDS LÄN</t>
        </is>
      </c>
      <c r="E617" t="inlineStr">
        <is>
          <t>BRÄCKE</t>
        </is>
      </c>
      <c r="G617" t="n">
        <v>2.1</v>
      </c>
      <c r="H617" t="n">
        <v>0</v>
      </c>
      <c r="I617" t="n">
        <v>0</v>
      </c>
      <c r="J617" t="n">
        <v>0</v>
      </c>
      <c r="K617" t="n">
        <v>0</v>
      </c>
      <c r="L617" t="n">
        <v>0</v>
      </c>
      <c r="M617" t="n">
        <v>0</v>
      </c>
      <c r="N617" t="n">
        <v>0</v>
      </c>
      <c r="O617" t="n">
        <v>0</v>
      </c>
      <c r="P617" t="n">
        <v>0</v>
      </c>
      <c r="Q617" t="n">
        <v>0</v>
      </c>
      <c r="R617" s="2" t="inlineStr"/>
    </row>
    <row r="618" ht="15" customHeight="1">
      <c r="A618" t="inlineStr">
        <is>
          <t>A 49591-2024</t>
        </is>
      </c>
      <c r="B618" s="1" t="n">
        <v>45596.5525</v>
      </c>
      <c r="C618" s="1" t="n">
        <v>45891</v>
      </c>
      <c r="D618" t="inlineStr">
        <is>
          <t>JÄMTLANDS LÄN</t>
        </is>
      </c>
      <c r="E618" t="inlineStr">
        <is>
          <t>BRÄCKE</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35903-2024</t>
        </is>
      </c>
      <c r="B619" s="1" t="n">
        <v>45533.40648148148</v>
      </c>
      <c r="C619" s="1" t="n">
        <v>45891</v>
      </c>
      <c r="D619" t="inlineStr">
        <is>
          <t>JÄMTLANDS LÄN</t>
        </is>
      </c>
      <c r="E619" t="inlineStr">
        <is>
          <t>BRÄCKE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26350-2023</t>
        </is>
      </c>
      <c r="B620" s="1" t="n">
        <v>45091.9421412037</v>
      </c>
      <c r="C620" s="1" t="n">
        <v>45891</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11309-2025</t>
        </is>
      </c>
      <c r="B621" s="1" t="n">
        <v>45726.44820601852</v>
      </c>
      <c r="C621" s="1" t="n">
        <v>45891</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41552-2024</t>
        </is>
      </c>
      <c r="B622" s="1" t="n">
        <v>45560.51988425926</v>
      </c>
      <c r="C622" s="1" t="n">
        <v>45891</v>
      </c>
      <c r="D622" t="inlineStr">
        <is>
          <t>JÄMTLANDS LÄN</t>
        </is>
      </c>
      <c r="E622" t="inlineStr">
        <is>
          <t>BRÄCKE</t>
        </is>
      </c>
      <c r="F622" t="inlineStr">
        <is>
          <t>Övriga Aktiebolag</t>
        </is>
      </c>
      <c r="G622" t="n">
        <v>3</v>
      </c>
      <c r="H622" t="n">
        <v>0</v>
      </c>
      <c r="I622" t="n">
        <v>0</v>
      </c>
      <c r="J622" t="n">
        <v>0</v>
      </c>
      <c r="K622" t="n">
        <v>0</v>
      </c>
      <c r="L622" t="n">
        <v>0</v>
      </c>
      <c r="M622" t="n">
        <v>0</v>
      </c>
      <c r="N622" t="n">
        <v>0</v>
      </c>
      <c r="O622" t="n">
        <v>0</v>
      </c>
      <c r="P622" t="n">
        <v>0</v>
      </c>
      <c r="Q622" t="n">
        <v>0</v>
      </c>
      <c r="R622" s="2" t="inlineStr"/>
    </row>
    <row r="623" ht="15" customHeight="1">
      <c r="A623" t="inlineStr">
        <is>
          <t>A 11438-2025</t>
        </is>
      </c>
      <c r="B623" s="1" t="n">
        <v>45726.61552083334</v>
      </c>
      <c r="C623" s="1" t="n">
        <v>45891</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28766-2024</t>
        </is>
      </c>
      <c r="B624" s="1" t="n">
        <v>45478</v>
      </c>
      <c r="C624" s="1" t="n">
        <v>45891</v>
      </c>
      <c r="D624" t="inlineStr">
        <is>
          <t>JÄMTLANDS LÄN</t>
        </is>
      </c>
      <c r="E624" t="inlineStr">
        <is>
          <t>BRÄCKE</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3025-2021</t>
        </is>
      </c>
      <c r="B625" s="1" t="n">
        <v>44216</v>
      </c>
      <c r="C625" s="1" t="n">
        <v>45891</v>
      </c>
      <c r="D625" t="inlineStr">
        <is>
          <t>JÄMTLANDS LÄN</t>
        </is>
      </c>
      <c r="E625" t="inlineStr">
        <is>
          <t>BRÄCKE</t>
        </is>
      </c>
      <c r="G625" t="n">
        <v>2.8</v>
      </c>
      <c r="H625" t="n">
        <v>0</v>
      </c>
      <c r="I625" t="n">
        <v>0</v>
      </c>
      <c r="J625" t="n">
        <v>0</v>
      </c>
      <c r="K625" t="n">
        <v>0</v>
      </c>
      <c r="L625" t="n">
        <v>0</v>
      </c>
      <c r="M625" t="n">
        <v>0</v>
      </c>
      <c r="N625" t="n">
        <v>0</v>
      </c>
      <c r="O625" t="n">
        <v>0</v>
      </c>
      <c r="P625" t="n">
        <v>0</v>
      </c>
      <c r="Q625" t="n">
        <v>0</v>
      </c>
      <c r="R625" s="2" t="inlineStr"/>
    </row>
    <row r="626" ht="15" customHeight="1">
      <c r="A626" t="inlineStr">
        <is>
          <t>A 30102-2021</t>
        </is>
      </c>
      <c r="B626" s="1" t="n">
        <v>44363</v>
      </c>
      <c r="C626" s="1" t="n">
        <v>45891</v>
      </c>
      <c r="D626" t="inlineStr">
        <is>
          <t>JÄMTLANDS LÄN</t>
        </is>
      </c>
      <c r="E626" t="inlineStr">
        <is>
          <t>BRÄCKE</t>
        </is>
      </c>
      <c r="G626" t="n">
        <v>1.3</v>
      </c>
      <c r="H626" t="n">
        <v>0</v>
      </c>
      <c r="I626" t="n">
        <v>0</v>
      </c>
      <c r="J626" t="n">
        <v>0</v>
      </c>
      <c r="K626" t="n">
        <v>0</v>
      </c>
      <c r="L626" t="n">
        <v>0</v>
      </c>
      <c r="M626" t="n">
        <v>0</v>
      </c>
      <c r="N626" t="n">
        <v>0</v>
      </c>
      <c r="O626" t="n">
        <v>0</v>
      </c>
      <c r="P626" t="n">
        <v>0</v>
      </c>
      <c r="Q626" t="n">
        <v>0</v>
      </c>
      <c r="R626" s="2" t="inlineStr"/>
    </row>
    <row r="627" ht="15" customHeight="1">
      <c r="A627" t="inlineStr">
        <is>
          <t>A 64643-2023</t>
        </is>
      </c>
      <c r="B627" s="1" t="n">
        <v>45281</v>
      </c>
      <c r="C627" s="1" t="n">
        <v>45891</v>
      </c>
      <c r="D627" t="inlineStr">
        <is>
          <t>JÄMTLANDS LÄN</t>
        </is>
      </c>
      <c r="E627" t="inlineStr">
        <is>
          <t>BRÄCKE</t>
        </is>
      </c>
      <c r="G627" t="n">
        <v>0.6</v>
      </c>
      <c r="H627" t="n">
        <v>0</v>
      </c>
      <c r="I627" t="n">
        <v>0</v>
      </c>
      <c r="J627" t="n">
        <v>0</v>
      </c>
      <c r="K627" t="n">
        <v>0</v>
      </c>
      <c r="L627" t="n">
        <v>0</v>
      </c>
      <c r="M627" t="n">
        <v>0</v>
      </c>
      <c r="N627" t="n">
        <v>0</v>
      </c>
      <c r="O627" t="n">
        <v>0</v>
      </c>
      <c r="P627" t="n">
        <v>0</v>
      </c>
      <c r="Q627" t="n">
        <v>0</v>
      </c>
      <c r="R627" s="2" t="inlineStr"/>
    </row>
    <row r="628" ht="15" customHeight="1">
      <c r="A628" t="inlineStr">
        <is>
          <t>A 41936-2023</t>
        </is>
      </c>
      <c r="B628" s="1" t="n">
        <v>45176.94594907408</v>
      </c>
      <c r="C628" s="1" t="n">
        <v>45891</v>
      </c>
      <c r="D628" t="inlineStr">
        <is>
          <t>JÄMTLANDS LÄN</t>
        </is>
      </c>
      <c r="E628" t="inlineStr">
        <is>
          <t>BRÄCKE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26302-2024</t>
        </is>
      </c>
      <c r="B629" s="1" t="n">
        <v>45468.9328587963</v>
      </c>
      <c r="C629" s="1" t="n">
        <v>45891</v>
      </c>
      <c r="D629" t="inlineStr">
        <is>
          <t>JÄMTLANDS LÄN</t>
        </is>
      </c>
      <c r="E629" t="inlineStr">
        <is>
          <t>BRÄCKE</t>
        </is>
      </c>
      <c r="G629" t="n">
        <v>0.5</v>
      </c>
      <c r="H629" t="n">
        <v>0</v>
      </c>
      <c r="I629" t="n">
        <v>0</v>
      </c>
      <c r="J629" t="n">
        <v>0</v>
      </c>
      <c r="K629" t="n">
        <v>0</v>
      </c>
      <c r="L629" t="n">
        <v>0</v>
      </c>
      <c r="M629" t="n">
        <v>0</v>
      </c>
      <c r="N629" t="n">
        <v>0</v>
      </c>
      <c r="O629" t="n">
        <v>0</v>
      </c>
      <c r="P629" t="n">
        <v>0</v>
      </c>
      <c r="Q629" t="n">
        <v>0</v>
      </c>
      <c r="R629" s="2" t="inlineStr"/>
    </row>
    <row r="630" ht="15" customHeight="1">
      <c r="A630" t="inlineStr">
        <is>
          <t>A 14503-2024</t>
        </is>
      </c>
      <c r="B630" s="1" t="n">
        <v>45394.60408564815</v>
      </c>
      <c r="C630" s="1" t="n">
        <v>45891</v>
      </c>
      <c r="D630" t="inlineStr">
        <is>
          <t>JÄMTLANDS LÄN</t>
        </is>
      </c>
      <c r="E630" t="inlineStr">
        <is>
          <t>BRÄCKE</t>
        </is>
      </c>
      <c r="G630" t="n">
        <v>15.2</v>
      </c>
      <c r="H630" t="n">
        <v>0</v>
      </c>
      <c r="I630" t="n">
        <v>0</v>
      </c>
      <c r="J630" t="n">
        <v>0</v>
      </c>
      <c r="K630" t="n">
        <v>0</v>
      </c>
      <c r="L630" t="n">
        <v>0</v>
      </c>
      <c r="M630" t="n">
        <v>0</v>
      </c>
      <c r="N630" t="n">
        <v>0</v>
      </c>
      <c r="O630" t="n">
        <v>0</v>
      </c>
      <c r="P630" t="n">
        <v>0</v>
      </c>
      <c r="Q630" t="n">
        <v>0</v>
      </c>
      <c r="R630" s="2" t="inlineStr"/>
    </row>
    <row r="631" ht="15" customHeight="1">
      <c r="A631" t="inlineStr">
        <is>
          <t>A 29189-2024</t>
        </is>
      </c>
      <c r="B631" s="1" t="n">
        <v>45482.55164351852</v>
      </c>
      <c r="C631" s="1" t="n">
        <v>45891</v>
      </c>
      <c r="D631" t="inlineStr">
        <is>
          <t>JÄMTLANDS LÄN</t>
        </is>
      </c>
      <c r="E631" t="inlineStr">
        <is>
          <t>BRÄCKE</t>
        </is>
      </c>
      <c r="F631" t="inlineStr">
        <is>
          <t>Övriga Aktiebolag</t>
        </is>
      </c>
      <c r="G631" t="n">
        <v>6.6</v>
      </c>
      <c r="H631" t="n">
        <v>0</v>
      </c>
      <c r="I631" t="n">
        <v>0</v>
      </c>
      <c r="J631" t="n">
        <v>0</v>
      </c>
      <c r="K631" t="n">
        <v>0</v>
      </c>
      <c r="L631" t="n">
        <v>0</v>
      </c>
      <c r="M631" t="n">
        <v>0</v>
      </c>
      <c r="N631" t="n">
        <v>0</v>
      </c>
      <c r="O631" t="n">
        <v>0</v>
      </c>
      <c r="P631" t="n">
        <v>0</v>
      </c>
      <c r="Q631" t="n">
        <v>0</v>
      </c>
      <c r="R631" s="2" t="inlineStr"/>
    </row>
    <row r="632" ht="15" customHeight="1">
      <c r="A632" t="inlineStr">
        <is>
          <t>A 47746-2024</t>
        </is>
      </c>
      <c r="B632" s="1" t="n">
        <v>45588.53438657407</v>
      </c>
      <c r="C632" s="1" t="n">
        <v>45891</v>
      </c>
      <c r="D632" t="inlineStr">
        <is>
          <t>JÄMTLANDS LÄN</t>
        </is>
      </c>
      <c r="E632" t="inlineStr">
        <is>
          <t>BRÄCKE</t>
        </is>
      </c>
      <c r="G632" t="n">
        <v>1.1</v>
      </c>
      <c r="H632" t="n">
        <v>0</v>
      </c>
      <c r="I632" t="n">
        <v>0</v>
      </c>
      <c r="J632" t="n">
        <v>0</v>
      </c>
      <c r="K632" t="n">
        <v>0</v>
      </c>
      <c r="L632" t="n">
        <v>0</v>
      </c>
      <c r="M632" t="n">
        <v>0</v>
      </c>
      <c r="N632" t="n">
        <v>0</v>
      </c>
      <c r="O632" t="n">
        <v>0</v>
      </c>
      <c r="P632" t="n">
        <v>0</v>
      </c>
      <c r="Q632" t="n">
        <v>0</v>
      </c>
      <c r="R632" s="2" t="inlineStr"/>
    </row>
    <row r="633" ht="15" customHeight="1">
      <c r="A633" t="inlineStr">
        <is>
          <t>A 18066-2025</t>
        </is>
      </c>
      <c r="B633" s="1" t="n">
        <v>45761.49002314815</v>
      </c>
      <c r="C633" s="1" t="n">
        <v>45891</v>
      </c>
      <c r="D633" t="inlineStr">
        <is>
          <t>JÄMTLANDS LÄN</t>
        </is>
      </c>
      <c r="E633" t="inlineStr">
        <is>
          <t>BRÄCKE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40094-2023</t>
        </is>
      </c>
      <c r="B634" s="1" t="n">
        <v>45168</v>
      </c>
      <c r="C634" s="1" t="n">
        <v>45891</v>
      </c>
      <c r="D634" t="inlineStr">
        <is>
          <t>JÄMTLANDS LÄN</t>
        </is>
      </c>
      <c r="E634" t="inlineStr">
        <is>
          <t>BRÄCKE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5536-2025</t>
        </is>
      </c>
      <c r="B635" s="1" t="n">
        <v>45693.44846064815</v>
      </c>
      <c r="C635" s="1" t="n">
        <v>45891</v>
      </c>
      <c r="D635" t="inlineStr">
        <is>
          <t>JÄMTLANDS LÄN</t>
        </is>
      </c>
      <c r="E635" t="inlineStr">
        <is>
          <t>BRÄCKE</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5537-2025</t>
        </is>
      </c>
      <c r="B636" s="1" t="n">
        <v>45693.44858796296</v>
      </c>
      <c r="C636" s="1" t="n">
        <v>45891</v>
      </c>
      <c r="D636" t="inlineStr">
        <is>
          <t>JÄMTLANDS LÄN</t>
        </is>
      </c>
      <c r="E636" t="inlineStr">
        <is>
          <t>BRÄCKE</t>
        </is>
      </c>
      <c r="G636" t="n">
        <v>3</v>
      </c>
      <c r="H636" t="n">
        <v>0</v>
      </c>
      <c r="I636" t="n">
        <v>0</v>
      </c>
      <c r="J636" t="n">
        <v>0</v>
      </c>
      <c r="K636" t="n">
        <v>0</v>
      </c>
      <c r="L636" t="n">
        <v>0</v>
      </c>
      <c r="M636" t="n">
        <v>0</v>
      </c>
      <c r="N636" t="n">
        <v>0</v>
      </c>
      <c r="O636" t="n">
        <v>0</v>
      </c>
      <c r="P636" t="n">
        <v>0</v>
      </c>
      <c r="Q636" t="n">
        <v>0</v>
      </c>
      <c r="R636" s="2" t="inlineStr"/>
    </row>
    <row r="637" ht="15" customHeight="1">
      <c r="A637" t="inlineStr">
        <is>
          <t>A 11548-2023</t>
        </is>
      </c>
      <c r="B637" s="1" t="n">
        <v>44993.9484837963</v>
      </c>
      <c r="C637" s="1" t="n">
        <v>45891</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61149-2023</t>
        </is>
      </c>
      <c r="B638" s="1" t="n">
        <v>45261.96777777778</v>
      </c>
      <c r="C638" s="1" t="n">
        <v>45891</v>
      </c>
      <c r="D638" t="inlineStr">
        <is>
          <t>JÄMTLANDS LÄN</t>
        </is>
      </c>
      <c r="E638" t="inlineStr">
        <is>
          <t>BRÄCKE</t>
        </is>
      </c>
      <c r="G638" t="n">
        <v>1.1</v>
      </c>
      <c r="H638" t="n">
        <v>0</v>
      </c>
      <c r="I638" t="n">
        <v>0</v>
      </c>
      <c r="J638" t="n">
        <v>0</v>
      </c>
      <c r="K638" t="n">
        <v>0</v>
      </c>
      <c r="L638" t="n">
        <v>0</v>
      </c>
      <c r="M638" t="n">
        <v>0</v>
      </c>
      <c r="N638" t="n">
        <v>0</v>
      </c>
      <c r="O638" t="n">
        <v>0</v>
      </c>
      <c r="P638" t="n">
        <v>0</v>
      </c>
      <c r="Q638" t="n">
        <v>0</v>
      </c>
      <c r="R638" s="2" t="inlineStr"/>
    </row>
    <row r="639" ht="15" customHeight="1">
      <c r="A639" t="inlineStr">
        <is>
          <t>A 10309-2023</t>
        </is>
      </c>
      <c r="B639" s="1" t="n">
        <v>44986</v>
      </c>
      <c r="C639" s="1" t="n">
        <v>45891</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38302-2024</t>
        </is>
      </c>
      <c r="B640" s="1" t="n">
        <v>45545.63614583333</v>
      </c>
      <c r="C640" s="1" t="n">
        <v>45891</v>
      </c>
      <c r="D640" t="inlineStr">
        <is>
          <t>JÄMTLANDS LÄN</t>
        </is>
      </c>
      <c r="E640" t="inlineStr">
        <is>
          <t>BRÄCKE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30569-2024</t>
        </is>
      </c>
      <c r="B641" s="1" t="n">
        <v>45492.95690972222</v>
      </c>
      <c r="C641" s="1" t="n">
        <v>45891</v>
      </c>
      <c r="D641" t="inlineStr">
        <is>
          <t>JÄMTLANDS LÄN</t>
        </is>
      </c>
      <c r="E641" t="inlineStr">
        <is>
          <t>BRÄCKE</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21086-2024</t>
        </is>
      </c>
      <c r="B642" s="1" t="n">
        <v>45439.92791666667</v>
      </c>
      <c r="C642" s="1" t="n">
        <v>45891</v>
      </c>
      <c r="D642" t="inlineStr">
        <is>
          <t>JÄMTLANDS LÄN</t>
        </is>
      </c>
      <c r="E642" t="inlineStr">
        <is>
          <t>BRÄCKE</t>
        </is>
      </c>
      <c r="G642" t="n">
        <v>1.5</v>
      </c>
      <c r="H642" t="n">
        <v>0</v>
      </c>
      <c r="I642" t="n">
        <v>0</v>
      </c>
      <c r="J642" t="n">
        <v>0</v>
      </c>
      <c r="K642" t="n">
        <v>0</v>
      </c>
      <c r="L642" t="n">
        <v>0</v>
      </c>
      <c r="M642" t="n">
        <v>0</v>
      </c>
      <c r="N642" t="n">
        <v>0</v>
      </c>
      <c r="O642" t="n">
        <v>0</v>
      </c>
      <c r="P642" t="n">
        <v>0</v>
      </c>
      <c r="Q642" t="n">
        <v>0</v>
      </c>
      <c r="R642" s="2" t="inlineStr"/>
    </row>
    <row r="643" ht="15" customHeight="1">
      <c r="A643" t="inlineStr">
        <is>
          <t>A 12891-2024</t>
        </is>
      </c>
      <c r="B643" s="1" t="n">
        <v>45385</v>
      </c>
      <c r="C643" s="1" t="n">
        <v>45891</v>
      </c>
      <c r="D643" t="inlineStr">
        <is>
          <t>JÄMTLANDS LÄN</t>
        </is>
      </c>
      <c r="E643" t="inlineStr">
        <is>
          <t>BRÄCKE</t>
        </is>
      </c>
      <c r="F643" t="inlineStr">
        <is>
          <t>Kyrkan</t>
        </is>
      </c>
      <c r="G643" t="n">
        <v>0.4</v>
      </c>
      <c r="H643" t="n">
        <v>0</v>
      </c>
      <c r="I643" t="n">
        <v>0</v>
      </c>
      <c r="J643" t="n">
        <v>0</v>
      </c>
      <c r="K643" t="n">
        <v>0</v>
      </c>
      <c r="L643" t="n">
        <v>0</v>
      </c>
      <c r="M643" t="n">
        <v>0</v>
      </c>
      <c r="N643" t="n">
        <v>0</v>
      </c>
      <c r="O643" t="n">
        <v>0</v>
      </c>
      <c r="P643" t="n">
        <v>0</v>
      </c>
      <c r="Q643" t="n">
        <v>0</v>
      </c>
      <c r="R643" s="2" t="inlineStr"/>
    </row>
    <row r="644" ht="15" customHeight="1">
      <c r="A644" t="inlineStr">
        <is>
          <t>A 39996-2024</t>
        </is>
      </c>
      <c r="B644" s="1" t="n">
        <v>45553.63585648148</v>
      </c>
      <c r="C644" s="1" t="n">
        <v>45891</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12762-2025</t>
        </is>
      </c>
      <c r="B645" s="1" t="n">
        <v>45733.57340277778</v>
      </c>
      <c r="C645" s="1" t="n">
        <v>45891</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13019-2023</t>
        </is>
      </c>
      <c r="B646" s="1" t="n">
        <v>45001</v>
      </c>
      <c r="C646" s="1" t="n">
        <v>45891</v>
      </c>
      <c r="D646" t="inlineStr">
        <is>
          <t>JÄMTLANDS LÄN</t>
        </is>
      </c>
      <c r="E646" t="inlineStr">
        <is>
          <t>BRÄCKE</t>
        </is>
      </c>
      <c r="G646" t="n">
        <v>3.8</v>
      </c>
      <c r="H646" t="n">
        <v>0</v>
      </c>
      <c r="I646" t="n">
        <v>0</v>
      </c>
      <c r="J646" t="n">
        <v>0</v>
      </c>
      <c r="K646" t="n">
        <v>0</v>
      </c>
      <c r="L646" t="n">
        <v>0</v>
      </c>
      <c r="M646" t="n">
        <v>0</v>
      </c>
      <c r="N646" t="n">
        <v>0</v>
      </c>
      <c r="O646" t="n">
        <v>0</v>
      </c>
      <c r="P646" t="n">
        <v>0</v>
      </c>
      <c r="Q646" t="n">
        <v>0</v>
      </c>
      <c r="R646" s="2" t="inlineStr"/>
    </row>
    <row r="647" ht="15" customHeight="1">
      <c r="A647" t="inlineStr">
        <is>
          <t>A 22116-2024</t>
        </is>
      </c>
      <c r="B647" s="1" t="n">
        <v>45443.95230324074</v>
      </c>
      <c r="C647" s="1" t="n">
        <v>45891</v>
      </c>
      <c r="D647" t="inlineStr">
        <is>
          <t>JÄMTLANDS LÄN</t>
        </is>
      </c>
      <c r="E647" t="inlineStr">
        <is>
          <t>BRÄCKE</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62674-2021</t>
        </is>
      </c>
      <c r="B648" s="1" t="n">
        <v>44503.94478009259</v>
      </c>
      <c r="C648" s="1" t="n">
        <v>45891</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25718-2024</t>
        </is>
      </c>
      <c r="B649" s="1" t="n">
        <v>45463.94467592592</v>
      </c>
      <c r="C649" s="1" t="n">
        <v>45891</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54274-2022</t>
        </is>
      </c>
      <c r="B650" s="1" t="n">
        <v>44879</v>
      </c>
      <c r="C650" s="1" t="n">
        <v>45891</v>
      </c>
      <c r="D650" t="inlineStr">
        <is>
          <t>JÄMTLANDS LÄN</t>
        </is>
      </c>
      <c r="E650" t="inlineStr">
        <is>
          <t>BRÄCKE</t>
        </is>
      </c>
      <c r="G650" t="n">
        <v>1.1</v>
      </c>
      <c r="H650" t="n">
        <v>0</v>
      </c>
      <c r="I650" t="n">
        <v>0</v>
      </c>
      <c r="J650" t="n">
        <v>0</v>
      </c>
      <c r="K650" t="n">
        <v>0</v>
      </c>
      <c r="L650" t="n">
        <v>0</v>
      </c>
      <c r="M650" t="n">
        <v>0</v>
      </c>
      <c r="N650" t="n">
        <v>0</v>
      </c>
      <c r="O650" t="n">
        <v>0</v>
      </c>
      <c r="P650" t="n">
        <v>0</v>
      </c>
      <c r="Q650" t="n">
        <v>0</v>
      </c>
      <c r="R650" s="2" t="inlineStr"/>
    </row>
    <row r="651" ht="15" customHeight="1">
      <c r="A651" t="inlineStr">
        <is>
          <t>A 783-2025</t>
        </is>
      </c>
      <c r="B651" s="1" t="n">
        <v>45665.49290509259</v>
      </c>
      <c r="C651" s="1" t="n">
        <v>45891</v>
      </c>
      <c r="D651" t="inlineStr">
        <is>
          <t>JÄMTLANDS LÄN</t>
        </is>
      </c>
      <c r="E651" t="inlineStr">
        <is>
          <t>BRÄCKE</t>
        </is>
      </c>
      <c r="G651" t="n">
        <v>4</v>
      </c>
      <c r="H651" t="n">
        <v>0</v>
      </c>
      <c r="I651" t="n">
        <v>0</v>
      </c>
      <c r="J651" t="n">
        <v>0</v>
      </c>
      <c r="K651" t="n">
        <v>0</v>
      </c>
      <c r="L651" t="n">
        <v>0</v>
      </c>
      <c r="M651" t="n">
        <v>0</v>
      </c>
      <c r="N651" t="n">
        <v>0</v>
      </c>
      <c r="O651" t="n">
        <v>0</v>
      </c>
      <c r="P651" t="n">
        <v>0</v>
      </c>
      <c r="Q651" t="n">
        <v>0</v>
      </c>
      <c r="R651" s="2" t="inlineStr"/>
    </row>
    <row r="652" ht="15" customHeight="1">
      <c r="A652" t="inlineStr">
        <is>
          <t>A 23534-2024</t>
        </is>
      </c>
      <c r="B652" s="1" t="n">
        <v>45453.95170138889</v>
      </c>
      <c r="C652" s="1" t="n">
        <v>45891</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53941-2022</t>
        </is>
      </c>
      <c r="B653" s="1" t="n">
        <v>44880</v>
      </c>
      <c r="C653" s="1" t="n">
        <v>45891</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58039-2021</t>
        </is>
      </c>
      <c r="B654" s="1" t="n">
        <v>44487</v>
      </c>
      <c r="C654" s="1" t="n">
        <v>45891</v>
      </c>
      <c r="D654" t="inlineStr">
        <is>
          <t>JÄMTLANDS LÄN</t>
        </is>
      </c>
      <c r="E654" t="inlineStr">
        <is>
          <t>BRÄCKE</t>
        </is>
      </c>
      <c r="G654" t="n">
        <v>7.4</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45891</v>
      </c>
      <c r="D655" t="inlineStr">
        <is>
          <t>JÄMTLANDS LÄN</t>
        </is>
      </c>
      <c r="E655" t="inlineStr">
        <is>
          <t>BRÄCKE</t>
        </is>
      </c>
      <c r="G655" t="n">
        <v>9.6</v>
      </c>
      <c r="H655" t="n">
        <v>0</v>
      </c>
      <c r="I655" t="n">
        <v>0</v>
      </c>
      <c r="J655" t="n">
        <v>0</v>
      </c>
      <c r="K655" t="n">
        <v>0</v>
      </c>
      <c r="L655" t="n">
        <v>0</v>
      </c>
      <c r="M655" t="n">
        <v>0</v>
      </c>
      <c r="N655" t="n">
        <v>0</v>
      </c>
      <c r="O655" t="n">
        <v>0</v>
      </c>
      <c r="P655" t="n">
        <v>0</v>
      </c>
      <c r="Q655" t="n">
        <v>0</v>
      </c>
      <c r="R655" s="2" t="inlineStr"/>
    </row>
    <row r="656" ht="15" customHeight="1">
      <c r="A656" t="inlineStr">
        <is>
          <t>A 26025-2024</t>
        </is>
      </c>
      <c r="B656" s="1" t="n">
        <v>45467.96188657408</v>
      </c>
      <c r="C656" s="1" t="n">
        <v>45891</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17313-2025</t>
        </is>
      </c>
      <c r="B657" s="1" t="n">
        <v>45756.61498842593</v>
      </c>
      <c r="C657" s="1" t="n">
        <v>45891</v>
      </c>
      <c r="D657" t="inlineStr">
        <is>
          <t>JÄMTLANDS LÄN</t>
        </is>
      </c>
      <c r="E657" t="inlineStr">
        <is>
          <t>BRÄCKE</t>
        </is>
      </c>
      <c r="G657" t="n">
        <v>2.4</v>
      </c>
      <c r="H657" t="n">
        <v>0</v>
      </c>
      <c r="I657" t="n">
        <v>0</v>
      </c>
      <c r="J657" t="n">
        <v>0</v>
      </c>
      <c r="K657" t="n">
        <v>0</v>
      </c>
      <c r="L657" t="n">
        <v>0</v>
      </c>
      <c r="M657" t="n">
        <v>0</v>
      </c>
      <c r="N657" t="n">
        <v>0</v>
      </c>
      <c r="O657" t="n">
        <v>0</v>
      </c>
      <c r="P657" t="n">
        <v>0</v>
      </c>
      <c r="Q657" t="n">
        <v>0</v>
      </c>
      <c r="R657" s="2" t="inlineStr"/>
    </row>
    <row r="658" ht="15" customHeight="1">
      <c r="A658" t="inlineStr">
        <is>
          <t>A 3179-2024</t>
        </is>
      </c>
      <c r="B658" s="1" t="n">
        <v>45316</v>
      </c>
      <c r="C658" s="1" t="n">
        <v>45891</v>
      </c>
      <c r="D658" t="inlineStr">
        <is>
          <t>JÄMTLANDS LÄN</t>
        </is>
      </c>
      <c r="E658" t="inlineStr">
        <is>
          <t>BRÄCKE</t>
        </is>
      </c>
      <c r="G658" t="n">
        <v>1.5</v>
      </c>
      <c r="H658" t="n">
        <v>0</v>
      </c>
      <c r="I658" t="n">
        <v>0</v>
      </c>
      <c r="J658" t="n">
        <v>0</v>
      </c>
      <c r="K658" t="n">
        <v>0</v>
      </c>
      <c r="L658" t="n">
        <v>0</v>
      </c>
      <c r="M658" t="n">
        <v>0</v>
      </c>
      <c r="N658" t="n">
        <v>0</v>
      </c>
      <c r="O658" t="n">
        <v>0</v>
      </c>
      <c r="P658" t="n">
        <v>0</v>
      </c>
      <c r="Q658" t="n">
        <v>0</v>
      </c>
      <c r="R658" s="2" t="inlineStr"/>
    </row>
    <row r="659" ht="15" customHeight="1">
      <c r="A659" t="inlineStr">
        <is>
          <t>A 1863-2022</t>
        </is>
      </c>
      <c r="B659" s="1" t="n">
        <v>44574</v>
      </c>
      <c r="C659" s="1" t="n">
        <v>45891</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1865-2022</t>
        </is>
      </c>
      <c r="B660" s="1" t="n">
        <v>44574</v>
      </c>
      <c r="C660" s="1" t="n">
        <v>45891</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60417-2022</t>
        </is>
      </c>
      <c r="B661" s="1" t="n">
        <v>44910.97158564815</v>
      </c>
      <c r="C661" s="1" t="n">
        <v>45891</v>
      </c>
      <c r="D661" t="inlineStr">
        <is>
          <t>JÄMTLANDS LÄN</t>
        </is>
      </c>
      <c r="E661" t="inlineStr">
        <is>
          <t>BRÄCKE</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3528-2024</t>
        </is>
      </c>
      <c r="B662" s="1" t="n">
        <v>45320</v>
      </c>
      <c r="C662" s="1" t="n">
        <v>45891</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44445-2022</t>
        </is>
      </c>
      <c r="B663" s="1" t="n">
        <v>44839.95482638889</v>
      </c>
      <c r="C663" s="1" t="n">
        <v>45891</v>
      </c>
      <c r="D663" t="inlineStr">
        <is>
          <t>JÄMTLANDS LÄN</t>
        </is>
      </c>
      <c r="E663" t="inlineStr">
        <is>
          <t>BRÄCKE</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38943-2024</t>
        </is>
      </c>
      <c r="B664" s="1" t="n">
        <v>45548.34490740741</v>
      </c>
      <c r="C664" s="1" t="n">
        <v>45891</v>
      </c>
      <c r="D664" t="inlineStr">
        <is>
          <t>JÄMTLANDS LÄN</t>
        </is>
      </c>
      <c r="E664" t="inlineStr">
        <is>
          <t>BRÄCKE</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37238-2021</t>
        </is>
      </c>
      <c r="B665" s="1" t="n">
        <v>44396.93490740741</v>
      </c>
      <c r="C665" s="1" t="n">
        <v>45891</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38280-2021</t>
        </is>
      </c>
      <c r="B666" s="1" t="n">
        <v>44405</v>
      </c>
      <c r="C666" s="1" t="n">
        <v>45891</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37375-2021</t>
        </is>
      </c>
      <c r="B667" s="1" t="n">
        <v>44397</v>
      </c>
      <c r="C667" s="1" t="n">
        <v>45891</v>
      </c>
      <c r="D667" t="inlineStr">
        <is>
          <t>JÄMTLANDS LÄN</t>
        </is>
      </c>
      <c r="E667" t="inlineStr">
        <is>
          <t>BRÄCKE</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51441-2023</t>
        </is>
      </c>
      <c r="B668" s="1" t="n">
        <v>45219</v>
      </c>
      <c r="C668" s="1" t="n">
        <v>45891</v>
      </c>
      <c r="D668" t="inlineStr">
        <is>
          <t>JÄMTLANDS LÄN</t>
        </is>
      </c>
      <c r="E668" t="inlineStr">
        <is>
          <t>BRÄCKE</t>
        </is>
      </c>
      <c r="G668" t="n">
        <v>1.2</v>
      </c>
      <c r="H668" t="n">
        <v>0</v>
      </c>
      <c r="I668" t="n">
        <v>0</v>
      </c>
      <c r="J668" t="n">
        <v>0</v>
      </c>
      <c r="K668" t="n">
        <v>0</v>
      </c>
      <c r="L668" t="n">
        <v>0</v>
      </c>
      <c r="M668" t="n">
        <v>0</v>
      </c>
      <c r="N668" t="n">
        <v>0</v>
      </c>
      <c r="O668" t="n">
        <v>0</v>
      </c>
      <c r="P668" t="n">
        <v>0</v>
      </c>
      <c r="Q668" t="n">
        <v>0</v>
      </c>
      <c r="R668" s="2" t="inlineStr"/>
    </row>
    <row r="669" ht="15" customHeight="1">
      <c r="A669" t="inlineStr">
        <is>
          <t>A 52529-2024</t>
        </is>
      </c>
      <c r="B669" s="1" t="n">
        <v>45609.61483796296</v>
      </c>
      <c r="C669" s="1" t="n">
        <v>45891</v>
      </c>
      <c r="D669" t="inlineStr">
        <is>
          <t>JÄMTLANDS LÄN</t>
        </is>
      </c>
      <c r="E669" t="inlineStr">
        <is>
          <t>BRÄCKE</t>
        </is>
      </c>
      <c r="G669" t="n">
        <v>3.6</v>
      </c>
      <c r="H669" t="n">
        <v>0</v>
      </c>
      <c r="I669" t="n">
        <v>0</v>
      </c>
      <c r="J669" t="n">
        <v>0</v>
      </c>
      <c r="K669" t="n">
        <v>0</v>
      </c>
      <c r="L669" t="n">
        <v>0</v>
      </c>
      <c r="M669" t="n">
        <v>0</v>
      </c>
      <c r="N669" t="n">
        <v>0</v>
      </c>
      <c r="O669" t="n">
        <v>0</v>
      </c>
      <c r="P669" t="n">
        <v>0</v>
      </c>
      <c r="Q669" t="n">
        <v>0</v>
      </c>
      <c r="R669" s="2" t="inlineStr"/>
    </row>
    <row r="670" ht="15" customHeight="1">
      <c r="A670" t="inlineStr">
        <is>
          <t>A 3390-2024</t>
        </is>
      </c>
      <c r="B670" s="1" t="n">
        <v>45317.94108796296</v>
      </c>
      <c r="C670" s="1" t="n">
        <v>45891</v>
      </c>
      <c r="D670" t="inlineStr">
        <is>
          <t>JÄMTLANDS LÄN</t>
        </is>
      </c>
      <c r="E670" t="inlineStr">
        <is>
          <t>BRÄCKE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40765-2023</t>
        </is>
      </c>
      <c r="B671" s="1" t="n">
        <v>45170</v>
      </c>
      <c r="C671" s="1" t="n">
        <v>45891</v>
      </c>
      <c r="D671" t="inlineStr">
        <is>
          <t>JÄMTLANDS LÄN</t>
        </is>
      </c>
      <c r="E671" t="inlineStr">
        <is>
          <t>BRÄCKE</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50220-2023</t>
        </is>
      </c>
      <c r="B672" s="1" t="n">
        <v>45215</v>
      </c>
      <c r="C672" s="1" t="n">
        <v>45891</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3031-2023</t>
        </is>
      </c>
      <c r="B673" s="1" t="n">
        <v>44945</v>
      </c>
      <c r="C673" s="1" t="n">
        <v>45891</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3033-2023</t>
        </is>
      </c>
      <c r="B674" s="1" t="n">
        <v>44945</v>
      </c>
      <c r="C674" s="1" t="n">
        <v>45891</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3036-2023</t>
        </is>
      </c>
      <c r="B675" s="1" t="n">
        <v>44945.94201388889</v>
      </c>
      <c r="C675" s="1" t="n">
        <v>45891</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55512-2022</t>
        </is>
      </c>
      <c r="B676" s="1" t="n">
        <v>44887</v>
      </c>
      <c r="C676" s="1" t="n">
        <v>45891</v>
      </c>
      <c r="D676" t="inlineStr">
        <is>
          <t>JÄMTLANDS LÄN</t>
        </is>
      </c>
      <c r="E676" t="inlineStr">
        <is>
          <t>BRÄCKE</t>
        </is>
      </c>
      <c r="G676" t="n">
        <v>3.9</v>
      </c>
      <c r="H676" t="n">
        <v>0</v>
      </c>
      <c r="I676" t="n">
        <v>0</v>
      </c>
      <c r="J676" t="n">
        <v>0</v>
      </c>
      <c r="K676" t="n">
        <v>0</v>
      </c>
      <c r="L676" t="n">
        <v>0</v>
      </c>
      <c r="M676" t="n">
        <v>0</v>
      </c>
      <c r="N676" t="n">
        <v>0</v>
      </c>
      <c r="O676" t="n">
        <v>0</v>
      </c>
      <c r="P676" t="n">
        <v>0</v>
      </c>
      <c r="Q676" t="n">
        <v>0</v>
      </c>
      <c r="R676" s="2" t="inlineStr"/>
    </row>
    <row r="677" ht="15" customHeight="1">
      <c r="A677" t="inlineStr">
        <is>
          <t>A 55520-2022</t>
        </is>
      </c>
      <c r="B677" s="1" t="n">
        <v>44887</v>
      </c>
      <c r="C677" s="1" t="n">
        <v>45891</v>
      </c>
      <c r="D677" t="inlineStr">
        <is>
          <t>JÄMTLANDS LÄN</t>
        </is>
      </c>
      <c r="E677" t="inlineStr">
        <is>
          <t>BRÄCKE</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55529-2022</t>
        </is>
      </c>
      <c r="B678" s="1" t="n">
        <v>44887.95256944445</v>
      </c>
      <c r="C678" s="1" t="n">
        <v>45891</v>
      </c>
      <c r="D678" t="inlineStr">
        <is>
          <t>JÄMTLANDS LÄN</t>
        </is>
      </c>
      <c r="E678" t="inlineStr">
        <is>
          <t>BRÄCKE</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8422-2022</t>
        </is>
      </c>
      <c r="B679" s="1" t="n">
        <v>44610</v>
      </c>
      <c r="C679" s="1" t="n">
        <v>45891</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48507-2023</t>
        </is>
      </c>
      <c r="B680" s="1" t="n">
        <v>45207.94034722223</v>
      </c>
      <c r="C680" s="1" t="n">
        <v>45891</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36551-2024</t>
        </is>
      </c>
      <c r="B681" s="1" t="n">
        <v>45537.468125</v>
      </c>
      <c r="C681" s="1" t="n">
        <v>45891</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37048-2021</t>
        </is>
      </c>
      <c r="B682" s="1" t="n">
        <v>44393.93534722222</v>
      </c>
      <c r="C682" s="1" t="n">
        <v>45891</v>
      </c>
      <c r="D682" t="inlineStr">
        <is>
          <t>JÄMTLANDS LÄN</t>
        </is>
      </c>
      <c r="E682" t="inlineStr">
        <is>
          <t>BRÄCKE</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26029-2024</t>
        </is>
      </c>
      <c r="B683" s="1" t="n">
        <v>45467.96262731482</v>
      </c>
      <c r="C683" s="1" t="n">
        <v>45891</v>
      </c>
      <c r="D683" t="inlineStr">
        <is>
          <t>JÄMTLANDS LÄN</t>
        </is>
      </c>
      <c r="E683" t="inlineStr">
        <is>
          <t>BRÄCKE</t>
        </is>
      </c>
      <c r="F683" t="inlineStr">
        <is>
          <t>SCA</t>
        </is>
      </c>
      <c r="G683" t="n">
        <v>40.9</v>
      </c>
      <c r="H683" t="n">
        <v>0</v>
      </c>
      <c r="I683" t="n">
        <v>0</v>
      </c>
      <c r="J683" t="n">
        <v>0</v>
      </c>
      <c r="K683" t="n">
        <v>0</v>
      </c>
      <c r="L683" t="n">
        <v>0</v>
      </c>
      <c r="M683" t="n">
        <v>0</v>
      </c>
      <c r="N683" t="n">
        <v>0</v>
      </c>
      <c r="O683" t="n">
        <v>0</v>
      </c>
      <c r="P683" t="n">
        <v>0</v>
      </c>
      <c r="Q683" t="n">
        <v>0</v>
      </c>
      <c r="R683" s="2" t="inlineStr"/>
      <c r="U683">
        <f>HYPERLINK("https://klasma.github.io/Logging_2305/knärot/A 26029-2024 karta knärot.png", "A 26029-2024")</f>
        <v/>
      </c>
      <c r="V683">
        <f>HYPERLINK("https://klasma.github.io/Logging_2305/klagomål/A 26029-2024 FSC-klagomål.docx", "A 26029-2024")</f>
        <v/>
      </c>
      <c r="W683">
        <f>HYPERLINK("https://klasma.github.io/Logging_2305/klagomålsmail/A 26029-2024 FSC-klagomål mail.docx", "A 26029-2024")</f>
        <v/>
      </c>
      <c r="X683">
        <f>HYPERLINK("https://klasma.github.io/Logging_2305/tillsyn/A 26029-2024 tillsynsbegäran.docx", "A 26029-2024")</f>
        <v/>
      </c>
      <c r="Y683">
        <f>HYPERLINK("https://klasma.github.io/Logging_2305/tillsynsmail/A 26029-2024 tillsynsbegäran mail.docx", "A 26029-2024")</f>
        <v/>
      </c>
    </row>
    <row r="684" ht="15" customHeight="1">
      <c r="A684" t="inlineStr">
        <is>
          <t>A 24974-2024</t>
        </is>
      </c>
      <c r="B684" s="1" t="n">
        <v>45461</v>
      </c>
      <c r="C684" s="1" t="n">
        <v>45891</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24049-2023</t>
        </is>
      </c>
      <c r="B685" s="1" t="n">
        <v>45078.93966435185</v>
      </c>
      <c r="C685" s="1" t="n">
        <v>45891</v>
      </c>
      <c r="D685" t="inlineStr">
        <is>
          <t>JÄMTLANDS LÄN</t>
        </is>
      </c>
      <c r="E685" t="inlineStr">
        <is>
          <t>BRÄCKE</t>
        </is>
      </c>
      <c r="G685" t="n">
        <v>15.2</v>
      </c>
      <c r="H685" t="n">
        <v>0</v>
      </c>
      <c r="I685" t="n">
        <v>0</v>
      </c>
      <c r="J685" t="n">
        <v>0</v>
      </c>
      <c r="K685" t="n">
        <v>0</v>
      </c>
      <c r="L685" t="n">
        <v>0</v>
      </c>
      <c r="M685" t="n">
        <v>0</v>
      </c>
      <c r="N685" t="n">
        <v>0</v>
      </c>
      <c r="O685" t="n">
        <v>0</v>
      </c>
      <c r="P685" t="n">
        <v>0</v>
      </c>
      <c r="Q685" t="n">
        <v>0</v>
      </c>
      <c r="R685" s="2" t="inlineStr"/>
    </row>
    <row r="686" ht="15" customHeight="1">
      <c r="A686" t="inlineStr">
        <is>
          <t>A 60954-2023</t>
        </is>
      </c>
      <c r="B686" s="1" t="n">
        <v>45261.45638888889</v>
      </c>
      <c r="C686" s="1" t="n">
        <v>45891</v>
      </c>
      <c r="D686" t="inlineStr">
        <is>
          <t>JÄMTLANDS LÄN</t>
        </is>
      </c>
      <c r="E686" t="inlineStr">
        <is>
          <t>BRÄCKE</t>
        </is>
      </c>
      <c r="G686" t="n">
        <v>8.4</v>
      </c>
      <c r="H686" t="n">
        <v>0</v>
      </c>
      <c r="I686" t="n">
        <v>0</v>
      </c>
      <c r="J686" t="n">
        <v>0</v>
      </c>
      <c r="K686" t="n">
        <v>0</v>
      </c>
      <c r="L686" t="n">
        <v>0</v>
      </c>
      <c r="M686" t="n">
        <v>0</v>
      </c>
      <c r="N686" t="n">
        <v>0</v>
      </c>
      <c r="O686" t="n">
        <v>0</v>
      </c>
      <c r="P686" t="n">
        <v>0</v>
      </c>
      <c r="Q686" t="n">
        <v>0</v>
      </c>
      <c r="R686" s="2" t="inlineStr"/>
    </row>
    <row r="687" ht="15" customHeight="1">
      <c r="A687" t="inlineStr">
        <is>
          <t>A 57011-2022</t>
        </is>
      </c>
      <c r="B687" s="1" t="n">
        <v>44894</v>
      </c>
      <c r="C687" s="1" t="n">
        <v>45891</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59419-2023</t>
        </is>
      </c>
      <c r="B688" s="1" t="n">
        <v>45253.96864583333</v>
      </c>
      <c r="C688" s="1" t="n">
        <v>45891</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63534-2023</t>
        </is>
      </c>
      <c r="B689" s="1" t="n">
        <v>45274.94905092593</v>
      </c>
      <c r="C689" s="1" t="n">
        <v>45891</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3239-2022</t>
        </is>
      </c>
      <c r="B690" s="1" t="n">
        <v>44582.93296296296</v>
      </c>
      <c r="C690" s="1" t="n">
        <v>45891</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24432-2024</t>
        </is>
      </c>
      <c r="B691" s="1" t="n">
        <v>45457.96054398148</v>
      </c>
      <c r="C691" s="1" t="n">
        <v>45891</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29821-2022</t>
        </is>
      </c>
      <c r="B692" s="1" t="n">
        <v>44755.94486111111</v>
      </c>
      <c r="C692" s="1" t="n">
        <v>45891</v>
      </c>
      <c r="D692" t="inlineStr">
        <is>
          <t>JÄMTLANDS LÄN</t>
        </is>
      </c>
      <c r="E692" t="inlineStr">
        <is>
          <t>BRÄCKE</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15243-2025</t>
        </is>
      </c>
      <c r="B693" s="1" t="n">
        <v>45744.61537037037</v>
      </c>
      <c r="C693" s="1" t="n">
        <v>45891</v>
      </c>
      <c r="D693" t="inlineStr">
        <is>
          <t>JÄMTLANDS LÄN</t>
        </is>
      </c>
      <c r="E693" t="inlineStr">
        <is>
          <t>BRÄCKE</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33998-2023</t>
        </is>
      </c>
      <c r="B694" s="1" t="n">
        <v>45134</v>
      </c>
      <c r="C694" s="1" t="n">
        <v>45891</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41313-2024</t>
        </is>
      </c>
      <c r="B695" s="1" t="n">
        <v>45559.6359837963</v>
      </c>
      <c r="C695" s="1" t="n">
        <v>45891</v>
      </c>
      <c r="D695" t="inlineStr">
        <is>
          <t>JÄMTLANDS LÄN</t>
        </is>
      </c>
      <c r="E695" t="inlineStr">
        <is>
          <t>BRÄCKE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6768-2023</t>
        </is>
      </c>
      <c r="B696" s="1" t="n">
        <v>44966.93079861111</v>
      </c>
      <c r="C696" s="1" t="n">
        <v>45891</v>
      </c>
      <c r="D696" t="inlineStr">
        <is>
          <t>JÄMTLANDS LÄN</t>
        </is>
      </c>
      <c r="E696" t="inlineStr">
        <is>
          <t>BRÄCKE</t>
        </is>
      </c>
      <c r="G696" t="n">
        <v>3.4</v>
      </c>
      <c r="H696" t="n">
        <v>0</v>
      </c>
      <c r="I696" t="n">
        <v>0</v>
      </c>
      <c r="J696" t="n">
        <v>0</v>
      </c>
      <c r="K696" t="n">
        <v>0</v>
      </c>
      <c r="L696" t="n">
        <v>0</v>
      </c>
      <c r="M696" t="n">
        <v>0</v>
      </c>
      <c r="N696" t="n">
        <v>0</v>
      </c>
      <c r="O696" t="n">
        <v>0</v>
      </c>
      <c r="P696" t="n">
        <v>0</v>
      </c>
      <c r="Q696" t="n">
        <v>0</v>
      </c>
      <c r="R696" s="2" t="inlineStr"/>
      <c r="U696">
        <f>HYPERLINK("https://klasma.github.io/Logging_2305/knärot/A 6768-2023 karta knärot.png", "A 6768-2023")</f>
        <v/>
      </c>
      <c r="V696">
        <f>HYPERLINK("https://klasma.github.io/Logging_2305/klagomål/A 6768-2023 FSC-klagomål.docx", "A 6768-2023")</f>
        <v/>
      </c>
      <c r="W696">
        <f>HYPERLINK("https://klasma.github.io/Logging_2305/klagomålsmail/A 6768-2023 FSC-klagomål mail.docx", "A 6768-2023")</f>
        <v/>
      </c>
      <c r="X696">
        <f>HYPERLINK("https://klasma.github.io/Logging_2305/tillsyn/A 6768-2023 tillsynsbegäran.docx", "A 6768-2023")</f>
        <v/>
      </c>
      <c r="Y696">
        <f>HYPERLINK("https://klasma.github.io/Logging_2305/tillsynsmail/A 6768-2023 tillsynsbegäran mail.docx", "A 6768-2023")</f>
        <v/>
      </c>
    </row>
    <row r="697" ht="15" customHeight="1">
      <c r="A697" t="inlineStr">
        <is>
          <t>A 38105-2024</t>
        </is>
      </c>
      <c r="B697" s="1" t="n">
        <v>45545.36538194444</v>
      </c>
      <c r="C697" s="1" t="n">
        <v>45891</v>
      </c>
      <c r="D697" t="inlineStr">
        <is>
          <t>JÄMTLANDS LÄN</t>
        </is>
      </c>
      <c r="E697" t="inlineStr">
        <is>
          <t>BRÄCKE</t>
        </is>
      </c>
      <c r="G697" t="n">
        <v>1</v>
      </c>
      <c r="H697" t="n">
        <v>0</v>
      </c>
      <c r="I697" t="n">
        <v>0</v>
      </c>
      <c r="J697" t="n">
        <v>0</v>
      </c>
      <c r="K697" t="n">
        <v>0</v>
      </c>
      <c r="L697" t="n">
        <v>0</v>
      </c>
      <c r="M697" t="n">
        <v>0</v>
      </c>
      <c r="N697" t="n">
        <v>0</v>
      </c>
      <c r="O697" t="n">
        <v>0</v>
      </c>
      <c r="P697" t="n">
        <v>0</v>
      </c>
      <c r="Q697" t="n">
        <v>0</v>
      </c>
      <c r="R697" s="2" t="inlineStr"/>
    </row>
    <row r="698" ht="15" customHeight="1">
      <c r="A698" t="inlineStr">
        <is>
          <t>A 53522-2023</t>
        </is>
      </c>
      <c r="B698" s="1" t="n">
        <v>45223</v>
      </c>
      <c r="C698" s="1" t="n">
        <v>45891</v>
      </c>
      <c r="D698" t="inlineStr">
        <is>
          <t>JÄMTLANDS LÄN</t>
        </is>
      </c>
      <c r="E698" t="inlineStr">
        <is>
          <t>BRÄCKE</t>
        </is>
      </c>
      <c r="G698" t="n">
        <v>1.4</v>
      </c>
      <c r="H698" t="n">
        <v>0</v>
      </c>
      <c r="I698" t="n">
        <v>0</v>
      </c>
      <c r="J698" t="n">
        <v>0</v>
      </c>
      <c r="K698" t="n">
        <v>0</v>
      </c>
      <c r="L698" t="n">
        <v>0</v>
      </c>
      <c r="M698" t="n">
        <v>0</v>
      </c>
      <c r="N698" t="n">
        <v>0</v>
      </c>
      <c r="O698" t="n">
        <v>0</v>
      </c>
      <c r="P698" t="n">
        <v>0</v>
      </c>
      <c r="Q698" t="n">
        <v>0</v>
      </c>
      <c r="R698" s="2" t="inlineStr"/>
    </row>
    <row r="699" ht="15" customHeight="1">
      <c r="A699" t="inlineStr">
        <is>
          <t>A 23640-2024</t>
        </is>
      </c>
      <c r="B699" s="1" t="n">
        <v>45454.49516203703</v>
      </c>
      <c r="C699" s="1" t="n">
        <v>45891</v>
      </c>
      <c r="D699" t="inlineStr">
        <is>
          <t>JÄMTLANDS LÄN</t>
        </is>
      </c>
      <c r="E699" t="inlineStr">
        <is>
          <t>BRÄCKE</t>
        </is>
      </c>
      <c r="G699" t="n">
        <v>19.4</v>
      </c>
      <c r="H699" t="n">
        <v>0</v>
      </c>
      <c r="I699" t="n">
        <v>0</v>
      </c>
      <c r="J699" t="n">
        <v>0</v>
      </c>
      <c r="K699" t="n">
        <v>0</v>
      </c>
      <c r="L699" t="n">
        <v>0</v>
      </c>
      <c r="M699" t="n">
        <v>0</v>
      </c>
      <c r="N699" t="n">
        <v>0</v>
      </c>
      <c r="O699" t="n">
        <v>0</v>
      </c>
      <c r="P699" t="n">
        <v>0</v>
      </c>
      <c r="Q699" t="n">
        <v>0</v>
      </c>
      <c r="R699" s="2" t="inlineStr"/>
    </row>
    <row r="700" ht="15" customHeight="1">
      <c r="A700" t="inlineStr">
        <is>
          <t>A 60666-2024</t>
        </is>
      </c>
      <c r="B700" s="1" t="n">
        <v>45644.44833333333</v>
      </c>
      <c r="C700" s="1" t="n">
        <v>45891</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64037-2023</t>
        </is>
      </c>
      <c r="B701" s="1" t="n">
        <v>45278.94344907408</v>
      </c>
      <c r="C701" s="1" t="n">
        <v>45891</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54568-2022</t>
        </is>
      </c>
      <c r="B702" s="1" t="n">
        <v>44882.95480324074</v>
      </c>
      <c r="C702" s="1" t="n">
        <v>45891</v>
      </c>
      <c r="D702" t="inlineStr">
        <is>
          <t>JÄMTLANDS LÄN</t>
        </is>
      </c>
      <c r="E702" t="inlineStr">
        <is>
          <t>BRÄCKE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58491-2024</t>
        </is>
      </c>
      <c r="B703" s="1" t="n">
        <v>45635.40408564815</v>
      </c>
      <c r="C703" s="1" t="n">
        <v>45891</v>
      </c>
      <c r="D703" t="inlineStr">
        <is>
          <t>JÄMTLANDS LÄN</t>
        </is>
      </c>
      <c r="E703" t="inlineStr">
        <is>
          <t>BRÄCKE</t>
        </is>
      </c>
      <c r="G703" t="n">
        <v>0.6</v>
      </c>
      <c r="H703" t="n">
        <v>0</v>
      </c>
      <c r="I703" t="n">
        <v>0</v>
      </c>
      <c r="J703" t="n">
        <v>0</v>
      </c>
      <c r="K703" t="n">
        <v>0</v>
      </c>
      <c r="L703" t="n">
        <v>0</v>
      </c>
      <c r="M703" t="n">
        <v>0</v>
      </c>
      <c r="N703" t="n">
        <v>0</v>
      </c>
      <c r="O703" t="n">
        <v>0</v>
      </c>
      <c r="P703" t="n">
        <v>0</v>
      </c>
      <c r="Q703" t="n">
        <v>0</v>
      </c>
      <c r="R703" s="2" t="inlineStr"/>
    </row>
    <row r="704" ht="15" customHeight="1">
      <c r="A704" t="inlineStr">
        <is>
          <t>A 25934-2024</t>
        </is>
      </c>
      <c r="B704" s="1" t="n">
        <v>45467.62287037037</v>
      </c>
      <c r="C704" s="1" t="n">
        <v>45891</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36497-2023</t>
        </is>
      </c>
      <c r="B705" s="1" t="n">
        <v>45152</v>
      </c>
      <c r="C705" s="1" t="n">
        <v>45891</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27256-2021</t>
        </is>
      </c>
      <c r="B706" s="1" t="n">
        <v>44350</v>
      </c>
      <c r="C706" s="1" t="n">
        <v>45891</v>
      </c>
      <c r="D706" t="inlineStr">
        <is>
          <t>JÄMTLANDS LÄN</t>
        </is>
      </c>
      <c r="E706" t="inlineStr">
        <is>
          <t>BRÄCKE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16466-2024</t>
        </is>
      </c>
      <c r="B707" s="1" t="n">
        <v>45408.050625</v>
      </c>
      <c r="C707" s="1" t="n">
        <v>45891</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13083-2025</t>
        </is>
      </c>
      <c r="B708" s="1" t="n">
        <v>45734</v>
      </c>
      <c r="C708" s="1" t="n">
        <v>45891</v>
      </c>
      <c r="D708" t="inlineStr">
        <is>
          <t>JÄMTLANDS LÄN</t>
        </is>
      </c>
      <c r="E708" t="inlineStr">
        <is>
          <t>BRÄCKE</t>
        </is>
      </c>
      <c r="G708" t="n">
        <v>5.7</v>
      </c>
      <c r="H708" t="n">
        <v>0</v>
      </c>
      <c r="I708" t="n">
        <v>0</v>
      </c>
      <c r="J708" t="n">
        <v>0</v>
      </c>
      <c r="K708" t="n">
        <v>0</v>
      </c>
      <c r="L708" t="n">
        <v>0</v>
      </c>
      <c r="M708" t="n">
        <v>0</v>
      </c>
      <c r="N708" t="n">
        <v>0</v>
      </c>
      <c r="O708" t="n">
        <v>0</v>
      </c>
      <c r="P708" t="n">
        <v>0</v>
      </c>
      <c r="Q708" t="n">
        <v>0</v>
      </c>
      <c r="R708" s="2" t="inlineStr"/>
    </row>
    <row r="709" ht="15" customHeight="1">
      <c r="A709" t="inlineStr">
        <is>
          <t>A 4887-2025</t>
        </is>
      </c>
      <c r="B709" s="1" t="n">
        <v>45688.67800925926</v>
      </c>
      <c r="C709" s="1" t="n">
        <v>45891</v>
      </c>
      <c r="D709" t="inlineStr">
        <is>
          <t>JÄMTLANDS LÄN</t>
        </is>
      </c>
      <c r="E709" t="inlineStr">
        <is>
          <t>BRÄCKE</t>
        </is>
      </c>
      <c r="F709" t="inlineStr">
        <is>
          <t>SCA</t>
        </is>
      </c>
      <c r="G709" t="n">
        <v>9.4</v>
      </c>
      <c r="H709" t="n">
        <v>0</v>
      </c>
      <c r="I709" t="n">
        <v>0</v>
      </c>
      <c r="J709" t="n">
        <v>0</v>
      </c>
      <c r="K709" t="n">
        <v>0</v>
      </c>
      <c r="L709" t="n">
        <v>0</v>
      </c>
      <c r="M709" t="n">
        <v>0</v>
      </c>
      <c r="N709" t="n">
        <v>0</v>
      </c>
      <c r="O709" t="n">
        <v>0</v>
      </c>
      <c r="P709" t="n">
        <v>0</v>
      </c>
      <c r="Q709" t="n">
        <v>0</v>
      </c>
      <c r="R709" s="2" t="inlineStr"/>
    </row>
    <row r="710" ht="15" customHeight="1">
      <c r="A710" t="inlineStr">
        <is>
          <t>A 58082-2023</t>
        </is>
      </c>
      <c r="B710" s="1" t="n">
        <v>45247.96538194444</v>
      </c>
      <c r="C710" s="1" t="n">
        <v>45891</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63716-2023</t>
        </is>
      </c>
      <c r="B711" s="1" t="n">
        <v>45275</v>
      </c>
      <c r="C711" s="1" t="n">
        <v>45891</v>
      </c>
      <c r="D711" t="inlineStr">
        <is>
          <t>JÄMTLANDS LÄN</t>
        </is>
      </c>
      <c r="E711" t="inlineStr">
        <is>
          <t>BRÄCKE</t>
        </is>
      </c>
      <c r="G711" t="n">
        <v>1.1</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44384.59356481482</v>
      </c>
      <c r="C712" s="1" t="n">
        <v>45891</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26910-2024</t>
        </is>
      </c>
      <c r="B713" s="1" t="n">
        <v>45470.76403935185</v>
      </c>
      <c r="C713" s="1" t="n">
        <v>45891</v>
      </c>
      <c r="D713" t="inlineStr">
        <is>
          <t>JÄMTLANDS LÄN</t>
        </is>
      </c>
      <c r="E713" t="inlineStr">
        <is>
          <t>BRÄCKE</t>
        </is>
      </c>
      <c r="G713" t="n">
        <v>1.4</v>
      </c>
      <c r="H713" t="n">
        <v>0</v>
      </c>
      <c r="I713" t="n">
        <v>0</v>
      </c>
      <c r="J713" t="n">
        <v>0</v>
      </c>
      <c r="K713" t="n">
        <v>0</v>
      </c>
      <c r="L713" t="n">
        <v>0</v>
      </c>
      <c r="M713" t="n">
        <v>0</v>
      </c>
      <c r="N713" t="n">
        <v>0</v>
      </c>
      <c r="O713" t="n">
        <v>0</v>
      </c>
      <c r="P713" t="n">
        <v>0</v>
      </c>
      <c r="Q713" t="n">
        <v>0</v>
      </c>
      <c r="R713" s="2" t="inlineStr"/>
    </row>
    <row r="714" ht="15" customHeight="1">
      <c r="A714" t="inlineStr">
        <is>
          <t>A 51378-2024</t>
        </is>
      </c>
      <c r="B714" s="1" t="n">
        <v>45604.38572916666</v>
      </c>
      <c r="C714" s="1" t="n">
        <v>45891</v>
      </c>
      <c r="D714" t="inlineStr">
        <is>
          <t>JÄMTLANDS LÄN</t>
        </is>
      </c>
      <c r="E714" t="inlineStr">
        <is>
          <t>BRÄCKE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49727-2023</t>
        </is>
      </c>
      <c r="B715" s="1" t="n">
        <v>45208</v>
      </c>
      <c r="C715" s="1" t="n">
        <v>45891</v>
      </c>
      <c r="D715" t="inlineStr">
        <is>
          <t>JÄMTLANDS LÄN</t>
        </is>
      </c>
      <c r="E715" t="inlineStr">
        <is>
          <t>BRÄCKE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22459-2024</t>
        </is>
      </c>
      <c r="B716" s="1" t="n">
        <v>45446.94972222222</v>
      </c>
      <c r="C716" s="1" t="n">
        <v>45891</v>
      </c>
      <c r="D716" t="inlineStr">
        <is>
          <t>JÄMTLANDS LÄN</t>
        </is>
      </c>
      <c r="E716" t="inlineStr">
        <is>
          <t>BRÄCKE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45577-2023</t>
        </is>
      </c>
      <c r="B717" s="1" t="n">
        <v>45194</v>
      </c>
      <c r="C717" s="1" t="n">
        <v>45891</v>
      </c>
      <c r="D717" t="inlineStr">
        <is>
          <t>JÄMTLANDS LÄN</t>
        </is>
      </c>
      <c r="E717" t="inlineStr">
        <is>
          <t>BRÄCKE</t>
        </is>
      </c>
      <c r="G717" t="n">
        <v>2.6</v>
      </c>
      <c r="H717" t="n">
        <v>0</v>
      </c>
      <c r="I717" t="n">
        <v>0</v>
      </c>
      <c r="J717" t="n">
        <v>0</v>
      </c>
      <c r="K717" t="n">
        <v>0</v>
      </c>
      <c r="L717" t="n">
        <v>0</v>
      </c>
      <c r="M717" t="n">
        <v>0</v>
      </c>
      <c r="N717" t="n">
        <v>0</v>
      </c>
      <c r="O717" t="n">
        <v>0</v>
      </c>
      <c r="P717" t="n">
        <v>0</v>
      </c>
      <c r="Q717" t="n">
        <v>0</v>
      </c>
      <c r="R717" s="2" t="inlineStr"/>
    </row>
    <row r="718" ht="15" customHeight="1">
      <c r="A718" t="inlineStr">
        <is>
          <t>A 14266-2025</t>
        </is>
      </c>
      <c r="B718" s="1" t="n">
        <v>45740.63572916666</v>
      </c>
      <c r="C718" s="1" t="n">
        <v>45891</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8253-2024</t>
        </is>
      </c>
      <c r="B719" s="1" t="n">
        <v>45350</v>
      </c>
      <c r="C719" s="1" t="n">
        <v>45891</v>
      </c>
      <c r="D719" t="inlineStr">
        <is>
          <t>JÄMTLANDS LÄN</t>
        </is>
      </c>
      <c r="E719" t="inlineStr">
        <is>
          <t>BRÄCKE</t>
        </is>
      </c>
      <c r="G719" t="n">
        <v>3.7</v>
      </c>
      <c r="H719" t="n">
        <v>0</v>
      </c>
      <c r="I719" t="n">
        <v>0</v>
      </c>
      <c r="J719" t="n">
        <v>0</v>
      </c>
      <c r="K719" t="n">
        <v>0</v>
      </c>
      <c r="L719" t="n">
        <v>0</v>
      </c>
      <c r="M719" t="n">
        <v>0</v>
      </c>
      <c r="N719" t="n">
        <v>0</v>
      </c>
      <c r="O719" t="n">
        <v>0</v>
      </c>
      <c r="P719" t="n">
        <v>0</v>
      </c>
      <c r="Q719" t="n">
        <v>0</v>
      </c>
      <c r="R719" s="2" t="inlineStr"/>
    </row>
    <row r="720" ht="15" customHeight="1">
      <c r="A720" t="inlineStr">
        <is>
          <t>A 23771-2023</t>
        </is>
      </c>
      <c r="B720" s="1" t="n">
        <v>45077</v>
      </c>
      <c r="C720" s="1" t="n">
        <v>45891</v>
      </c>
      <c r="D720" t="inlineStr">
        <is>
          <t>JÄMTLANDS LÄN</t>
        </is>
      </c>
      <c r="E720" t="inlineStr">
        <is>
          <t>BRÄCKE</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3248-2025</t>
        </is>
      </c>
      <c r="B721" s="1" t="n">
        <v>45679.53173611111</v>
      </c>
      <c r="C721" s="1" t="n">
        <v>45891</v>
      </c>
      <c r="D721" t="inlineStr">
        <is>
          <t>JÄMTLANDS LÄN</t>
        </is>
      </c>
      <c r="E721" t="inlineStr">
        <is>
          <t>BRÄCKE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4915-2025</t>
        </is>
      </c>
      <c r="B722" s="1" t="n">
        <v>45688.68184027778</v>
      </c>
      <c r="C722" s="1" t="n">
        <v>45891</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55663-2023</t>
        </is>
      </c>
      <c r="B723" s="1" t="n">
        <v>45238.96738425926</v>
      </c>
      <c r="C723" s="1" t="n">
        <v>45891</v>
      </c>
      <c r="D723" t="inlineStr">
        <is>
          <t>JÄMTLANDS LÄN</t>
        </is>
      </c>
      <c r="E723" t="inlineStr">
        <is>
          <t>BRÄCKE</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24307-2024</t>
        </is>
      </c>
      <c r="B724" s="1" t="n">
        <v>45457.49471064815</v>
      </c>
      <c r="C724" s="1" t="n">
        <v>45891</v>
      </c>
      <c r="D724" t="inlineStr">
        <is>
          <t>JÄMTLANDS LÄN</t>
        </is>
      </c>
      <c r="E724" t="inlineStr">
        <is>
          <t>BRÄCKE</t>
        </is>
      </c>
      <c r="G724" t="n">
        <v>19</v>
      </c>
      <c r="H724" t="n">
        <v>0</v>
      </c>
      <c r="I724" t="n">
        <v>0</v>
      </c>
      <c r="J724" t="n">
        <v>0</v>
      </c>
      <c r="K724" t="n">
        <v>0</v>
      </c>
      <c r="L724" t="n">
        <v>0</v>
      </c>
      <c r="M724" t="n">
        <v>0</v>
      </c>
      <c r="N724" t="n">
        <v>0</v>
      </c>
      <c r="O724" t="n">
        <v>0</v>
      </c>
      <c r="P724" t="n">
        <v>0</v>
      </c>
      <c r="Q724" t="n">
        <v>0</v>
      </c>
      <c r="R724" s="2" t="inlineStr"/>
    </row>
    <row r="725" ht="15" customHeight="1">
      <c r="A725" t="inlineStr">
        <is>
          <t>A 19615-2025</t>
        </is>
      </c>
      <c r="B725" s="1" t="n">
        <v>45770.61519675926</v>
      </c>
      <c r="C725" s="1" t="n">
        <v>45891</v>
      </c>
      <c r="D725" t="inlineStr">
        <is>
          <t>JÄMTLANDS LÄN</t>
        </is>
      </c>
      <c r="E725" t="inlineStr">
        <is>
          <t>BRÄCKE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25413-2024</t>
        </is>
      </c>
      <c r="B726" s="1" t="n">
        <v>45462</v>
      </c>
      <c r="C726" s="1" t="n">
        <v>45891</v>
      </c>
      <c r="D726" t="inlineStr">
        <is>
          <t>JÄMTLANDS LÄN</t>
        </is>
      </c>
      <c r="E726" t="inlineStr">
        <is>
          <t>BRÄCKE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31558-2024</t>
        </is>
      </c>
      <c r="B727" s="1" t="n">
        <v>45505</v>
      </c>
      <c r="C727" s="1" t="n">
        <v>45891</v>
      </c>
      <c r="D727" t="inlineStr">
        <is>
          <t>JÄMTLANDS LÄN</t>
        </is>
      </c>
      <c r="E727" t="inlineStr">
        <is>
          <t>BRÄCKE</t>
        </is>
      </c>
      <c r="G727" t="n">
        <v>1.1</v>
      </c>
      <c r="H727" t="n">
        <v>0</v>
      </c>
      <c r="I727" t="n">
        <v>0</v>
      </c>
      <c r="J727" t="n">
        <v>0</v>
      </c>
      <c r="K727" t="n">
        <v>0</v>
      </c>
      <c r="L727" t="n">
        <v>0</v>
      </c>
      <c r="M727" t="n">
        <v>0</v>
      </c>
      <c r="N727" t="n">
        <v>0</v>
      </c>
      <c r="O727" t="n">
        <v>0</v>
      </c>
      <c r="P727" t="n">
        <v>0</v>
      </c>
      <c r="Q727" t="n">
        <v>0</v>
      </c>
      <c r="R727" s="2" t="inlineStr"/>
    </row>
    <row r="728" ht="15" customHeight="1">
      <c r="A728" t="inlineStr">
        <is>
          <t>A 57473-2024</t>
        </is>
      </c>
      <c r="B728" s="1" t="n">
        <v>45630.34438657408</v>
      </c>
      <c r="C728" s="1" t="n">
        <v>45891</v>
      </c>
      <c r="D728" t="inlineStr">
        <is>
          <t>JÄMTLANDS LÄN</t>
        </is>
      </c>
      <c r="E728" t="inlineStr">
        <is>
          <t>BRÄCKE</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51416-2024</t>
        </is>
      </c>
      <c r="B729" s="1" t="n">
        <v>45604.44829861111</v>
      </c>
      <c r="C729" s="1" t="n">
        <v>45891</v>
      </c>
      <c r="D729" t="inlineStr">
        <is>
          <t>JÄMTLANDS LÄN</t>
        </is>
      </c>
      <c r="E729" t="inlineStr">
        <is>
          <t>BRÄCKE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73106-2021</t>
        </is>
      </c>
      <c r="B730" s="1" t="n">
        <v>44550.45646990741</v>
      </c>
      <c r="C730" s="1" t="n">
        <v>45891</v>
      </c>
      <c r="D730" t="inlineStr">
        <is>
          <t>JÄMTLANDS LÄN</t>
        </is>
      </c>
      <c r="E730" t="inlineStr">
        <is>
          <t>BRÄCKE</t>
        </is>
      </c>
      <c r="F730" t="inlineStr">
        <is>
          <t>Sveaskog</t>
        </is>
      </c>
      <c r="G730" t="n">
        <v>5.4</v>
      </c>
      <c r="H730" t="n">
        <v>0</v>
      </c>
      <c r="I730" t="n">
        <v>0</v>
      </c>
      <c r="J730" t="n">
        <v>0</v>
      </c>
      <c r="K730" t="n">
        <v>0</v>
      </c>
      <c r="L730" t="n">
        <v>0</v>
      </c>
      <c r="M730" t="n">
        <v>0</v>
      </c>
      <c r="N730" t="n">
        <v>0</v>
      </c>
      <c r="O730" t="n">
        <v>0</v>
      </c>
      <c r="P730" t="n">
        <v>0</v>
      </c>
      <c r="Q730" t="n">
        <v>0</v>
      </c>
      <c r="R730" s="2" t="inlineStr"/>
    </row>
    <row r="731" ht="15" customHeight="1">
      <c r="A731" t="inlineStr">
        <is>
          <t>A 3737-2025</t>
        </is>
      </c>
      <c r="B731" s="1" t="n">
        <v>45681.57335648148</v>
      </c>
      <c r="C731" s="1" t="n">
        <v>45891</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52714-2022</t>
        </is>
      </c>
      <c r="B732" s="1" t="n">
        <v>44874.95511574074</v>
      </c>
      <c r="C732" s="1" t="n">
        <v>45891</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58848-2024</t>
        </is>
      </c>
      <c r="B733" s="1" t="n">
        <v>45636.38657407407</v>
      </c>
      <c r="C733" s="1" t="n">
        <v>45891</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62249-2021</t>
        </is>
      </c>
      <c r="B734" s="1" t="n">
        <v>44503</v>
      </c>
      <c r="C734" s="1" t="n">
        <v>45891</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52712-2022</t>
        </is>
      </c>
      <c r="B735" s="1" t="n">
        <v>44874</v>
      </c>
      <c r="C735" s="1" t="n">
        <v>45891</v>
      </c>
      <c r="D735" t="inlineStr">
        <is>
          <t>JÄMTLANDS LÄN</t>
        </is>
      </c>
      <c r="E735" t="inlineStr">
        <is>
          <t>BRÄCKE</t>
        </is>
      </c>
      <c r="F735" t="inlineStr">
        <is>
          <t>SCA</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52713-2022</t>
        </is>
      </c>
      <c r="B736" s="1" t="n">
        <v>44874.95504629629</v>
      </c>
      <c r="C736" s="1" t="n">
        <v>45891</v>
      </c>
      <c r="D736" t="inlineStr">
        <is>
          <t>JÄMTLANDS LÄN</t>
        </is>
      </c>
      <c r="E736" t="inlineStr">
        <is>
          <t>BRÄCKE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46597-2022</t>
        </is>
      </c>
      <c r="B737" s="1" t="n">
        <v>44848</v>
      </c>
      <c r="C737" s="1" t="n">
        <v>45891</v>
      </c>
      <c r="D737" t="inlineStr">
        <is>
          <t>JÄMTLANDS LÄN</t>
        </is>
      </c>
      <c r="E737" t="inlineStr">
        <is>
          <t>BRÄCKE</t>
        </is>
      </c>
      <c r="G737" t="n">
        <v>5.5</v>
      </c>
      <c r="H737" t="n">
        <v>0</v>
      </c>
      <c r="I737" t="n">
        <v>0</v>
      </c>
      <c r="J737" t="n">
        <v>0</v>
      </c>
      <c r="K737" t="n">
        <v>0</v>
      </c>
      <c r="L737" t="n">
        <v>0</v>
      </c>
      <c r="M737" t="n">
        <v>0</v>
      </c>
      <c r="N737" t="n">
        <v>0</v>
      </c>
      <c r="O737" t="n">
        <v>0</v>
      </c>
      <c r="P737" t="n">
        <v>0</v>
      </c>
      <c r="Q737" t="n">
        <v>0</v>
      </c>
      <c r="R737" s="2" t="inlineStr"/>
    </row>
    <row r="738" ht="15" customHeight="1">
      <c r="A738" t="inlineStr">
        <is>
          <t>A 54243-2022</t>
        </is>
      </c>
      <c r="B738" s="1" t="n">
        <v>44881</v>
      </c>
      <c r="C738" s="1" t="n">
        <v>45891</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20100-2023</t>
        </is>
      </c>
      <c r="B739" s="1" t="n">
        <v>45054.94239583334</v>
      </c>
      <c r="C739" s="1" t="n">
        <v>45891</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20101-2023</t>
        </is>
      </c>
      <c r="B740" s="1" t="n">
        <v>45054.94247685185</v>
      </c>
      <c r="C740" s="1" t="n">
        <v>45891</v>
      </c>
      <c r="D740" t="inlineStr">
        <is>
          <t>JÄMTLANDS LÄN</t>
        </is>
      </c>
      <c r="E740" t="inlineStr">
        <is>
          <t>BRÄCKE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44841-2024</t>
        </is>
      </c>
      <c r="B741" s="1" t="n">
        <v>45574.71900462963</v>
      </c>
      <c r="C741" s="1" t="n">
        <v>45891</v>
      </c>
      <c r="D741" t="inlineStr">
        <is>
          <t>JÄMTLANDS LÄN</t>
        </is>
      </c>
      <c r="E741" t="inlineStr">
        <is>
          <t>BRÄCKE</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37173-2024</t>
        </is>
      </c>
      <c r="B742" s="1" t="n">
        <v>45539.63597222222</v>
      </c>
      <c r="C742" s="1" t="n">
        <v>45891</v>
      </c>
      <c r="D742" t="inlineStr">
        <is>
          <t>JÄMTLANDS LÄN</t>
        </is>
      </c>
      <c r="E742" t="inlineStr">
        <is>
          <t>BRÄCKE</t>
        </is>
      </c>
      <c r="G742" t="n">
        <v>3.8</v>
      </c>
      <c r="H742" t="n">
        <v>0</v>
      </c>
      <c r="I742" t="n">
        <v>0</v>
      </c>
      <c r="J742" t="n">
        <v>0</v>
      </c>
      <c r="K742" t="n">
        <v>0</v>
      </c>
      <c r="L742" t="n">
        <v>0</v>
      </c>
      <c r="M742" t="n">
        <v>0</v>
      </c>
      <c r="N742" t="n">
        <v>0</v>
      </c>
      <c r="O742" t="n">
        <v>0</v>
      </c>
      <c r="P742" t="n">
        <v>0</v>
      </c>
      <c r="Q742" t="n">
        <v>0</v>
      </c>
      <c r="R742" s="2" t="inlineStr"/>
    </row>
    <row r="743" ht="15" customHeight="1">
      <c r="A743" t="inlineStr">
        <is>
          <t>A 41418-2024</t>
        </is>
      </c>
      <c r="B743" s="1" t="n">
        <v>45560.34599537037</v>
      </c>
      <c r="C743" s="1" t="n">
        <v>45891</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41419-2024</t>
        </is>
      </c>
      <c r="B744" s="1" t="n">
        <v>45560</v>
      </c>
      <c r="C744" s="1" t="n">
        <v>45891</v>
      </c>
      <c r="D744" t="inlineStr">
        <is>
          <t>JÄMTLANDS LÄN</t>
        </is>
      </c>
      <c r="E744" t="inlineStr">
        <is>
          <t>BRÄCKE</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52723-2023</t>
        </is>
      </c>
      <c r="B745" s="1" t="n">
        <v>45225</v>
      </c>
      <c r="C745" s="1" t="n">
        <v>45891</v>
      </c>
      <c r="D745" t="inlineStr">
        <is>
          <t>JÄMTLANDS LÄN</t>
        </is>
      </c>
      <c r="E745" t="inlineStr">
        <is>
          <t>BRÄCKE</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40775-2023</t>
        </is>
      </c>
      <c r="B746" s="1" t="n">
        <v>45170.95685185185</v>
      </c>
      <c r="C746" s="1" t="n">
        <v>45891</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12063-2023</t>
        </is>
      </c>
      <c r="B747" s="1" t="n">
        <v>44996</v>
      </c>
      <c r="C747" s="1" t="n">
        <v>45891</v>
      </c>
      <c r="D747" t="inlineStr">
        <is>
          <t>JÄMTLANDS LÄN</t>
        </is>
      </c>
      <c r="E747" t="inlineStr">
        <is>
          <t>BRÄCKE</t>
        </is>
      </c>
      <c r="G747" t="n">
        <v>7.1</v>
      </c>
      <c r="H747" t="n">
        <v>0</v>
      </c>
      <c r="I747" t="n">
        <v>0</v>
      </c>
      <c r="J747" t="n">
        <v>0</v>
      </c>
      <c r="K747" t="n">
        <v>0</v>
      </c>
      <c r="L747" t="n">
        <v>0</v>
      </c>
      <c r="M747" t="n">
        <v>0</v>
      </c>
      <c r="N747" t="n">
        <v>0</v>
      </c>
      <c r="O747" t="n">
        <v>0</v>
      </c>
      <c r="P747" t="n">
        <v>0</v>
      </c>
      <c r="Q747" t="n">
        <v>0</v>
      </c>
      <c r="R747" s="2" t="inlineStr"/>
    </row>
    <row r="748" ht="15" customHeight="1">
      <c r="A748" t="inlineStr">
        <is>
          <t>A 55436-2024</t>
        </is>
      </c>
      <c r="B748" s="1" t="n">
        <v>45622.4022337963</v>
      </c>
      <c r="C748" s="1" t="n">
        <v>45891</v>
      </c>
      <c r="D748" t="inlineStr">
        <is>
          <t>JÄMTLANDS LÄN</t>
        </is>
      </c>
      <c r="E748" t="inlineStr">
        <is>
          <t>BRÄCKE</t>
        </is>
      </c>
      <c r="G748" t="n">
        <v>1.9</v>
      </c>
      <c r="H748" t="n">
        <v>0</v>
      </c>
      <c r="I748" t="n">
        <v>0</v>
      </c>
      <c r="J748" t="n">
        <v>0</v>
      </c>
      <c r="K748" t="n">
        <v>0</v>
      </c>
      <c r="L748" t="n">
        <v>0</v>
      </c>
      <c r="M748" t="n">
        <v>0</v>
      </c>
      <c r="N748" t="n">
        <v>0</v>
      </c>
      <c r="O748" t="n">
        <v>0</v>
      </c>
      <c r="P748" t="n">
        <v>0</v>
      </c>
      <c r="Q748" t="n">
        <v>0</v>
      </c>
      <c r="R748" s="2" t="inlineStr"/>
    </row>
    <row r="749" ht="15" customHeight="1">
      <c r="A749" t="inlineStr">
        <is>
          <t>A 30488-2024</t>
        </is>
      </c>
      <c r="B749" s="1" t="n">
        <v>45491.95037037037</v>
      </c>
      <c r="C749" s="1" t="n">
        <v>45891</v>
      </c>
      <c r="D749" t="inlineStr">
        <is>
          <t>JÄMTLANDS LÄN</t>
        </is>
      </c>
      <c r="E749" t="inlineStr">
        <is>
          <t>BRÄCKE</t>
        </is>
      </c>
      <c r="F749" t="inlineStr">
        <is>
          <t>Naturvårdsverket</t>
        </is>
      </c>
      <c r="G749" t="n">
        <v>3.7</v>
      </c>
      <c r="H749" t="n">
        <v>0</v>
      </c>
      <c r="I749" t="n">
        <v>0</v>
      </c>
      <c r="J749" t="n">
        <v>0</v>
      </c>
      <c r="K749" t="n">
        <v>0</v>
      </c>
      <c r="L749" t="n">
        <v>0</v>
      </c>
      <c r="M749" t="n">
        <v>0</v>
      </c>
      <c r="N749" t="n">
        <v>0</v>
      </c>
      <c r="O749" t="n">
        <v>0</v>
      </c>
      <c r="P749" t="n">
        <v>0</v>
      </c>
      <c r="Q749" t="n">
        <v>0</v>
      </c>
      <c r="R749" s="2" t="inlineStr"/>
    </row>
    <row r="750" ht="15" customHeight="1">
      <c r="A750" t="inlineStr">
        <is>
          <t>A 8865-2023</t>
        </is>
      </c>
      <c r="B750" s="1" t="n">
        <v>44978</v>
      </c>
      <c r="C750" s="1" t="n">
        <v>45891</v>
      </c>
      <c r="D750" t="inlineStr">
        <is>
          <t>JÄMTLANDS LÄN</t>
        </is>
      </c>
      <c r="E750" t="inlineStr">
        <is>
          <t>BRÄCKE</t>
        </is>
      </c>
      <c r="G750" t="n">
        <v>2.9</v>
      </c>
      <c r="H750" t="n">
        <v>0</v>
      </c>
      <c r="I750" t="n">
        <v>0</v>
      </c>
      <c r="J750" t="n">
        <v>0</v>
      </c>
      <c r="K750" t="n">
        <v>0</v>
      </c>
      <c r="L750" t="n">
        <v>0</v>
      </c>
      <c r="M750" t="n">
        <v>0</v>
      </c>
      <c r="N750" t="n">
        <v>0</v>
      </c>
      <c r="O750" t="n">
        <v>0</v>
      </c>
      <c r="P750" t="n">
        <v>0</v>
      </c>
      <c r="Q750" t="n">
        <v>0</v>
      </c>
      <c r="R750" s="2" t="inlineStr"/>
    </row>
    <row r="751" ht="15" customHeight="1">
      <c r="A751" t="inlineStr">
        <is>
          <t>A 20756-2025</t>
        </is>
      </c>
      <c r="B751" s="1" t="n">
        <v>45776.57333333333</v>
      </c>
      <c r="C751" s="1" t="n">
        <v>45891</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14373-2024</t>
        </is>
      </c>
      <c r="B752" s="1" t="n">
        <v>45393</v>
      </c>
      <c r="C752" s="1" t="n">
        <v>45891</v>
      </c>
      <c r="D752" t="inlineStr">
        <is>
          <t>JÄMTLANDS LÄN</t>
        </is>
      </c>
      <c r="E752" t="inlineStr">
        <is>
          <t>BRÄCKE</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20778-2025</t>
        </is>
      </c>
      <c r="B753" s="1" t="n">
        <v>45776.59439814815</v>
      </c>
      <c r="C753" s="1" t="n">
        <v>45891</v>
      </c>
      <c r="D753" t="inlineStr">
        <is>
          <t>JÄMTLANDS LÄN</t>
        </is>
      </c>
      <c r="E753" t="inlineStr">
        <is>
          <t>BRÄCKE</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29130-2024</t>
        </is>
      </c>
      <c r="B754" s="1" t="n">
        <v>45482.35856481481</v>
      </c>
      <c r="C754" s="1" t="n">
        <v>45891</v>
      </c>
      <c r="D754" t="inlineStr">
        <is>
          <t>JÄMTLANDS LÄN</t>
        </is>
      </c>
      <c r="E754" t="inlineStr">
        <is>
          <t>BRÄCKE</t>
        </is>
      </c>
      <c r="F754" t="inlineStr">
        <is>
          <t>Övriga Aktiebolag</t>
        </is>
      </c>
      <c r="G754" t="n">
        <v>1.2</v>
      </c>
      <c r="H754" t="n">
        <v>0</v>
      </c>
      <c r="I754" t="n">
        <v>0</v>
      </c>
      <c r="J754" t="n">
        <v>0</v>
      </c>
      <c r="K754" t="n">
        <v>0</v>
      </c>
      <c r="L754" t="n">
        <v>0</v>
      </c>
      <c r="M754" t="n">
        <v>0</v>
      </c>
      <c r="N754" t="n">
        <v>0</v>
      </c>
      <c r="O754" t="n">
        <v>0</v>
      </c>
      <c r="P754" t="n">
        <v>0</v>
      </c>
      <c r="Q754" t="n">
        <v>0</v>
      </c>
      <c r="R754" s="2" t="inlineStr"/>
    </row>
    <row r="755" ht="15" customHeight="1">
      <c r="A755" t="inlineStr">
        <is>
          <t>A 20870-2025</t>
        </is>
      </c>
      <c r="B755" s="1" t="n">
        <v>45777.34517361111</v>
      </c>
      <c r="C755" s="1" t="n">
        <v>45891</v>
      </c>
      <c r="D755" t="inlineStr">
        <is>
          <t>JÄMTLANDS LÄN</t>
        </is>
      </c>
      <c r="E755" t="inlineStr">
        <is>
          <t>BRÄCKE</t>
        </is>
      </c>
      <c r="F755" t="inlineStr">
        <is>
          <t>SCA</t>
        </is>
      </c>
      <c r="G755" t="n">
        <v>8.5</v>
      </c>
      <c r="H755" t="n">
        <v>0</v>
      </c>
      <c r="I755" t="n">
        <v>0</v>
      </c>
      <c r="J755" t="n">
        <v>0</v>
      </c>
      <c r="K755" t="n">
        <v>0</v>
      </c>
      <c r="L755" t="n">
        <v>0</v>
      </c>
      <c r="M755" t="n">
        <v>0</v>
      </c>
      <c r="N755" t="n">
        <v>0</v>
      </c>
      <c r="O755" t="n">
        <v>0</v>
      </c>
      <c r="P755" t="n">
        <v>0</v>
      </c>
      <c r="Q755" t="n">
        <v>0</v>
      </c>
      <c r="R755" s="2" t="inlineStr"/>
    </row>
    <row r="756" ht="15" customHeight="1">
      <c r="A756" t="inlineStr">
        <is>
          <t>A 18206-2023</t>
        </is>
      </c>
      <c r="B756" s="1" t="n">
        <v>45041</v>
      </c>
      <c r="C756" s="1" t="n">
        <v>45891</v>
      </c>
      <c r="D756" t="inlineStr">
        <is>
          <t>JÄMTLANDS LÄN</t>
        </is>
      </c>
      <c r="E756" t="inlineStr">
        <is>
          <t>BRÄCKE</t>
        </is>
      </c>
      <c r="G756" t="n">
        <v>5.2</v>
      </c>
      <c r="H756" t="n">
        <v>0</v>
      </c>
      <c r="I756" t="n">
        <v>0</v>
      </c>
      <c r="J756" t="n">
        <v>0</v>
      </c>
      <c r="K756" t="n">
        <v>0</v>
      </c>
      <c r="L756" t="n">
        <v>0</v>
      </c>
      <c r="M756" t="n">
        <v>0</v>
      </c>
      <c r="N756" t="n">
        <v>0</v>
      </c>
      <c r="O756" t="n">
        <v>0</v>
      </c>
      <c r="P756" t="n">
        <v>0</v>
      </c>
      <c r="Q756" t="n">
        <v>0</v>
      </c>
      <c r="R756" s="2" t="inlineStr"/>
    </row>
    <row r="757" ht="15" customHeight="1">
      <c r="A757" t="inlineStr">
        <is>
          <t>A 21108-2025</t>
        </is>
      </c>
      <c r="B757" s="1" t="n">
        <v>45777</v>
      </c>
      <c r="C757" s="1" t="n">
        <v>45891</v>
      </c>
      <c r="D757" t="inlineStr">
        <is>
          <t>JÄMTLANDS LÄN</t>
        </is>
      </c>
      <c r="E757" t="inlineStr">
        <is>
          <t>BRÄCKE</t>
        </is>
      </c>
      <c r="G757" t="n">
        <v>15.9</v>
      </c>
      <c r="H757" t="n">
        <v>0</v>
      </c>
      <c r="I757" t="n">
        <v>0</v>
      </c>
      <c r="J757" t="n">
        <v>0</v>
      </c>
      <c r="K757" t="n">
        <v>0</v>
      </c>
      <c r="L757" t="n">
        <v>0</v>
      </c>
      <c r="M757" t="n">
        <v>0</v>
      </c>
      <c r="N757" t="n">
        <v>0</v>
      </c>
      <c r="O757" t="n">
        <v>0</v>
      </c>
      <c r="P757" t="n">
        <v>0</v>
      </c>
      <c r="Q757" t="n">
        <v>0</v>
      </c>
      <c r="R757" s="2" t="inlineStr"/>
    </row>
    <row r="758" ht="15" customHeight="1">
      <c r="A758" t="inlineStr">
        <is>
          <t>A 53724-2024</t>
        </is>
      </c>
      <c r="B758" s="1" t="n">
        <v>45615.45042824074</v>
      </c>
      <c r="C758" s="1" t="n">
        <v>45891</v>
      </c>
      <c r="D758" t="inlineStr">
        <is>
          <t>JÄMTLANDS LÄN</t>
        </is>
      </c>
      <c r="E758" t="inlineStr">
        <is>
          <t>BRÄCKE</t>
        </is>
      </c>
      <c r="G758" t="n">
        <v>4.7</v>
      </c>
      <c r="H758" t="n">
        <v>0</v>
      </c>
      <c r="I758" t="n">
        <v>0</v>
      </c>
      <c r="J758" t="n">
        <v>0</v>
      </c>
      <c r="K758" t="n">
        <v>0</v>
      </c>
      <c r="L758" t="n">
        <v>0</v>
      </c>
      <c r="M758" t="n">
        <v>0</v>
      </c>
      <c r="N758" t="n">
        <v>0</v>
      </c>
      <c r="O758" t="n">
        <v>0</v>
      </c>
      <c r="P758" t="n">
        <v>0</v>
      </c>
      <c r="Q758" t="n">
        <v>0</v>
      </c>
      <c r="R758" s="2" t="inlineStr"/>
    </row>
    <row r="759" ht="15" customHeight="1">
      <c r="A759" t="inlineStr">
        <is>
          <t>A 20909-2025</t>
        </is>
      </c>
      <c r="B759" s="1" t="n">
        <v>45777.40672453704</v>
      </c>
      <c r="C759" s="1" t="n">
        <v>45891</v>
      </c>
      <c r="D759" t="inlineStr">
        <is>
          <t>JÄMTLANDS LÄN</t>
        </is>
      </c>
      <c r="E759" t="inlineStr">
        <is>
          <t>BRÄCKE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21037-2025</t>
        </is>
      </c>
      <c r="B760" s="1" t="n">
        <v>45777.53188657408</v>
      </c>
      <c r="C760" s="1" t="n">
        <v>45891</v>
      </c>
      <c r="D760" t="inlineStr">
        <is>
          <t>JÄMTLANDS LÄN</t>
        </is>
      </c>
      <c r="E760" t="inlineStr">
        <is>
          <t>BRÄCKE</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48784-2024</t>
        </is>
      </c>
      <c r="B761" s="1" t="n">
        <v>45593.63570601852</v>
      </c>
      <c r="C761" s="1" t="n">
        <v>45891</v>
      </c>
      <c r="D761" t="inlineStr">
        <is>
          <t>JÄMTLANDS LÄN</t>
        </is>
      </c>
      <c r="E761" t="inlineStr">
        <is>
          <t>BRÄCKE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42202-2020</t>
        </is>
      </c>
      <c r="B762" s="1" t="n">
        <v>44075</v>
      </c>
      <c r="C762" s="1" t="n">
        <v>45891</v>
      </c>
      <c r="D762" t="inlineStr">
        <is>
          <t>JÄMTLANDS LÄN</t>
        </is>
      </c>
      <c r="E762" t="inlineStr">
        <is>
          <t>BRÄCKE</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21305-2025</t>
        </is>
      </c>
      <c r="B763" s="1" t="n">
        <v>45781.40665509259</v>
      </c>
      <c r="C763" s="1" t="n">
        <v>45891</v>
      </c>
      <c r="D763" t="inlineStr">
        <is>
          <t>JÄMTLANDS LÄN</t>
        </is>
      </c>
      <c r="E763" t="inlineStr">
        <is>
          <t>BRÄCKE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21368-2025</t>
        </is>
      </c>
      <c r="B764" s="1" t="n">
        <v>45782.44824074074</v>
      </c>
      <c r="C764" s="1" t="n">
        <v>45891</v>
      </c>
      <c r="D764" t="inlineStr">
        <is>
          <t>JÄMTLANDS LÄN</t>
        </is>
      </c>
      <c r="E764" t="inlineStr">
        <is>
          <t>BRÄCKE</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34646-2024</t>
        </is>
      </c>
      <c r="B765" s="1" t="n">
        <v>45526.4784375</v>
      </c>
      <c r="C765" s="1" t="n">
        <v>45891</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29409-2024</t>
        </is>
      </c>
      <c r="B766" s="1" t="n">
        <v>45483.67341435186</v>
      </c>
      <c r="C766" s="1" t="n">
        <v>45891</v>
      </c>
      <c r="D766" t="inlineStr">
        <is>
          <t>JÄMTLANDS LÄN</t>
        </is>
      </c>
      <c r="E766" t="inlineStr">
        <is>
          <t>BRÄCKE</t>
        </is>
      </c>
      <c r="G766" t="n">
        <v>9.6</v>
      </c>
      <c r="H766" t="n">
        <v>0</v>
      </c>
      <c r="I766" t="n">
        <v>0</v>
      </c>
      <c r="J766" t="n">
        <v>0</v>
      </c>
      <c r="K766" t="n">
        <v>0</v>
      </c>
      <c r="L766" t="n">
        <v>0</v>
      </c>
      <c r="M766" t="n">
        <v>0</v>
      </c>
      <c r="N766" t="n">
        <v>0</v>
      </c>
      <c r="O766" t="n">
        <v>0</v>
      </c>
      <c r="P766" t="n">
        <v>0</v>
      </c>
      <c r="Q766" t="n">
        <v>0</v>
      </c>
      <c r="R766" s="2" t="inlineStr"/>
    </row>
    <row r="767" ht="15" customHeight="1">
      <c r="A767" t="inlineStr">
        <is>
          <t>A 21551-2025</t>
        </is>
      </c>
      <c r="B767" s="1" t="n">
        <v>45782.67771990741</v>
      </c>
      <c r="C767" s="1" t="n">
        <v>45891</v>
      </c>
      <c r="D767" t="inlineStr">
        <is>
          <t>JÄMTLANDS LÄN</t>
        </is>
      </c>
      <c r="E767" t="inlineStr">
        <is>
          <t>BRÄCKE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45304-2022</t>
        </is>
      </c>
      <c r="B768" s="1" t="n">
        <v>44841</v>
      </c>
      <c r="C768" s="1" t="n">
        <v>45891</v>
      </c>
      <c r="D768" t="inlineStr">
        <is>
          <t>JÄMTLANDS LÄN</t>
        </is>
      </c>
      <c r="E768" t="inlineStr">
        <is>
          <t>BRÄCKE</t>
        </is>
      </c>
      <c r="G768" t="n">
        <v>3.8</v>
      </c>
      <c r="H768" t="n">
        <v>0</v>
      </c>
      <c r="I768" t="n">
        <v>0</v>
      </c>
      <c r="J768" t="n">
        <v>0</v>
      </c>
      <c r="K768" t="n">
        <v>0</v>
      </c>
      <c r="L768" t="n">
        <v>0</v>
      </c>
      <c r="M768" t="n">
        <v>0</v>
      </c>
      <c r="N768" t="n">
        <v>0</v>
      </c>
      <c r="O768" t="n">
        <v>0</v>
      </c>
      <c r="P768" t="n">
        <v>0</v>
      </c>
      <c r="Q768" t="n">
        <v>0</v>
      </c>
      <c r="R768" s="2" t="inlineStr"/>
    </row>
    <row r="769" ht="15" customHeight="1">
      <c r="A769" t="inlineStr">
        <is>
          <t>A 53696-2024</t>
        </is>
      </c>
      <c r="B769" s="1" t="n">
        <v>45615.3857175926</v>
      </c>
      <c r="C769" s="1" t="n">
        <v>45891</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51559-2022</t>
        </is>
      </c>
      <c r="B770" s="1" t="n">
        <v>44869</v>
      </c>
      <c r="C770" s="1" t="n">
        <v>45891</v>
      </c>
      <c r="D770" t="inlineStr">
        <is>
          <t>JÄMTLANDS LÄN</t>
        </is>
      </c>
      <c r="E770" t="inlineStr">
        <is>
          <t>BRÄCKE</t>
        </is>
      </c>
      <c r="F770" t="inlineStr">
        <is>
          <t>SCA</t>
        </is>
      </c>
      <c r="G770" t="n">
        <v>21.1</v>
      </c>
      <c r="H770" t="n">
        <v>0</v>
      </c>
      <c r="I770" t="n">
        <v>0</v>
      </c>
      <c r="J770" t="n">
        <v>0</v>
      </c>
      <c r="K770" t="n">
        <v>0</v>
      </c>
      <c r="L770" t="n">
        <v>0</v>
      </c>
      <c r="M770" t="n">
        <v>0</v>
      </c>
      <c r="N770" t="n">
        <v>0</v>
      </c>
      <c r="O770" t="n">
        <v>0</v>
      </c>
      <c r="P770" t="n">
        <v>0</v>
      </c>
      <c r="Q770" t="n">
        <v>0</v>
      </c>
      <c r="R770" s="2" t="inlineStr"/>
    </row>
    <row r="771" ht="15" customHeight="1">
      <c r="A771" t="inlineStr">
        <is>
          <t>A 58776-2023</t>
        </is>
      </c>
      <c r="B771" s="1" t="n">
        <v>45251.96740740741</v>
      </c>
      <c r="C771" s="1" t="n">
        <v>45891</v>
      </c>
      <c r="D771" t="inlineStr">
        <is>
          <t>JÄMTLANDS LÄN</t>
        </is>
      </c>
      <c r="E771" t="inlineStr">
        <is>
          <t>BRÄCKE</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21549-2025</t>
        </is>
      </c>
      <c r="B772" s="1" t="n">
        <v>45782.67743055556</v>
      </c>
      <c r="C772" s="1" t="n">
        <v>45891</v>
      </c>
      <c r="D772" t="inlineStr">
        <is>
          <t>JÄMTLANDS LÄN</t>
        </is>
      </c>
      <c r="E772" t="inlineStr">
        <is>
          <t>BRÄCKE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21449-2025</t>
        </is>
      </c>
      <c r="B773" s="1" t="n">
        <v>45782.55255787037</v>
      </c>
      <c r="C773" s="1" t="n">
        <v>45891</v>
      </c>
      <c r="D773" t="inlineStr">
        <is>
          <t>JÄMTLANDS LÄN</t>
        </is>
      </c>
      <c r="E773" t="inlineStr">
        <is>
          <t>BRÄCKE</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21450-2025</t>
        </is>
      </c>
      <c r="B774" s="1" t="n">
        <v>45782.55275462963</v>
      </c>
      <c r="C774" s="1" t="n">
        <v>45891</v>
      </c>
      <c r="D774" t="inlineStr">
        <is>
          <t>JÄMTLANDS LÄN</t>
        </is>
      </c>
      <c r="E774" t="inlineStr">
        <is>
          <t>BRÄCKE</t>
        </is>
      </c>
      <c r="F774" t="inlineStr">
        <is>
          <t>SCA</t>
        </is>
      </c>
      <c r="G774" t="n">
        <v>5.4</v>
      </c>
      <c r="H774" t="n">
        <v>0</v>
      </c>
      <c r="I774" t="n">
        <v>0</v>
      </c>
      <c r="J774" t="n">
        <v>0</v>
      </c>
      <c r="K774" t="n">
        <v>0</v>
      </c>
      <c r="L774" t="n">
        <v>0</v>
      </c>
      <c r="M774" t="n">
        <v>0</v>
      </c>
      <c r="N774" t="n">
        <v>0</v>
      </c>
      <c r="O774" t="n">
        <v>0</v>
      </c>
      <c r="P774" t="n">
        <v>0</v>
      </c>
      <c r="Q774" t="n">
        <v>0</v>
      </c>
      <c r="R774" s="2" t="inlineStr"/>
    </row>
    <row r="775" ht="15" customHeight="1">
      <c r="A775" t="inlineStr">
        <is>
          <t>A 21486-2025</t>
        </is>
      </c>
      <c r="B775" s="1" t="n">
        <v>45782.59521990741</v>
      </c>
      <c r="C775" s="1" t="n">
        <v>45891</v>
      </c>
      <c r="D775" t="inlineStr">
        <is>
          <t>JÄMTLANDS LÄN</t>
        </is>
      </c>
      <c r="E775" t="inlineStr">
        <is>
          <t>BRÄCKE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49185-2024</t>
        </is>
      </c>
      <c r="B776" s="1" t="n">
        <v>45595.34466435185</v>
      </c>
      <c r="C776" s="1" t="n">
        <v>45891</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63713-2023</t>
        </is>
      </c>
      <c r="B777" s="1" t="n">
        <v>45275</v>
      </c>
      <c r="C777" s="1" t="n">
        <v>45891</v>
      </c>
      <c r="D777" t="inlineStr">
        <is>
          <t>JÄMTLANDS LÄN</t>
        </is>
      </c>
      <c r="E777" t="inlineStr">
        <is>
          <t>BRÄCKE</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26919-2024</t>
        </is>
      </c>
      <c r="B778" s="1" t="n">
        <v>45470.93050925926</v>
      </c>
      <c r="C778" s="1" t="n">
        <v>45891</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73102-2021</t>
        </is>
      </c>
      <c r="B779" s="1" t="n">
        <v>44550.45236111111</v>
      </c>
      <c r="C779" s="1" t="n">
        <v>45891</v>
      </c>
      <c r="D779" t="inlineStr">
        <is>
          <t>JÄMTLANDS LÄN</t>
        </is>
      </c>
      <c r="E779" t="inlineStr">
        <is>
          <t>BRÄCKE</t>
        </is>
      </c>
      <c r="F779" t="inlineStr">
        <is>
          <t>Sveaskog</t>
        </is>
      </c>
      <c r="G779" t="n">
        <v>6.5</v>
      </c>
      <c r="H779" t="n">
        <v>0</v>
      </c>
      <c r="I779" t="n">
        <v>0</v>
      </c>
      <c r="J779" t="n">
        <v>0</v>
      </c>
      <c r="K779" t="n">
        <v>0</v>
      </c>
      <c r="L779" t="n">
        <v>0</v>
      </c>
      <c r="M779" t="n">
        <v>0</v>
      </c>
      <c r="N779" t="n">
        <v>0</v>
      </c>
      <c r="O779" t="n">
        <v>0</v>
      </c>
      <c r="P779" t="n">
        <v>0</v>
      </c>
      <c r="Q779" t="n">
        <v>0</v>
      </c>
      <c r="R779" s="2" t="inlineStr"/>
    </row>
    <row r="780" ht="15" customHeight="1">
      <c r="A780" t="inlineStr">
        <is>
          <t>A 20760-2024</t>
        </is>
      </c>
      <c r="B780" s="1" t="n">
        <v>45436.92543981481</v>
      </c>
      <c r="C780" s="1" t="n">
        <v>45891</v>
      </c>
      <c r="D780" t="inlineStr">
        <is>
          <t>JÄMTLANDS LÄN</t>
        </is>
      </c>
      <c r="E780" t="inlineStr">
        <is>
          <t>BRÄCKE</t>
        </is>
      </c>
      <c r="G780" t="n">
        <v>10.9</v>
      </c>
      <c r="H780" t="n">
        <v>0</v>
      </c>
      <c r="I780" t="n">
        <v>0</v>
      </c>
      <c r="J780" t="n">
        <v>0</v>
      </c>
      <c r="K780" t="n">
        <v>0</v>
      </c>
      <c r="L780" t="n">
        <v>0</v>
      </c>
      <c r="M780" t="n">
        <v>0</v>
      </c>
      <c r="N780" t="n">
        <v>0</v>
      </c>
      <c r="O780" t="n">
        <v>0</v>
      </c>
      <c r="P780" t="n">
        <v>0</v>
      </c>
      <c r="Q780" t="n">
        <v>0</v>
      </c>
      <c r="R780" s="2" t="inlineStr"/>
    </row>
    <row r="781" ht="15" customHeight="1">
      <c r="A781" t="inlineStr">
        <is>
          <t>A 34647-2024</t>
        </is>
      </c>
      <c r="B781" s="1" t="n">
        <v>45526.47844907407</v>
      </c>
      <c r="C781" s="1" t="n">
        <v>45891</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50813-2024</t>
        </is>
      </c>
      <c r="B782" s="1" t="n">
        <v>45602</v>
      </c>
      <c r="C782" s="1" t="n">
        <v>45891</v>
      </c>
      <c r="D782" t="inlineStr">
        <is>
          <t>JÄMTLANDS LÄN</t>
        </is>
      </c>
      <c r="E782" t="inlineStr">
        <is>
          <t>BRÄCKE</t>
        </is>
      </c>
      <c r="G782" t="n">
        <v>1.1</v>
      </c>
      <c r="H782" t="n">
        <v>0</v>
      </c>
      <c r="I782" t="n">
        <v>0</v>
      </c>
      <c r="J782" t="n">
        <v>0</v>
      </c>
      <c r="K782" t="n">
        <v>0</v>
      </c>
      <c r="L782" t="n">
        <v>0</v>
      </c>
      <c r="M782" t="n">
        <v>0</v>
      </c>
      <c r="N782" t="n">
        <v>0</v>
      </c>
      <c r="O782" t="n">
        <v>0</v>
      </c>
      <c r="P782" t="n">
        <v>0</v>
      </c>
      <c r="Q782" t="n">
        <v>0</v>
      </c>
      <c r="R782" s="2" t="inlineStr"/>
    </row>
    <row r="783" ht="15" customHeight="1">
      <c r="A783" t="inlineStr">
        <is>
          <t>A 49291-2024</t>
        </is>
      </c>
      <c r="B783" s="1" t="n">
        <v>45595.53299768519</v>
      </c>
      <c r="C783" s="1" t="n">
        <v>45891</v>
      </c>
      <c r="D783" t="inlineStr">
        <is>
          <t>JÄMTLANDS LÄN</t>
        </is>
      </c>
      <c r="E783" t="inlineStr">
        <is>
          <t>BRÄCKE</t>
        </is>
      </c>
      <c r="G783" t="n">
        <v>4.6</v>
      </c>
      <c r="H783" t="n">
        <v>0</v>
      </c>
      <c r="I783" t="n">
        <v>0</v>
      </c>
      <c r="J783" t="n">
        <v>0</v>
      </c>
      <c r="K783" t="n">
        <v>0</v>
      </c>
      <c r="L783" t="n">
        <v>0</v>
      </c>
      <c r="M783" t="n">
        <v>0</v>
      </c>
      <c r="N783" t="n">
        <v>0</v>
      </c>
      <c r="O783" t="n">
        <v>0</v>
      </c>
      <c r="P783" t="n">
        <v>0</v>
      </c>
      <c r="Q783" t="n">
        <v>0</v>
      </c>
      <c r="R783" s="2" t="inlineStr"/>
    </row>
    <row r="784" ht="15" customHeight="1">
      <c r="A784" t="inlineStr">
        <is>
          <t>A 11553-2024</t>
        </is>
      </c>
      <c r="B784" s="1" t="n">
        <v>45372.95811342593</v>
      </c>
      <c r="C784" s="1" t="n">
        <v>45891</v>
      </c>
      <c r="D784" t="inlineStr">
        <is>
          <t>JÄMTLANDS LÄN</t>
        </is>
      </c>
      <c r="E784" t="inlineStr">
        <is>
          <t>BRÄCKE</t>
        </is>
      </c>
      <c r="F784" t="inlineStr">
        <is>
          <t>Naturvårdsverket</t>
        </is>
      </c>
      <c r="G784" t="n">
        <v>1.9</v>
      </c>
      <c r="H784" t="n">
        <v>0</v>
      </c>
      <c r="I784" t="n">
        <v>0</v>
      </c>
      <c r="J784" t="n">
        <v>0</v>
      </c>
      <c r="K784" t="n">
        <v>0</v>
      </c>
      <c r="L784" t="n">
        <v>0</v>
      </c>
      <c r="M784" t="n">
        <v>0</v>
      </c>
      <c r="N784" t="n">
        <v>0</v>
      </c>
      <c r="O784" t="n">
        <v>0</v>
      </c>
      <c r="P784" t="n">
        <v>0</v>
      </c>
      <c r="Q784" t="n">
        <v>0</v>
      </c>
      <c r="R784" s="2" t="inlineStr"/>
    </row>
    <row r="785" ht="15" customHeight="1">
      <c r="A785" t="inlineStr">
        <is>
          <t>A 22000-2025</t>
        </is>
      </c>
      <c r="B785" s="1" t="n">
        <v>45784.69851851852</v>
      </c>
      <c r="C785" s="1" t="n">
        <v>45891</v>
      </c>
      <c r="D785" t="inlineStr">
        <is>
          <t>JÄMTLANDS LÄN</t>
        </is>
      </c>
      <c r="E785" t="inlineStr">
        <is>
          <t>BRÄCKE</t>
        </is>
      </c>
      <c r="F785" t="inlineStr">
        <is>
          <t>SCA</t>
        </is>
      </c>
      <c r="G785" t="n">
        <v>5.9</v>
      </c>
      <c r="H785" t="n">
        <v>0</v>
      </c>
      <c r="I785" t="n">
        <v>0</v>
      </c>
      <c r="J785" t="n">
        <v>0</v>
      </c>
      <c r="K785" t="n">
        <v>0</v>
      </c>
      <c r="L785" t="n">
        <v>0</v>
      </c>
      <c r="M785" t="n">
        <v>0</v>
      </c>
      <c r="N785" t="n">
        <v>0</v>
      </c>
      <c r="O785" t="n">
        <v>0</v>
      </c>
      <c r="P785" t="n">
        <v>0</v>
      </c>
      <c r="Q785" t="n">
        <v>0</v>
      </c>
      <c r="R785" s="2" t="inlineStr"/>
    </row>
    <row r="786" ht="15" customHeight="1">
      <c r="A786" t="inlineStr">
        <is>
          <t>A 10763-2023</t>
        </is>
      </c>
      <c r="B786" s="1" t="n">
        <v>44988</v>
      </c>
      <c r="C786" s="1" t="n">
        <v>45891</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22936-2024</t>
        </is>
      </c>
      <c r="B787" s="1" t="n">
        <v>45448.94478009259</v>
      </c>
      <c r="C787" s="1" t="n">
        <v>45891</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52846-2022</t>
        </is>
      </c>
      <c r="B788" s="1" t="n">
        <v>44875</v>
      </c>
      <c r="C788" s="1" t="n">
        <v>45891</v>
      </c>
      <c r="D788" t="inlineStr">
        <is>
          <t>JÄMTLANDS LÄN</t>
        </is>
      </c>
      <c r="E788" t="inlineStr">
        <is>
          <t>BRÄCKE</t>
        </is>
      </c>
      <c r="F788" t="inlineStr">
        <is>
          <t>Övriga Aktiebolag</t>
        </is>
      </c>
      <c r="G788" t="n">
        <v>13.1</v>
      </c>
      <c r="H788" t="n">
        <v>0</v>
      </c>
      <c r="I788" t="n">
        <v>0</v>
      </c>
      <c r="J788" t="n">
        <v>0</v>
      </c>
      <c r="K788" t="n">
        <v>0</v>
      </c>
      <c r="L788" t="n">
        <v>0</v>
      </c>
      <c r="M788" t="n">
        <v>0</v>
      </c>
      <c r="N788" t="n">
        <v>0</v>
      </c>
      <c r="O788" t="n">
        <v>0</v>
      </c>
      <c r="P788" t="n">
        <v>0</v>
      </c>
      <c r="Q788" t="n">
        <v>0</v>
      </c>
      <c r="R788" s="2" t="inlineStr"/>
    </row>
    <row r="789" ht="15" customHeight="1">
      <c r="A789" t="inlineStr">
        <is>
          <t>A 60178-2022</t>
        </is>
      </c>
      <c r="B789" s="1" t="n">
        <v>44909</v>
      </c>
      <c r="C789" s="1" t="n">
        <v>45891</v>
      </c>
      <c r="D789" t="inlineStr">
        <is>
          <t>JÄMTLANDS LÄN</t>
        </is>
      </c>
      <c r="E789" t="inlineStr">
        <is>
          <t>BRÄCKE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56656-2022</t>
        </is>
      </c>
      <c r="B790" s="1" t="n">
        <v>44893</v>
      </c>
      <c r="C790" s="1" t="n">
        <v>45891</v>
      </c>
      <c r="D790" t="inlineStr">
        <is>
          <t>JÄMTLANDS LÄN</t>
        </is>
      </c>
      <c r="E790" t="inlineStr">
        <is>
          <t>BRÄCKE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52021-2022</t>
        </is>
      </c>
      <c r="B791" s="1" t="n">
        <v>44872.95638888889</v>
      </c>
      <c r="C791" s="1" t="n">
        <v>45891</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53046-2023</t>
        </is>
      </c>
      <c r="B792" s="1" t="n">
        <v>45226.96388888889</v>
      </c>
      <c r="C792" s="1" t="n">
        <v>45891</v>
      </c>
      <c r="D792" t="inlineStr">
        <is>
          <t>JÄMTLANDS LÄN</t>
        </is>
      </c>
      <c r="E792" t="inlineStr">
        <is>
          <t>BRÄCKE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38336-2024</t>
        </is>
      </c>
      <c r="B793" s="1" t="n">
        <v>45545.68386574074</v>
      </c>
      <c r="C793" s="1" t="n">
        <v>45891</v>
      </c>
      <c r="D793" t="inlineStr">
        <is>
          <t>JÄMTLANDS LÄN</t>
        </is>
      </c>
      <c r="E793" t="inlineStr">
        <is>
          <t>BRÄCKE</t>
        </is>
      </c>
      <c r="G793" t="n">
        <v>1.2</v>
      </c>
      <c r="H793" t="n">
        <v>0</v>
      </c>
      <c r="I793" t="n">
        <v>0</v>
      </c>
      <c r="J793" t="n">
        <v>0</v>
      </c>
      <c r="K793" t="n">
        <v>0</v>
      </c>
      <c r="L793" t="n">
        <v>0</v>
      </c>
      <c r="M793" t="n">
        <v>0</v>
      </c>
      <c r="N793" t="n">
        <v>0</v>
      </c>
      <c r="O793" t="n">
        <v>0</v>
      </c>
      <c r="P793" t="n">
        <v>0</v>
      </c>
      <c r="Q793" t="n">
        <v>0</v>
      </c>
      <c r="R793" s="2" t="inlineStr"/>
    </row>
    <row r="794" ht="15" customHeight="1">
      <c r="A794" t="inlineStr">
        <is>
          <t>A 21961-2025</t>
        </is>
      </c>
      <c r="B794" s="1" t="n">
        <v>45784.61517361111</v>
      </c>
      <c r="C794" s="1" t="n">
        <v>45891</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32963-2022</t>
        </is>
      </c>
      <c r="B795" s="1" t="n">
        <v>44784.92496527778</v>
      </c>
      <c r="C795" s="1" t="n">
        <v>45891</v>
      </c>
      <c r="D795" t="inlineStr">
        <is>
          <t>JÄMTLANDS LÄN</t>
        </is>
      </c>
      <c r="E795" t="inlineStr">
        <is>
          <t>BRÄCKE</t>
        </is>
      </c>
      <c r="G795" t="n">
        <v>5.2</v>
      </c>
      <c r="H795" t="n">
        <v>0</v>
      </c>
      <c r="I795" t="n">
        <v>0</v>
      </c>
      <c r="J795" t="n">
        <v>0</v>
      </c>
      <c r="K795" t="n">
        <v>0</v>
      </c>
      <c r="L795" t="n">
        <v>0</v>
      </c>
      <c r="M795" t="n">
        <v>0</v>
      </c>
      <c r="N795" t="n">
        <v>0</v>
      </c>
      <c r="O795" t="n">
        <v>0</v>
      </c>
      <c r="P795" t="n">
        <v>0</v>
      </c>
      <c r="Q795" t="n">
        <v>0</v>
      </c>
      <c r="R795" s="2" t="inlineStr"/>
    </row>
    <row r="796" ht="15" customHeight="1">
      <c r="A796" t="inlineStr">
        <is>
          <t>A 54571-2021</t>
        </is>
      </c>
      <c r="B796" s="1" t="n">
        <v>44473</v>
      </c>
      <c r="C796" s="1" t="n">
        <v>45891</v>
      </c>
      <c r="D796" t="inlineStr">
        <is>
          <t>JÄMTLANDS LÄN</t>
        </is>
      </c>
      <c r="E796" t="inlineStr">
        <is>
          <t>BRÄCKE</t>
        </is>
      </c>
      <c r="G796" t="n">
        <v>3</v>
      </c>
      <c r="H796" t="n">
        <v>0</v>
      </c>
      <c r="I796" t="n">
        <v>0</v>
      </c>
      <c r="J796" t="n">
        <v>0</v>
      </c>
      <c r="K796" t="n">
        <v>0</v>
      </c>
      <c r="L796" t="n">
        <v>0</v>
      </c>
      <c r="M796" t="n">
        <v>0</v>
      </c>
      <c r="N796" t="n">
        <v>0</v>
      </c>
      <c r="O796" t="n">
        <v>0</v>
      </c>
      <c r="P796" t="n">
        <v>0</v>
      </c>
      <c r="Q796" t="n">
        <v>0</v>
      </c>
      <c r="R796" s="2" t="inlineStr"/>
    </row>
    <row r="797" ht="15" customHeight="1">
      <c r="A797" t="inlineStr">
        <is>
          <t>A 56896-2021</t>
        </is>
      </c>
      <c r="B797" s="1" t="n">
        <v>44481.92091435185</v>
      </c>
      <c r="C797" s="1" t="n">
        <v>45891</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21634-2025</t>
        </is>
      </c>
      <c r="B798" s="1" t="n">
        <v>45783.42775462963</v>
      </c>
      <c r="C798" s="1" t="n">
        <v>45891</v>
      </c>
      <c r="D798" t="inlineStr">
        <is>
          <t>JÄMTLANDS LÄN</t>
        </is>
      </c>
      <c r="E798" t="inlineStr">
        <is>
          <t>BRÄCKE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31470-2023</t>
        </is>
      </c>
      <c r="B799" s="1" t="n">
        <v>45104</v>
      </c>
      <c r="C799" s="1" t="n">
        <v>45891</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20798-2024</t>
        </is>
      </c>
      <c r="B800" s="1" t="n">
        <v>45438.94798611111</v>
      </c>
      <c r="C800" s="1" t="n">
        <v>45891</v>
      </c>
      <c r="D800" t="inlineStr">
        <is>
          <t>JÄMTLANDS LÄN</t>
        </is>
      </c>
      <c r="E800" t="inlineStr">
        <is>
          <t>BRÄCKE</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33033-2023</t>
        </is>
      </c>
      <c r="B801" s="1" t="n">
        <v>45125.95037037037</v>
      </c>
      <c r="C801" s="1" t="n">
        <v>45891</v>
      </c>
      <c r="D801" t="inlineStr">
        <is>
          <t>JÄMTLANDS LÄN</t>
        </is>
      </c>
      <c r="E801" t="inlineStr">
        <is>
          <t>BRÄCKE</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45891</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20000-2024</t>
        </is>
      </c>
      <c r="B803" s="1" t="n">
        <v>45433.94253472222</v>
      </c>
      <c r="C803" s="1" t="n">
        <v>45891</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9438-2025</t>
        </is>
      </c>
      <c r="B804" s="1" t="n">
        <v>45715.41347222222</v>
      </c>
      <c r="C804" s="1" t="n">
        <v>45891</v>
      </c>
      <c r="D804" t="inlineStr">
        <is>
          <t>JÄMTLANDS LÄN</t>
        </is>
      </c>
      <c r="E804" t="inlineStr">
        <is>
          <t>BRÄCKE</t>
        </is>
      </c>
      <c r="G804" t="n">
        <v>6.9</v>
      </c>
      <c r="H804" t="n">
        <v>0</v>
      </c>
      <c r="I804" t="n">
        <v>0</v>
      </c>
      <c r="J804" t="n">
        <v>0</v>
      </c>
      <c r="K804" t="n">
        <v>0</v>
      </c>
      <c r="L804" t="n">
        <v>0</v>
      </c>
      <c r="M804" t="n">
        <v>0</v>
      </c>
      <c r="N804" t="n">
        <v>0</v>
      </c>
      <c r="O804" t="n">
        <v>0</v>
      </c>
      <c r="P804" t="n">
        <v>0</v>
      </c>
      <c r="Q804" t="n">
        <v>0</v>
      </c>
      <c r="R804" s="2" t="inlineStr"/>
    </row>
    <row r="805" ht="15" customHeight="1">
      <c r="A805" t="inlineStr">
        <is>
          <t>A 27799-2024</t>
        </is>
      </c>
      <c r="B805" s="1" t="n">
        <v>45475.56605324074</v>
      </c>
      <c r="C805" s="1" t="n">
        <v>45891</v>
      </c>
      <c r="D805" t="inlineStr">
        <is>
          <t>JÄMTLANDS LÄN</t>
        </is>
      </c>
      <c r="E805" t="inlineStr">
        <is>
          <t>BRÄCKE</t>
        </is>
      </c>
      <c r="G805" t="n">
        <v>3.6</v>
      </c>
      <c r="H805" t="n">
        <v>0</v>
      </c>
      <c r="I805" t="n">
        <v>0</v>
      </c>
      <c r="J805" t="n">
        <v>0</v>
      </c>
      <c r="K805" t="n">
        <v>0</v>
      </c>
      <c r="L805" t="n">
        <v>0</v>
      </c>
      <c r="M805" t="n">
        <v>0</v>
      </c>
      <c r="N805" t="n">
        <v>0</v>
      </c>
      <c r="O805" t="n">
        <v>0</v>
      </c>
      <c r="P805" t="n">
        <v>0</v>
      </c>
      <c r="Q805" t="n">
        <v>0</v>
      </c>
      <c r="R805" s="2" t="inlineStr"/>
    </row>
    <row r="806" ht="15" customHeight="1">
      <c r="A806" t="inlineStr">
        <is>
          <t>A 19584-2024</t>
        </is>
      </c>
      <c r="B806" s="1" t="n">
        <v>45429</v>
      </c>
      <c r="C806" s="1" t="n">
        <v>45891</v>
      </c>
      <c r="D806" t="inlineStr">
        <is>
          <t>JÄMTLANDS LÄN</t>
        </is>
      </c>
      <c r="E806" t="inlineStr">
        <is>
          <t>BRÄCKE</t>
        </is>
      </c>
      <c r="G806" t="n">
        <v>2.6</v>
      </c>
      <c r="H806" t="n">
        <v>0</v>
      </c>
      <c r="I806" t="n">
        <v>0</v>
      </c>
      <c r="J806" t="n">
        <v>0</v>
      </c>
      <c r="K806" t="n">
        <v>0</v>
      </c>
      <c r="L806" t="n">
        <v>0</v>
      </c>
      <c r="M806" t="n">
        <v>0</v>
      </c>
      <c r="N806" t="n">
        <v>0</v>
      </c>
      <c r="O806" t="n">
        <v>0</v>
      </c>
      <c r="P806" t="n">
        <v>0</v>
      </c>
      <c r="Q806" t="n">
        <v>0</v>
      </c>
      <c r="R806" s="2" t="inlineStr"/>
    </row>
    <row r="807" ht="15" customHeight="1">
      <c r="A807" t="inlineStr">
        <is>
          <t>A 29003-2024</t>
        </is>
      </c>
      <c r="B807" s="1" t="n">
        <v>45481.52758101852</v>
      </c>
      <c r="C807" s="1" t="n">
        <v>45891</v>
      </c>
      <c r="D807" t="inlineStr">
        <is>
          <t>JÄMTLANDS LÄN</t>
        </is>
      </c>
      <c r="E807" t="inlineStr">
        <is>
          <t>BRÄCKE</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22164-2025</t>
        </is>
      </c>
      <c r="B808" s="1" t="n">
        <v>45785.59428240741</v>
      </c>
      <c r="C808" s="1" t="n">
        <v>45891</v>
      </c>
      <c r="D808" t="inlineStr">
        <is>
          <t>JÄMTLANDS LÄN</t>
        </is>
      </c>
      <c r="E808" t="inlineStr">
        <is>
          <t>BRÄCKE</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22167-2025</t>
        </is>
      </c>
      <c r="B809" s="1" t="n">
        <v>45785.59498842592</v>
      </c>
      <c r="C809" s="1" t="n">
        <v>45891</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28796-2023</t>
        </is>
      </c>
      <c r="B810" s="1" t="n">
        <v>45096</v>
      </c>
      <c r="C810" s="1" t="n">
        <v>45891</v>
      </c>
      <c r="D810" t="inlineStr">
        <is>
          <t>JÄMTLANDS LÄN</t>
        </is>
      </c>
      <c r="E810" t="inlineStr">
        <is>
          <t>BRÄCKE</t>
        </is>
      </c>
      <c r="G810" t="n">
        <v>1</v>
      </c>
      <c r="H810" t="n">
        <v>0</v>
      </c>
      <c r="I810" t="n">
        <v>0</v>
      </c>
      <c r="J810" t="n">
        <v>0</v>
      </c>
      <c r="K810" t="n">
        <v>0</v>
      </c>
      <c r="L810" t="n">
        <v>0</v>
      </c>
      <c r="M810" t="n">
        <v>0</v>
      </c>
      <c r="N810" t="n">
        <v>0</v>
      </c>
      <c r="O810" t="n">
        <v>0</v>
      </c>
      <c r="P810" t="n">
        <v>0</v>
      </c>
      <c r="Q810" t="n">
        <v>0</v>
      </c>
      <c r="R810" s="2" t="inlineStr"/>
    </row>
    <row r="811" ht="15" customHeight="1">
      <c r="A811" t="inlineStr">
        <is>
          <t>A 39326-2024</t>
        </is>
      </c>
      <c r="B811" s="1" t="n">
        <v>45551.42741898148</v>
      </c>
      <c r="C811" s="1" t="n">
        <v>45891</v>
      </c>
      <c r="D811" t="inlineStr">
        <is>
          <t>JÄMTLANDS LÄN</t>
        </is>
      </c>
      <c r="E811" t="inlineStr">
        <is>
          <t>BRÄCKE</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50591-2024</t>
        </is>
      </c>
      <c r="B812" s="1" t="n">
        <v>45601.6190625</v>
      </c>
      <c r="C812" s="1" t="n">
        <v>45891</v>
      </c>
      <c r="D812" t="inlineStr">
        <is>
          <t>JÄMTLANDS LÄN</t>
        </is>
      </c>
      <c r="E812" t="inlineStr">
        <is>
          <t>BRÄCKE</t>
        </is>
      </c>
      <c r="G812" t="n">
        <v>17</v>
      </c>
      <c r="H812" t="n">
        <v>0</v>
      </c>
      <c r="I812" t="n">
        <v>0</v>
      </c>
      <c r="J812" t="n">
        <v>0</v>
      </c>
      <c r="K812" t="n">
        <v>0</v>
      </c>
      <c r="L812" t="n">
        <v>0</v>
      </c>
      <c r="M812" t="n">
        <v>0</v>
      </c>
      <c r="N812" t="n">
        <v>0</v>
      </c>
      <c r="O812" t="n">
        <v>0</v>
      </c>
      <c r="P812" t="n">
        <v>0</v>
      </c>
      <c r="Q812" t="n">
        <v>0</v>
      </c>
      <c r="R812" s="2" t="inlineStr"/>
    </row>
    <row r="813" ht="15" customHeight="1">
      <c r="A813" t="inlineStr">
        <is>
          <t>A 48482-2023</t>
        </is>
      </c>
      <c r="B813" s="1" t="n">
        <v>45206.95846064815</v>
      </c>
      <c r="C813" s="1" t="n">
        <v>45891</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48080-2023</t>
        </is>
      </c>
      <c r="B814" s="1" t="n">
        <v>45204.94569444445</v>
      </c>
      <c r="C814" s="1" t="n">
        <v>45891</v>
      </c>
      <c r="D814" t="inlineStr">
        <is>
          <t>JÄMTLANDS LÄN</t>
        </is>
      </c>
      <c r="E814" t="inlineStr">
        <is>
          <t>BRÄCKE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20095-2023</t>
        </is>
      </c>
      <c r="B815" s="1" t="n">
        <v>45054.94199074074</v>
      </c>
      <c r="C815" s="1" t="n">
        <v>45891</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18641-2024</t>
        </is>
      </c>
      <c r="B816" s="1" t="n">
        <v>45425.9666087963</v>
      </c>
      <c r="C816" s="1" t="n">
        <v>45891</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58449-2024</t>
        </is>
      </c>
      <c r="B817" s="1" t="n">
        <v>45635.34413194445</v>
      </c>
      <c r="C817" s="1" t="n">
        <v>45891</v>
      </c>
      <c r="D817" t="inlineStr">
        <is>
          <t>JÄMTLANDS LÄN</t>
        </is>
      </c>
      <c r="E817" t="inlineStr">
        <is>
          <t>BRÄCKE</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41922-2023</t>
        </is>
      </c>
      <c r="B818" s="1" t="n">
        <v>45176</v>
      </c>
      <c r="C818" s="1" t="n">
        <v>45891</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24062-2024</t>
        </is>
      </c>
      <c r="B819" s="1" t="n">
        <v>45456.54141203704</v>
      </c>
      <c r="C819" s="1" t="n">
        <v>45891</v>
      </c>
      <c r="D819" t="inlineStr">
        <is>
          <t>JÄMTLANDS LÄN</t>
        </is>
      </c>
      <c r="E819" t="inlineStr">
        <is>
          <t>BRÄCKE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44694-2023</t>
        </is>
      </c>
      <c r="B820" s="1" t="n">
        <v>45189.92251157408</v>
      </c>
      <c r="C820" s="1" t="n">
        <v>45891</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45807-2024</t>
        </is>
      </c>
      <c r="B821" s="1" t="n">
        <v>45579.69815972223</v>
      </c>
      <c r="C821" s="1" t="n">
        <v>45891</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48416-2024</t>
        </is>
      </c>
      <c r="B822" s="1" t="n">
        <v>45590.64153935185</v>
      </c>
      <c r="C822" s="1" t="n">
        <v>45891</v>
      </c>
      <c r="D822" t="inlineStr">
        <is>
          <t>JÄMTLANDS LÄN</t>
        </is>
      </c>
      <c r="E822" t="inlineStr">
        <is>
          <t>BRÄCKE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7756-2025</t>
        </is>
      </c>
      <c r="B823" s="1" t="n">
        <v>45706.51079861111</v>
      </c>
      <c r="C823" s="1" t="n">
        <v>45891</v>
      </c>
      <c r="D823" t="inlineStr">
        <is>
          <t>JÄMTLANDS LÄN</t>
        </is>
      </c>
      <c r="E823" t="inlineStr">
        <is>
          <t>BRÄCKE</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7757-2025</t>
        </is>
      </c>
      <c r="B824" s="1" t="n">
        <v>45706.51085648148</v>
      </c>
      <c r="C824" s="1" t="n">
        <v>45891</v>
      </c>
      <c r="D824" t="inlineStr">
        <is>
          <t>JÄMTLANDS LÄN</t>
        </is>
      </c>
      <c r="E824" t="inlineStr">
        <is>
          <t>BRÄCKE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11550-2023</t>
        </is>
      </c>
      <c r="B825" s="1" t="n">
        <v>44993</v>
      </c>
      <c r="C825" s="1" t="n">
        <v>45891</v>
      </c>
      <c r="D825" t="inlineStr">
        <is>
          <t>JÄMTLANDS LÄN</t>
        </is>
      </c>
      <c r="E825" t="inlineStr">
        <is>
          <t>BRÄCKE</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3180-2024</t>
        </is>
      </c>
      <c r="B826" s="1" t="n">
        <v>45316.64880787037</v>
      </c>
      <c r="C826" s="1" t="n">
        <v>45891</v>
      </c>
      <c r="D826" t="inlineStr">
        <is>
          <t>JÄMTLANDS LÄN</t>
        </is>
      </c>
      <c r="E826" t="inlineStr">
        <is>
          <t>BRÄCKE</t>
        </is>
      </c>
      <c r="G826" t="n">
        <v>4.7</v>
      </c>
      <c r="H826" t="n">
        <v>0</v>
      </c>
      <c r="I826" t="n">
        <v>0</v>
      </c>
      <c r="J826" t="n">
        <v>0</v>
      </c>
      <c r="K826" t="n">
        <v>0</v>
      </c>
      <c r="L826" t="n">
        <v>0</v>
      </c>
      <c r="M826" t="n">
        <v>0</v>
      </c>
      <c r="N826" t="n">
        <v>0</v>
      </c>
      <c r="O826" t="n">
        <v>0</v>
      </c>
      <c r="P826" t="n">
        <v>0</v>
      </c>
      <c r="Q826" t="n">
        <v>0</v>
      </c>
      <c r="R826" s="2" t="inlineStr"/>
    </row>
    <row r="827" ht="15" customHeight="1">
      <c r="A827" t="inlineStr">
        <is>
          <t>A 3182-2024</t>
        </is>
      </c>
      <c r="B827" s="1" t="n">
        <v>45316.65004629629</v>
      </c>
      <c r="C827" s="1" t="n">
        <v>45891</v>
      </c>
      <c r="D827" t="inlineStr">
        <is>
          <t>JÄMTLANDS LÄN</t>
        </is>
      </c>
      <c r="E827" t="inlineStr">
        <is>
          <t>BRÄCKE</t>
        </is>
      </c>
      <c r="G827" t="n">
        <v>2.6</v>
      </c>
      <c r="H827" t="n">
        <v>0</v>
      </c>
      <c r="I827" t="n">
        <v>0</v>
      </c>
      <c r="J827" t="n">
        <v>0</v>
      </c>
      <c r="K827" t="n">
        <v>0</v>
      </c>
      <c r="L827" t="n">
        <v>0</v>
      </c>
      <c r="M827" t="n">
        <v>0</v>
      </c>
      <c r="N827" t="n">
        <v>0</v>
      </c>
      <c r="O827" t="n">
        <v>0</v>
      </c>
      <c r="P827" t="n">
        <v>0</v>
      </c>
      <c r="Q827" t="n">
        <v>0</v>
      </c>
      <c r="R827" s="2" t="inlineStr"/>
    </row>
    <row r="828" ht="15" customHeight="1">
      <c r="A828" t="inlineStr">
        <is>
          <t>A 26923-2024</t>
        </is>
      </c>
      <c r="B828" s="1" t="n">
        <v>45470.93094907407</v>
      </c>
      <c r="C828" s="1" t="n">
        <v>45891</v>
      </c>
      <c r="D828" t="inlineStr">
        <is>
          <t>JÄMTLANDS LÄN</t>
        </is>
      </c>
      <c r="E828" t="inlineStr">
        <is>
          <t>BRÄCKE</t>
        </is>
      </c>
      <c r="G828" t="n">
        <v>2.7</v>
      </c>
      <c r="H828" t="n">
        <v>0</v>
      </c>
      <c r="I828" t="n">
        <v>0</v>
      </c>
      <c r="J828" t="n">
        <v>0</v>
      </c>
      <c r="K828" t="n">
        <v>0</v>
      </c>
      <c r="L828" t="n">
        <v>0</v>
      </c>
      <c r="M828" t="n">
        <v>0</v>
      </c>
      <c r="N828" t="n">
        <v>0</v>
      </c>
      <c r="O828" t="n">
        <v>0</v>
      </c>
      <c r="P828" t="n">
        <v>0</v>
      </c>
      <c r="Q828" t="n">
        <v>0</v>
      </c>
      <c r="R828" s="2" t="inlineStr"/>
    </row>
    <row r="829" ht="15" customHeight="1">
      <c r="A829" t="inlineStr">
        <is>
          <t>A 61415-2021</t>
        </is>
      </c>
      <c r="B829" s="1" t="n">
        <v>44500.93565972222</v>
      </c>
      <c r="C829" s="1" t="n">
        <v>45891</v>
      </c>
      <c r="D829" t="inlineStr">
        <is>
          <t>JÄMTLANDS LÄN</t>
        </is>
      </c>
      <c r="E829" t="inlineStr">
        <is>
          <t>BRÄCKE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6378-2025</t>
        </is>
      </c>
      <c r="B830" s="1" t="n">
        <v>45699.40689814815</v>
      </c>
      <c r="C830" s="1" t="n">
        <v>45891</v>
      </c>
      <c r="D830" t="inlineStr">
        <is>
          <t>JÄMTLANDS LÄN</t>
        </is>
      </c>
      <c r="E830" t="inlineStr">
        <is>
          <t>BRÄCKE</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4491-2024</t>
        </is>
      </c>
      <c r="B831" s="1" t="n">
        <v>45327</v>
      </c>
      <c r="C831" s="1" t="n">
        <v>45891</v>
      </c>
      <c r="D831" t="inlineStr">
        <is>
          <t>JÄMTLANDS LÄN</t>
        </is>
      </c>
      <c r="E831" t="inlineStr">
        <is>
          <t>BRÄCKE</t>
        </is>
      </c>
      <c r="G831" t="n">
        <v>1.1</v>
      </c>
      <c r="H831" t="n">
        <v>0</v>
      </c>
      <c r="I831" t="n">
        <v>0</v>
      </c>
      <c r="J831" t="n">
        <v>0</v>
      </c>
      <c r="K831" t="n">
        <v>0</v>
      </c>
      <c r="L831" t="n">
        <v>0</v>
      </c>
      <c r="M831" t="n">
        <v>0</v>
      </c>
      <c r="N831" t="n">
        <v>0</v>
      </c>
      <c r="O831" t="n">
        <v>0</v>
      </c>
      <c r="P831" t="n">
        <v>0</v>
      </c>
      <c r="Q831" t="n">
        <v>0</v>
      </c>
      <c r="R831" s="2" t="inlineStr"/>
    </row>
    <row r="832" ht="15" customHeight="1">
      <c r="A832" t="inlineStr">
        <is>
          <t>A 29262-2024</t>
        </is>
      </c>
      <c r="B832" s="1" t="n">
        <v>45482.9487962963</v>
      </c>
      <c r="C832" s="1" t="n">
        <v>45891</v>
      </c>
      <c r="D832" t="inlineStr">
        <is>
          <t>JÄMTLANDS LÄN</t>
        </is>
      </c>
      <c r="E832" t="inlineStr">
        <is>
          <t>BRÄCKE</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36549-2024</t>
        </is>
      </c>
      <c r="B833" s="1" t="n">
        <v>45537.46791666667</v>
      </c>
      <c r="C833" s="1" t="n">
        <v>45891</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13069-2025</t>
        </is>
      </c>
      <c r="B834" s="1" t="n">
        <v>45734.61494212963</v>
      </c>
      <c r="C834" s="1" t="n">
        <v>45891</v>
      </c>
      <c r="D834" t="inlineStr">
        <is>
          <t>JÄMTLANDS LÄN</t>
        </is>
      </c>
      <c r="E834" t="inlineStr">
        <is>
          <t>BRÄCKE</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59932-2022</t>
        </is>
      </c>
      <c r="B835" s="1" t="n">
        <v>44909.36262731482</v>
      </c>
      <c r="C835" s="1" t="n">
        <v>45891</v>
      </c>
      <c r="D835" t="inlineStr">
        <is>
          <t>JÄMTLANDS LÄN</t>
        </is>
      </c>
      <c r="E835" t="inlineStr">
        <is>
          <t>BRÄCKE</t>
        </is>
      </c>
      <c r="G835" t="n">
        <v>1.2</v>
      </c>
      <c r="H835" t="n">
        <v>0</v>
      </c>
      <c r="I835" t="n">
        <v>0</v>
      </c>
      <c r="J835" t="n">
        <v>0</v>
      </c>
      <c r="K835" t="n">
        <v>0</v>
      </c>
      <c r="L835" t="n">
        <v>0</v>
      </c>
      <c r="M835" t="n">
        <v>0</v>
      </c>
      <c r="N835" t="n">
        <v>0</v>
      </c>
      <c r="O835" t="n">
        <v>0</v>
      </c>
      <c r="P835" t="n">
        <v>0</v>
      </c>
      <c r="Q835" t="n">
        <v>0</v>
      </c>
      <c r="R835" s="2" t="inlineStr"/>
    </row>
    <row r="836" ht="15" customHeight="1">
      <c r="A836" t="inlineStr">
        <is>
          <t>A 37959-2024</t>
        </is>
      </c>
      <c r="B836" s="1" t="n">
        <v>45544.53870370371</v>
      </c>
      <c r="C836" s="1" t="n">
        <v>45891</v>
      </c>
      <c r="D836" t="inlineStr">
        <is>
          <t>JÄMTLANDS LÄN</t>
        </is>
      </c>
      <c r="E836" t="inlineStr">
        <is>
          <t>BRÄCKE</t>
        </is>
      </c>
      <c r="G836" t="n">
        <v>6.5</v>
      </c>
      <c r="H836" t="n">
        <v>0</v>
      </c>
      <c r="I836" t="n">
        <v>0</v>
      </c>
      <c r="J836" t="n">
        <v>0</v>
      </c>
      <c r="K836" t="n">
        <v>0</v>
      </c>
      <c r="L836" t="n">
        <v>0</v>
      </c>
      <c r="M836" t="n">
        <v>0</v>
      </c>
      <c r="N836" t="n">
        <v>0</v>
      </c>
      <c r="O836" t="n">
        <v>0</v>
      </c>
      <c r="P836" t="n">
        <v>0</v>
      </c>
      <c r="Q836" t="n">
        <v>0</v>
      </c>
      <c r="R836" s="2" t="inlineStr"/>
    </row>
    <row r="837" ht="15" customHeight="1">
      <c r="A837" t="inlineStr">
        <is>
          <t>A 48433-2023</t>
        </is>
      </c>
      <c r="B837" s="1" t="n">
        <v>45205</v>
      </c>
      <c r="C837" s="1" t="n">
        <v>45891</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48473-2023</t>
        </is>
      </c>
      <c r="B838" s="1" t="n">
        <v>45206.95770833334</v>
      </c>
      <c r="C838" s="1" t="n">
        <v>45891</v>
      </c>
      <c r="D838" t="inlineStr">
        <is>
          <t>JÄMTLANDS LÄN</t>
        </is>
      </c>
      <c r="E838" t="inlineStr">
        <is>
          <t>BRÄCKE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10606-2025</t>
        </is>
      </c>
      <c r="B839" s="1" t="n">
        <v>45721.59429398148</v>
      </c>
      <c r="C839" s="1" t="n">
        <v>45891</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14492-2024</t>
        </is>
      </c>
      <c r="B840" s="1" t="n">
        <v>45394.58215277778</v>
      </c>
      <c r="C840" s="1" t="n">
        <v>45891</v>
      </c>
      <c r="D840" t="inlineStr">
        <is>
          <t>JÄMTLANDS LÄN</t>
        </is>
      </c>
      <c r="E840" t="inlineStr">
        <is>
          <t>BRÄCKE</t>
        </is>
      </c>
      <c r="G840" t="n">
        <v>16.6</v>
      </c>
      <c r="H840" t="n">
        <v>0</v>
      </c>
      <c r="I840" t="n">
        <v>0</v>
      </c>
      <c r="J840" t="n">
        <v>0</v>
      </c>
      <c r="K840" t="n">
        <v>0</v>
      </c>
      <c r="L840" t="n">
        <v>0</v>
      </c>
      <c r="M840" t="n">
        <v>0</v>
      </c>
      <c r="N840" t="n">
        <v>0</v>
      </c>
      <c r="O840" t="n">
        <v>0</v>
      </c>
      <c r="P840" t="n">
        <v>0</v>
      </c>
      <c r="Q840" t="n">
        <v>0</v>
      </c>
      <c r="R840" s="2" t="inlineStr"/>
    </row>
    <row r="841" ht="15" customHeight="1">
      <c r="A841" t="inlineStr">
        <is>
          <t>A 57096-2024</t>
        </is>
      </c>
      <c r="B841" s="1" t="n">
        <v>45629.35810185185</v>
      </c>
      <c r="C841" s="1" t="n">
        <v>45891</v>
      </c>
      <c r="D841" t="inlineStr">
        <is>
          <t>JÄMTLANDS LÄN</t>
        </is>
      </c>
      <c r="E841" t="inlineStr">
        <is>
          <t>BRÄCKE</t>
        </is>
      </c>
      <c r="F841" t="inlineStr">
        <is>
          <t>SCA</t>
        </is>
      </c>
      <c r="G841" t="n">
        <v>5.1</v>
      </c>
      <c r="H841" t="n">
        <v>0</v>
      </c>
      <c r="I841" t="n">
        <v>0</v>
      </c>
      <c r="J841" t="n">
        <v>0</v>
      </c>
      <c r="K841" t="n">
        <v>0</v>
      </c>
      <c r="L841" t="n">
        <v>0</v>
      </c>
      <c r="M841" t="n">
        <v>0</v>
      </c>
      <c r="N841" t="n">
        <v>0</v>
      </c>
      <c r="O841" t="n">
        <v>0</v>
      </c>
      <c r="P841" t="n">
        <v>0</v>
      </c>
      <c r="Q841" t="n">
        <v>0</v>
      </c>
      <c r="R841" s="2" t="inlineStr"/>
    </row>
    <row r="842" ht="15" customHeight="1">
      <c r="A842" t="inlineStr">
        <is>
          <t>A 28135-2024</t>
        </is>
      </c>
      <c r="B842" s="1" t="n">
        <v>45476</v>
      </c>
      <c r="C842" s="1" t="n">
        <v>45891</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49043-2023</t>
        </is>
      </c>
      <c r="B843" s="1" t="n">
        <v>45209.95743055556</v>
      </c>
      <c r="C843" s="1" t="n">
        <v>45891</v>
      </c>
      <c r="D843" t="inlineStr">
        <is>
          <t>JÄMTLANDS LÄN</t>
        </is>
      </c>
      <c r="E843" t="inlineStr">
        <is>
          <t>BRÄCKE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39122-2024</t>
        </is>
      </c>
      <c r="B844" s="1" t="n">
        <v>45548.5940162037</v>
      </c>
      <c r="C844" s="1" t="n">
        <v>45891</v>
      </c>
      <c r="D844" t="inlineStr">
        <is>
          <t>JÄMTLANDS LÄN</t>
        </is>
      </c>
      <c r="E844" t="inlineStr">
        <is>
          <t>BRÄCKE</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231-2025</t>
        </is>
      </c>
      <c r="B845" s="1" t="n">
        <v>45660.36972222223</v>
      </c>
      <c r="C845" s="1" t="n">
        <v>45891</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278-2025</t>
        </is>
      </c>
      <c r="B846" s="1" t="n">
        <v>45660.49075231481</v>
      </c>
      <c r="C846" s="1" t="n">
        <v>45891</v>
      </c>
      <c r="D846" t="inlineStr">
        <is>
          <t>JÄMTLANDS LÄN</t>
        </is>
      </c>
      <c r="E846" t="inlineStr">
        <is>
          <t>BRÄCKE</t>
        </is>
      </c>
      <c r="G846" t="n">
        <v>0.5</v>
      </c>
      <c r="H846" t="n">
        <v>0</v>
      </c>
      <c r="I846" t="n">
        <v>0</v>
      </c>
      <c r="J846" t="n">
        <v>0</v>
      </c>
      <c r="K846" t="n">
        <v>0</v>
      </c>
      <c r="L846" t="n">
        <v>0</v>
      </c>
      <c r="M846" t="n">
        <v>0</v>
      </c>
      <c r="N846" t="n">
        <v>0</v>
      </c>
      <c r="O846" t="n">
        <v>0</v>
      </c>
      <c r="P846" t="n">
        <v>0</v>
      </c>
      <c r="Q846" t="n">
        <v>0</v>
      </c>
      <c r="R846" s="2" t="inlineStr"/>
    </row>
    <row r="847" ht="15" customHeight="1">
      <c r="A847" t="inlineStr">
        <is>
          <t>A 17973-2025</t>
        </is>
      </c>
      <c r="B847" s="1" t="n">
        <v>45761.36490740741</v>
      </c>
      <c r="C847" s="1" t="n">
        <v>45891</v>
      </c>
      <c r="D847" t="inlineStr">
        <is>
          <t>JÄMTLANDS LÄN</t>
        </is>
      </c>
      <c r="E847" t="inlineStr">
        <is>
          <t>BRÄCKE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17977-2025</t>
        </is>
      </c>
      <c r="B848" s="1" t="n">
        <v>45761.36550925926</v>
      </c>
      <c r="C848" s="1" t="n">
        <v>45891</v>
      </c>
      <c r="D848" t="inlineStr">
        <is>
          <t>JÄMTLANDS LÄN</t>
        </is>
      </c>
      <c r="E848" t="inlineStr">
        <is>
          <t>BRÄCKE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51809-2023</t>
        </is>
      </c>
      <c r="B849" s="1" t="n">
        <v>45222.96574074074</v>
      </c>
      <c r="C849" s="1" t="n">
        <v>45891</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51832-2023</t>
        </is>
      </c>
      <c r="B850" s="1" t="n">
        <v>45222.96841435185</v>
      </c>
      <c r="C850" s="1" t="n">
        <v>45891</v>
      </c>
      <c r="D850" t="inlineStr">
        <is>
          <t>JÄMTLANDS LÄN</t>
        </is>
      </c>
      <c r="E850" t="inlineStr">
        <is>
          <t>BRÄCKE</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59047-2022</t>
        </is>
      </c>
      <c r="B851" s="1" t="n">
        <v>44903.95328703704</v>
      </c>
      <c r="C851" s="1" t="n">
        <v>45891</v>
      </c>
      <c r="D851" t="inlineStr">
        <is>
          <t>JÄMTLANDS LÄN</t>
        </is>
      </c>
      <c r="E851" t="inlineStr">
        <is>
          <t>BRÄCKE</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37239-2023</t>
        </is>
      </c>
      <c r="B852" s="1" t="n">
        <v>45155.95373842592</v>
      </c>
      <c r="C852" s="1" t="n">
        <v>45891</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29456-2024</t>
        </is>
      </c>
      <c r="B853" s="1" t="n">
        <v>45483.96898148148</v>
      </c>
      <c r="C853" s="1" t="n">
        <v>45891</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29460-2024</t>
        </is>
      </c>
      <c r="B854" s="1" t="n">
        <v>45483.96952546296</v>
      </c>
      <c r="C854" s="1" t="n">
        <v>45891</v>
      </c>
      <c r="D854" t="inlineStr">
        <is>
          <t>JÄMTLANDS LÄN</t>
        </is>
      </c>
      <c r="E854" t="inlineStr">
        <is>
          <t>BRÄCKE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22841-2025</t>
        </is>
      </c>
      <c r="B855" s="1" t="n">
        <v>45789</v>
      </c>
      <c r="C855" s="1" t="n">
        <v>45891</v>
      </c>
      <c r="D855" t="inlineStr">
        <is>
          <t>JÄMTLANDS LÄN</t>
        </is>
      </c>
      <c r="E855" t="inlineStr">
        <is>
          <t>BRÄCKE</t>
        </is>
      </c>
      <c r="G855" t="n">
        <v>3.4</v>
      </c>
      <c r="H855" t="n">
        <v>0</v>
      </c>
      <c r="I855" t="n">
        <v>0</v>
      </c>
      <c r="J855" t="n">
        <v>0</v>
      </c>
      <c r="K855" t="n">
        <v>0</v>
      </c>
      <c r="L855" t="n">
        <v>0</v>
      </c>
      <c r="M855" t="n">
        <v>0</v>
      </c>
      <c r="N855" t="n">
        <v>0</v>
      </c>
      <c r="O855" t="n">
        <v>0</v>
      </c>
      <c r="P855" t="n">
        <v>0</v>
      </c>
      <c r="Q855" t="n">
        <v>0</v>
      </c>
      <c r="R855" s="2" t="inlineStr"/>
    </row>
    <row r="856" ht="15" customHeight="1">
      <c r="A856" t="inlineStr">
        <is>
          <t>A 56780-2020</t>
        </is>
      </c>
      <c r="B856" s="1" t="n">
        <v>44137</v>
      </c>
      <c r="C856" s="1" t="n">
        <v>45891</v>
      </c>
      <c r="D856" t="inlineStr">
        <is>
          <t>JÄMTLANDS LÄN</t>
        </is>
      </c>
      <c r="E856" t="inlineStr">
        <is>
          <t>BRÄCKE</t>
        </is>
      </c>
      <c r="G856" t="n">
        <v>0.5</v>
      </c>
      <c r="H856" t="n">
        <v>0</v>
      </c>
      <c r="I856" t="n">
        <v>0</v>
      </c>
      <c r="J856" t="n">
        <v>0</v>
      </c>
      <c r="K856" t="n">
        <v>0</v>
      </c>
      <c r="L856" t="n">
        <v>0</v>
      </c>
      <c r="M856" t="n">
        <v>0</v>
      </c>
      <c r="N856" t="n">
        <v>0</v>
      </c>
      <c r="O856" t="n">
        <v>0</v>
      </c>
      <c r="P856" t="n">
        <v>0</v>
      </c>
      <c r="Q856" t="n">
        <v>0</v>
      </c>
      <c r="R856" s="2" t="inlineStr"/>
    </row>
    <row r="857" ht="15" customHeight="1">
      <c r="A857" t="inlineStr">
        <is>
          <t>A 12601-2022</t>
        </is>
      </c>
      <c r="B857" s="1" t="n">
        <v>44638</v>
      </c>
      <c r="C857" s="1" t="n">
        <v>45891</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15423-2025</t>
        </is>
      </c>
      <c r="B858" s="1" t="n">
        <v>45747.4640162037</v>
      </c>
      <c r="C858" s="1" t="n">
        <v>45891</v>
      </c>
      <c r="D858" t="inlineStr">
        <is>
          <t>JÄMTLANDS LÄN</t>
        </is>
      </c>
      <c r="E858" t="inlineStr">
        <is>
          <t>BRÄCKE</t>
        </is>
      </c>
      <c r="G858" t="n">
        <v>3.4</v>
      </c>
      <c r="H858" t="n">
        <v>0</v>
      </c>
      <c r="I858" t="n">
        <v>0</v>
      </c>
      <c r="J858" t="n">
        <v>0</v>
      </c>
      <c r="K858" t="n">
        <v>0</v>
      </c>
      <c r="L858" t="n">
        <v>0</v>
      </c>
      <c r="M858" t="n">
        <v>0</v>
      </c>
      <c r="N858" t="n">
        <v>0</v>
      </c>
      <c r="O858" t="n">
        <v>0</v>
      </c>
      <c r="P858" t="n">
        <v>0</v>
      </c>
      <c r="Q858" t="n">
        <v>0</v>
      </c>
      <c r="R858" s="2" t="inlineStr"/>
    </row>
    <row r="859" ht="15" customHeight="1">
      <c r="A859" t="inlineStr">
        <is>
          <t>A 30287-2024</t>
        </is>
      </c>
      <c r="B859" s="1" t="n">
        <v>45490.6452199074</v>
      </c>
      <c r="C859" s="1" t="n">
        <v>45891</v>
      </c>
      <c r="D859" t="inlineStr">
        <is>
          <t>JÄMTLANDS LÄN</t>
        </is>
      </c>
      <c r="E859" t="inlineStr">
        <is>
          <t>BRÄCKE</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50609-2023</t>
        </is>
      </c>
      <c r="B860" s="1" t="n">
        <v>45217</v>
      </c>
      <c r="C860" s="1" t="n">
        <v>45891</v>
      </c>
      <c r="D860" t="inlineStr">
        <is>
          <t>JÄMTLANDS LÄN</t>
        </is>
      </c>
      <c r="E860" t="inlineStr">
        <is>
          <t>BRÄCKE</t>
        </is>
      </c>
      <c r="G860" t="n">
        <v>5.7</v>
      </c>
      <c r="H860" t="n">
        <v>0</v>
      </c>
      <c r="I860" t="n">
        <v>0</v>
      </c>
      <c r="J860" t="n">
        <v>0</v>
      </c>
      <c r="K860" t="n">
        <v>0</v>
      </c>
      <c r="L860" t="n">
        <v>0</v>
      </c>
      <c r="M860" t="n">
        <v>0</v>
      </c>
      <c r="N860" t="n">
        <v>0</v>
      </c>
      <c r="O860" t="n">
        <v>0</v>
      </c>
      <c r="P860" t="n">
        <v>0</v>
      </c>
      <c r="Q860" t="n">
        <v>0</v>
      </c>
      <c r="R860" s="2" t="inlineStr"/>
    </row>
    <row r="861" ht="15" customHeight="1">
      <c r="A861" t="inlineStr">
        <is>
          <t>A 20513-2024</t>
        </is>
      </c>
      <c r="B861" s="1" t="n">
        <v>45435.94380787037</v>
      </c>
      <c r="C861" s="1" t="n">
        <v>45891</v>
      </c>
      <c r="D861" t="inlineStr">
        <is>
          <t>JÄMTLANDS LÄN</t>
        </is>
      </c>
      <c r="E861" t="inlineStr">
        <is>
          <t>BRÄCKE</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12864-2024</t>
        </is>
      </c>
      <c r="B862" s="1" t="n">
        <v>45384.9415625</v>
      </c>
      <c r="C862" s="1" t="n">
        <v>45891</v>
      </c>
      <c r="D862" t="inlineStr">
        <is>
          <t>JÄMTLANDS LÄN</t>
        </is>
      </c>
      <c r="E862" t="inlineStr">
        <is>
          <t>BRÄCKE</t>
        </is>
      </c>
      <c r="F862" t="inlineStr">
        <is>
          <t>SCA</t>
        </is>
      </c>
      <c r="G862" t="n">
        <v>7.6</v>
      </c>
      <c r="H862" t="n">
        <v>0</v>
      </c>
      <c r="I862" t="n">
        <v>0</v>
      </c>
      <c r="J862" t="n">
        <v>0</v>
      </c>
      <c r="K862" t="n">
        <v>0</v>
      </c>
      <c r="L862" t="n">
        <v>0</v>
      </c>
      <c r="M862" t="n">
        <v>0</v>
      </c>
      <c r="N862" t="n">
        <v>0</v>
      </c>
      <c r="O862" t="n">
        <v>0</v>
      </c>
      <c r="P862" t="n">
        <v>0</v>
      </c>
      <c r="Q862" t="n">
        <v>0</v>
      </c>
      <c r="R862" s="2" t="inlineStr"/>
    </row>
    <row r="863" ht="15" customHeight="1">
      <c r="A863" t="inlineStr">
        <is>
          <t>A 57605-2024</t>
        </is>
      </c>
      <c r="B863" s="1" t="n">
        <v>45630.53201388889</v>
      </c>
      <c r="C863" s="1" t="n">
        <v>45891</v>
      </c>
      <c r="D863" t="inlineStr">
        <is>
          <t>JÄMTLANDS LÄN</t>
        </is>
      </c>
      <c r="E863" t="inlineStr">
        <is>
          <t>BRÄCKE</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57623-2024</t>
        </is>
      </c>
      <c r="B864" s="1" t="n">
        <v>45630.55260416667</v>
      </c>
      <c r="C864" s="1" t="n">
        <v>45891</v>
      </c>
      <c r="D864" t="inlineStr">
        <is>
          <t>JÄMTLANDS LÄN</t>
        </is>
      </c>
      <c r="E864" t="inlineStr">
        <is>
          <t>BRÄCKE</t>
        </is>
      </c>
      <c r="G864" t="n">
        <v>1.4</v>
      </c>
      <c r="H864" t="n">
        <v>0</v>
      </c>
      <c r="I864" t="n">
        <v>0</v>
      </c>
      <c r="J864" t="n">
        <v>0</v>
      </c>
      <c r="K864" t="n">
        <v>0</v>
      </c>
      <c r="L864" t="n">
        <v>0</v>
      </c>
      <c r="M864" t="n">
        <v>0</v>
      </c>
      <c r="N864" t="n">
        <v>0</v>
      </c>
      <c r="O864" t="n">
        <v>0</v>
      </c>
      <c r="P864" t="n">
        <v>0</v>
      </c>
      <c r="Q864" t="n">
        <v>0</v>
      </c>
      <c r="R864" s="2" t="inlineStr"/>
    </row>
    <row r="865" ht="15" customHeight="1">
      <c r="A865" t="inlineStr">
        <is>
          <t>A 45005-2023</t>
        </is>
      </c>
      <c r="B865" s="1" t="n">
        <v>45190</v>
      </c>
      <c r="C865" s="1" t="n">
        <v>45891</v>
      </c>
      <c r="D865" t="inlineStr">
        <is>
          <t>JÄMTLANDS LÄN</t>
        </is>
      </c>
      <c r="E865" t="inlineStr">
        <is>
          <t>BRÄCKE</t>
        </is>
      </c>
      <c r="F865" t="inlineStr">
        <is>
          <t>SCA</t>
        </is>
      </c>
      <c r="G865" t="n">
        <v>4.6</v>
      </c>
      <c r="H865" t="n">
        <v>0</v>
      </c>
      <c r="I865" t="n">
        <v>0</v>
      </c>
      <c r="J865" t="n">
        <v>0</v>
      </c>
      <c r="K865" t="n">
        <v>0</v>
      </c>
      <c r="L865" t="n">
        <v>0</v>
      </c>
      <c r="M865" t="n">
        <v>0</v>
      </c>
      <c r="N865" t="n">
        <v>0</v>
      </c>
      <c r="O865" t="n">
        <v>0</v>
      </c>
      <c r="P865" t="n">
        <v>0</v>
      </c>
      <c r="Q865" t="n">
        <v>0</v>
      </c>
      <c r="R865" s="2" t="inlineStr"/>
    </row>
    <row r="866" ht="15" customHeight="1">
      <c r="A866" t="inlineStr">
        <is>
          <t>A 47550-2024</t>
        </is>
      </c>
      <c r="B866" s="1" t="n">
        <v>45587.66041666667</v>
      </c>
      <c r="C866" s="1" t="n">
        <v>45891</v>
      </c>
      <c r="D866" t="inlineStr">
        <is>
          <t>JÄMTLANDS LÄN</t>
        </is>
      </c>
      <c r="E866" t="inlineStr">
        <is>
          <t>BRÄCKE</t>
        </is>
      </c>
      <c r="G866" t="n">
        <v>5.3</v>
      </c>
      <c r="H866" t="n">
        <v>0</v>
      </c>
      <c r="I866" t="n">
        <v>0</v>
      </c>
      <c r="J866" t="n">
        <v>0</v>
      </c>
      <c r="K866" t="n">
        <v>0</v>
      </c>
      <c r="L866" t="n">
        <v>0</v>
      </c>
      <c r="M866" t="n">
        <v>0</v>
      </c>
      <c r="N866" t="n">
        <v>0</v>
      </c>
      <c r="O866" t="n">
        <v>0</v>
      </c>
      <c r="P866" t="n">
        <v>0</v>
      </c>
      <c r="Q866" t="n">
        <v>0</v>
      </c>
      <c r="R866" s="2" t="inlineStr"/>
    </row>
    <row r="867" ht="15" customHeight="1">
      <c r="A867" t="inlineStr">
        <is>
          <t>A 10883-2025</t>
        </is>
      </c>
      <c r="B867" s="1" t="n">
        <v>45722.65655092592</v>
      </c>
      <c r="C867" s="1" t="n">
        <v>45891</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12900-2023</t>
        </is>
      </c>
      <c r="B868" s="1" t="n">
        <v>45001</v>
      </c>
      <c r="C868" s="1" t="n">
        <v>45891</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64495-2020</t>
        </is>
      </c>
      <c r="B869" s="1" t="n">
        <v>44168</v>
      </c>
      <c r="C869" s="1" t="n">
        <v>45891</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10110-2025</t>
        </is>
      </c>
      <c r="B870" s="1" t="n">
        <v>45719.58855324074</v>
      </c>
      <c r="C870" s="1" t="n">
        <v>45891</v>
      </c>
      <c r="D870" t="inlineStr">
        <is>
          <t>JÄMTLANDS LÄN</t>
        </is>
      </c>
      <c r="E870" t="inlineStr">
        <is>
          <t>BRÄCKE</t>
        </is>
      </c>
      <c r="G870" t="n">
        <v>1.2</v>
      </c>
      <c r="H870" t="n">
        <v>0</v>
      </c>
      <c r="I870" t="n">
        <v>0</v>
      </c>
      <c r="J870" t="n">
        <v>0</v>
      </c>
      <c r="K870" t="n">
        <v>0</v>
      </c>
      <c r="L870" t="n">
        <v>0</v>
      </c>
      <c r="M870" t="n">
        <v>0</v>
      </c>
      <c r="N870" t="n">
        <v>0</v>
      </c>
      <c r="O870" t="n">
        <v>0</v>
      </c>
      <c r="P870" t="n">
        <v>0</v>
      </c>
      <c r="Q870" t="n">
        <v>0</v>
      </c>
      <c r="R870" s="2" t="inlineStr"/>
    </row>
    <row r="871" ht="15" customHeight="1">
      <c r="A871" t="inlineStr">
        <is>
          <t>A 10130-2022</t>
        </is>
      </c>
      <c r="B871" s="1" t="n">
        <v>44621.94561342592</v>
      </c>
      <c r="C871" s="1" t="n">
        <v>45891</v>
      </c>
      <c r="D871" t="inlineStr">
        <is>
          <t>JÄMTLANDS LÄN</t>
        </is>
      </c>
      <c r="E871" t="inlineStr">
        <is>
          <t>BRÄCKE</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41647-2023</t>
        </is>
      </c>
      <c r="B872" s="1" t="n">
        <v>45175.95690972222</v>
      </c>
      <c r="C872" s="1" t="n">
        <v>45891</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45758-2024</t>
        </is>
      </c>
      <c r="B873" s="1" t="n">
        <v>45579.6357175926</v>
      </c>
      <c r="C873" s="1" t="n">
        <v>45891</v>
      </c>
      <c r="D873" t="inlineStr">
        <is>
          <t>JÄMTLANDS LÄN</t>
        </is>
      </c>
      <c r="E873" t="inlineStr">
        <is>
          <t>BRÄCKE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782-2025</t>
        </is>
      </c>
      <c r="B874" s="1" t="n">
        <v>45665.48423611111</v>
      </c>
      <c r="C874" s="1" t="n">
        <v>45891</v>
      </c>
      <c r="D874" t="inlineStr">
        <is>
          <t>JÄMTLANDS LÄN</t>
        </is>
      </c>
      <c r="E874" t="inlineStr">
        <is>
          <t>BRÄCKE</t>
        </is>
      </c>
      <c r="G874" t="n">
        <v>1.1</v>
      </c>
      <c r="H874" t="n">
        <v>0</v>
      </c>
      <c r="I874" t="n">
        <v>0</v>
      </c>
      <c r="J874" t="n">
        <v>0</v>
      </c>
      <c r="K874" t="n">
        <v>0</v>
      </c>
      <c r="L874" t="n">
        <v>0</v>
      </c>
      <c r="M874" t="n">
        <v>0</v>
      </c>
      <c r="N874" t="n">
        <v>0</v>
      </c>
      <c r="O874" t="n">
        <v>0</v>
      </c>
      <c r="P874" t="n">
        <v>0</v>
      </c>
      <c r="Q874" t="n">
        <v>0</v>
      </c>
      <c r="R874" s="2" t="inlineStr"/>
    </row>
    <row r="875" ht="15" customHeight="1">
      <c r="A875" t="inlineStr">
        <is>
          <t>A 16372-2023</t>
        </is>
      </c>
      <c r="B875" s="1" t="n">
        <v>45028.94083333333</v>
      </c>
      <c r="C875" s="1" t="n">
        <v>45891</v>
      </c>
      <c r="D875" t="inlineStr">
        <is>
          <t>JÄMTLANDS LÄN</t>
        </is>
      </c>
      <c r="E875" t="inlineStr">
        <is>
          <t>BRÄCKE</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22940-2025</t>
        </is>
      </c>
      <c r="B876" s="1" t="n">
        <v>45790.46918981482</v>
      </c>
      <c r="C876" s="1" t="n">
        <v>45891</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4635-2022</t>
        </is>
      </c>
      <c r="B877" s="1" t="n">
        <v>44592.41413194445</v>
      </c>
      <c r="C877" s="1" t="n">
        <v>45891</v>
      </c>
      <c r="D877" t="inlineStr">
        <is>
          <t>JÄMTLANDS LÄN</t>
        </is>
      </c>
      <c r="E877" t="inlineStr">
        <is>
          <t>BRÄCKE</t>
        </is>
      </c>
      <c r="G877" t="n">
        <v>3.7</v>
      </c>
      <c r="H877" t="n">
        <v>0</v>
      </c>
      <c r="I877" t="n">
        <v>0</v>
      </c>
      <c r="J877" t="n">
        <v>0</v>
      </c>
      <c r="K877" t="n">
        <v>0</v>
      </c>
      <c r="L877" t="n">
        <v>0</v>
      </c>
      <c r="M877" t="n">
        <v>0</v>
      </c>
      <c r="N877" t="n">
        <v>0</v>
      </c>
      <c r="O877" t="n">
        <v>0</v>
      </c>
      <c r="P877" t="n">
        <v>0</v>
      </c>
      <c r="Q877" t="n">
        <v>0</v>
      </c>
      <c r="R877" s="2" t="inlineStr"/>
    </row>
    <row r="878" ht="15" customHeight="1">
      <c r="A878" t="inlineStr">
        <is>
          <t>A 21781-2023</t>
        </is>
      </c>
      <c r="B878" s="1" t="n">
        <v>45065</v>
      </c>
      <c r="C878" s="1" t="n">
        <v>45891</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22670-2025</t>
        </is>
      </c>
      <c r="B879" s="1" t="n">
        <v>45789.49024305555</v>
      </c>
      <c r="C879" s="1" t="n">
        <v>45891</v>
      </c>
      <c r="D879" t="inlineStr">
        <is>
          <t>JÄMTLANDS LÄN</t>
        </is>
      </c>
      <c r="E879" t="inlineStr">
        <is>
          <t>BRÄCKE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22958-2025</t>
        </is>
      </c>
      <c r="B880" s="1" t="n">
        <v>45790.53184027778</v>
      </c>
      <c r="C880" s="1" t="n">
        <v>45891</v>
      </c>
      <c r="D880" t="inlineStr">
        <is>
          <t>JÄMTLANDS LÄN</t>
        </is>
      </c>
      <c r="E880" t="inlineStr">
        <is>
          <t>BRÄCKE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25676-2023</t>
        </is>
      </c>
      <c r="B881" s="1" t="n">
        <v>45089.93925925926</v>
      </c>
      <c r="C881" s="1" t="n">
        <v>45891</v>
      </c>
      <c r="D881" t="inlineStr">
        <is>
          <t>JÄMTLANDS LÄN</t>
        </is>
      </c>
      <c r="E881" t="inlineStr">
        <is>
          <t>BRÄCKE</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22957-2025</t>
        </is>
      </c>
      <c r="B882" s="1" t="n">
        <v>45790.53179398148</v>
      </c>
      <c r="C882" s="1" t="n">
        <v>45891</v>
      </c>
      <c r="D882" t="inlineStr">
        <is>
          <t>JÄMTLANDS LÄN</t>
        </is>
      </c>
      <c r="E882" t="inlineStr">
        <is>
          <t>BRÄCKE</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49526-2024</t>
        </is>
      </c>
      <c r="B883" s="1" t="n">
        <v>45596.40731481482</v>
      </c>
      <c r="C883" s="1" t="n">
        <v>45891</v>
      </c>
      <c r="D883" t="inlineStr">
        <is>
          <t>JÄMTLANDS LÄN</t>
        </is>
      </c>
      <c r="E883" t="inlineStr">
        <is>
          <t>BRÄCKE</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48342-2024</t>
        </is>
      </c>
      <c r="B884" s="1" t="n">
        <v>45590.55238425926</v>
      </c>
      <c r="C884" s="1" t="n">
        <v>45891</v>
      </c>
      <c r="D884" t="inlineStr">
        <is>
          <t>JÄMTLANDS LÄN</t>
        </is>
      </c>
      <c r="E884" t="inlineStr">
        <is>
          <t>BRÄCKE</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22705-2025</t>
        </is>
      </c>
      <c r="B885" s="1" t="n">
        <v>45789.55271990741</v>
      </c>
      <c r="C885" s="1" t="n">
        <v>45891</v>
      </c>
      <c r="D885" t="inlineStr">
        <is>
          <t>JÄMTLANDS LÄN</t>
        </is>
      </c>
      <c r="E885" t="inlineStr">
        <is>
          <t>BRÄCKE</t>
        </is>
      </c>
      <c r="F885" t="inlineStr">
        <is>
          <t>SCA</t>
        </is>
      </c>
      <c r="G885" t="n">
        <v>8.6</v>
      </c>
      <c r="H885" t="n">
        <v>0</v>
      </c>
      <c r="I885" t="n">
        <v>0</v>
      </c>
      <c r="J885" t="n">
        <v>0</v>
      </c>
      <c r="K885" t="n">
        <v>0</v>
      </c>
      <c r="L885" t="n">
        <v>0</v>
      </c>
      <c r="M885" t="n">
        <v>0</v>
      </c>
      <c r="N885" t="n">
        <v>0</v>
      </c>
      <c r="O885" t="n">
        <v>0</v>
      </c>
      <c r="P885" t="n">
        <v>0</v>
      </c>
      <c r="Q885" t="n">
        <v>0</v>
      </c>
      <c r="R885" s="2" t="inlineStr"/>
    </row>
    <row r="886" ht="15" customHeight="1">
      <c r="A886" t="inlineStr">
        <is>
          <t>A 45950-2023</t>
        </is>
      </c>
      <c r="B886" s="1" t="n">
        <v>45195</v>
      </c>
      <c r="C886" s="1" t="n">
        <v>45891</v>
      </c>
      <c r="D886" t="inlineStr">
        <is>
          <t>JÄMTLANDS LÄN</t>
        </is>
      </c>
      <c r="E886" t="inlineStr">
        <is>
          <t>BRÄCKE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22313-2025</t>
        </is>
      </c>
      <c r="B887" s="1" t="n">
        <v>45786.38583333333</v>
      </c>
      <c r="C887" s="1" t="n">
        <v>45891</v>
      </c>
      <c r="D887" t="inlineStr">
        <is>
          <t>JÄMTLANDS LÄN</t>
        </is>
      </c>
      <c r="E887" t="inlineStr">
        <is>
          <t>BRÄCKE</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22772-2025</t>
        </is>
      </c>
      <c r="B888" s="1" t="n">
        <v>45789.63618055556</v>
      </c>
      <c r="C888" s="1" t="n">
        <v>45891</v>
      </c>
      <c r="D888" t="inlineStr">
        <is>
          <t>JÄMTLANDS LÄN</t>
        </is>
      </c>
      <c r="E888" t="inlineStr">
        <is>
          <t>BRÄCKE</t>
        </is>
      </c>
      <c r="G888" t="n">
        <v>0.7</v>
      </c>
      <c r="H888" t="n">
        <v>0</v>
      </c>
      <c r="I888" t="n">
        <v>0</v>
      </c>
      <c r="J888" t="n">
        <v>0</v>
      </c>
      <c r="K888" t="n">
        <v>0</v>
      </c>
      <c r="L888" t="n">
        <v>0</v>
      </c>
      <c r="M888" t="n">
        <v>0</v>
      </c>
      <c r="N888" t="n">
        <v>0</v>
      </c>
      <c r="O888" t="n">
        <v>0</v>
      </c>
      <c r="P888" t="n">
        <v>0</v>
      </c>
      <c r="Q888" t="n">
        <v>0</v>
      </c>
      <c r="R888" s="2" t="inlineStr"/>
    </row>
    <row r="889" ht="15" customHeight="1">
      <c r="A889" t="inlineStr">
        <is>
          <t>A 49032-2024</t>
        </is>
      </c>
      <c r="B889" s="1" t="n">
        <v>45594.53152777778</v>
      </c>
      <c r="C889" s="1" t="n">
        <v>45891</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22792-2025</t>
        </is>
      </c>
      <c r="B890" s="1" t="n">
        <v>45789.65681712963</v>
      </c>
      <c r="C890" s="1" t="n">
        <v>45891</v>
      </c>
      <c r="D890" t="inlineStr">
        <is>
          <t>JÄMTLANDS LÄN</t>
        </is>
      </c>
      <c r="E890" t="inlineStr">
        <is>
          <t>BRÄCKE</t>
        </is>
      </c>
      <c r="F890" t="inlineStr">
        <is>
          <t>SCA</t>
        </is>
      </c>
      <c r="G890" t="n">
        <v>5.5</v>
      </c>
      <c r="H890" t="n">
        <v>0</v>
      </c>
      <c r="I890" t="n">
        <v>0</v>
      </c>
      <c r="J890" t="n">
        <v>0</v>
      </c>
      <c r="K890" t="n">
        <v>0</v>
      </c>
      <c r="L890" t="n">
        <v>0</v>
      </c>
      <c r="M890" t="n">
        <v>0</v>
      </c>
      <c r="N890" t="n">
        <v>0</v>
      </c>
      <c r="O890" t="n">
        <v>0</v>
      </c>
      <c r="P890" t="n">
        <v>0</v>
      </c>
      <c r="Q890" t="n">
        <v>0</v>
      </c>
      <c r="R890" s="2" t="inlineStr"/>
    </row>
    <row r="891" ht="15" customHeight="1">
      <c r="A891" t="inlineStr">
        <is>
          <t>A 67612-2020</t>
        </is>
      </c>
      <c r="B891" s="1" t="n">
        <v>44181</v>
      </c>
      <c r="C891" s="1" t="n">
        <v>45891</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14281-2025</t>
        </is>
      </c>
      <c r="B892" s="1" t="n">
        <v>45740.65650462963</v>
      </c>
      <c r="C892" s="1" t="n">
        <v>45891</v>
      </c>
      <c r="D892" t="inlineStr">
        <is>
          <t>JÄMTLANDS LÄN</t>
        </is>
      </c>
      <c r="E892" t="inlineStr">
        <is>
          <t>BRÄCKE</t>
        </is>
      </c>
      <c r="G892" t="n">
        <v>3.5</v>
      </c>
      <c r="H892" t="n">
        <v>0</v>
      </c>
      <c r="I892" t="n">
        <v>0</v>
      </c>
      <c r="J892" t="n">
        <v>0</v>
      </c>
      <c r="K892" t="n">
        <v>0</v>
      </c>
      <c r="L892" t="n">
        <v>0</v>
      </c>
      <c r="M892" t="n">
        <v>0</v>
      </c>
      <c r="N892" t="n">
        <v>0</v>
      </c>
      <c r="O892" t="n">
        <v>0</v>
      </c>
      <c r="P892" t="n">
        <v>0</v>
      </c>
      <c r="Q892" t="n">
        <v>0</v>
      </c>
      <c r="R892" s="2" t="inlineStr"/>
    </row>
    <row r="893" ht="15" customHeight="1">
      <c r="A893" t="inlineStr">
        <is>
          <t>A 22652-2025</t>
        </is>
      </c>
      <c r="B893" s="1" t="n">
        <v>45789.46920138889</v>
      </c>
      <c r="C893" s="1" t="n">
        <v>45891</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43123-2023</t>
        </is>
      </c>
      <c r="B894" s="1" t="n">
        <v>45182</v>
      </c>
      <c r="C894" s="1" t="n">
        <v>45891</v>
      </c>
      <c r="D894" t="inlineStr">
        <is>
          <t>JÄMTLANDS LÄN</t>
        </is>
      </c>
      <c r="E894" t="inlineStr">
        <is>
          <t>BRÄCKE</t>
        </is>
      </c>
      <c r="F894" t="inlineStr">
        <is>
          <t>Naturvårdsverket</t>
        </is>
      </c>
      <c r="G894" t="n">
        <v>9.9</v>
      </c>
      <c r="H894" t="n">
        <v>0</v>
      </c>
      <c r="I894" t="n">
        <v>0</v>
      </c>
      <c r="J894" t="n">
        <v>0</v>
      </c>
      <c r="K894" t="n">
        <v>0</v>
      </c>
      <c r="L894" t="n">
        <v>0</v>
      </c>
      <c r="M894" t="n">
        <v>0</v>
      </c>
      <c r="N894" t="n">
        <v>0</v>
      </c>
      <c r="O894" t="n">
        <v>0</v>
      </c>
      <c r="P894" t="n">
        <v>0</v>
      </c>
      <c r="Q894" t="n">
        <v>0</v>
      </c>
      <c r="R894" s="2" t="inlineStr"/>
    </row>
    <row r="895" ht="15" customHeight="1">
      <c r="A895" t="inlineStr">
        <is>
          <t>A 22773-2025</t>
        </is>
      </c>
      <c r="B895" s="1" t="n">
        <v>45789.63637731481</v>
      </c>
      <c r="C895" s="1" t="n">
        <v>45891</v>
      </c>
      <c r="D895" t="inlineStr">
        <is>
          <t>JÄMTLANDS LÄN</t>
        </is>
      </c>
      <c r="E895" t="inlineStr">
        <is>
          <t>BRÄCKE</t>
        </is>
      </c>
      <c r="F895" t="inlineStr">
        <is>
          <t>SCA</t>
        </is>
      </c>
      <c r="G895" t="n">
        <v>5.7</v>
      </c>
      <c r="H895" t="n">
        <v>0</v>
      </c>
      <c r="I895" t="n">
        <v>0</v>
      </c>
      <c r="J895" t="n">
        <v>0</v>
      </c>
      <c r="K895" t="n">
        <v>0</v>
      </c>
      <c r="L895" t="n">
        <v>0</v>
      </c>
      <c r="M895" t="n">
        <v>0</v>
      </c>
      <c r="N895" t="n">
        <v>0</v>
      </c>
      <c r="O895" t="n">
        <v>0</v>
      </c>
      <c r="P895" t="n">
        <v>0</v>
      </c>
      <c r="Q895" t="n">
        <v>0</v>
      </c>
      <c r="R895" s="2" t="inlineStr"/>
    </row>
    <row r="896" ht="15" customHeight="1">
      <c r="A896" t="inlineStr">
        <is>
          <t>A 10510-2025</t>
        </is>
      </c>
      <c r="B896" s="1" t="n">
        <v>45721.40363425926</v>
      </c>
      <c r="C896" s="1" t="n">
        <v>45891</v>
      </c>
      <c r="D896" t="inlineStr">
        <is>
          <t>JÄMTLANDS LÄN</t>
        </is>
      </c>
      <c r="E896" t="inlineStr">
        <is>
          <t>BRÄCKE</t>
        </is>
      </c>
      <c r="G896" t="n">
        <v>0.9</v>
      </c>
      <c r="H896" t="n">
        <v>0</v>
      </c>
      <c r="I896" t="n">
        <v>0</v>
      </c>
      <c r="J896" t="n">
        <v>0</v>
      </c>
      <c r="K896" t="n">
        <v>0</v>
      </c>
      <c r="L896" t="n">
        <v>0</v>
      </c>
      <c r="M896" t="n">
        <v>0</v>
      </c>
      <c r="N896" t="n">
        <v>0</v>
      </c>
      <c r="O896" t="n">
        <v>0</v>
      </c>
      <c r="P896" t="n">
        <v>0</v>
      </c>
      <c r="Q896" t="n">
        <v>0</v>
      </c>
      <c r="R896" s="2" t="inlineStr"/>
    </row>
    <row r="897" ht="15" customHeight="1">
      <c r="A897" t="inlineStr">
        <is>
          <t>A 55478-2024</t>
        </is>
      </c>
      <c r="B897" s="1" t="n">
        <v>45622.43795138889</v>
      </c>
      <c r="C897" s="1" t="n">
        <v>45891</v>
      </c>
      <c r="D897" t="inlineStr">
        <is>
          <t>JÄMTLANDS LÄN</t>
        </is>
      </c>
      <c r="E897" t="inlineStr">
        <is>
          <t>BRÄCKE</t>
        </is>
      </c>
      <c r="G897" t="n">
        <v>5.5</v>
      </c>
      <c r="H897" t="n">
        <v>0</v>
      </c>
      <c r="I897" t="n">
        <v>0</v>
      </c>
      <c r="J897" t="n">
        <v>0</v>
      </c>
      <c r="K897" t="n">
        <v>0</v>
      </c>
      <c r="L897" t="n">
        <v>0</v>
      </c>
      <c r="M897" t="n">
        <v>0</v>
      </c>
      <c r="N897" t="n">
        <v>0</v>
      </c>
      <c r="O897" t="n">
        <v>0</v>
      </c>
      <c r="P897" t="n">
        <v>0</v>
      </c>
      <c r="Q897" t="n">
        <v>0</v>
      </c>
      <c r="R897" s="2" t="inlineStr"/>
    </row>
    <row r="898" ht="15" customHeight="1">
      <c r="A898" t="inlineStr">
        <is>
          <t>A 22816-2025</t>
        </is>
      </c>
      <c r="B898" s="1" t="n">
        <v>45789.69841435185</v>
      </c>
      <c r="C898" s="1" t="n">
        <v>45891</v>
      </c>
      <c r="D898" t="inlineStr">
        <is>
          <t>JÄMTLANDS LÄN</t>
        </is>
      </c>
      <c r="E898" t="inlineStr">
        <is>
          <t>BRÄCKE</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41825-2024</t>
        </is>
      </c>
      <c r="B899" s="1" t="n">
        <v>45561.39943287037</v>
      </c>
      <c r="C899" s="1" t="n">
        <v>45891</v>
      </c>
      <c r="D899" t="inlineStr">
        <is>
          <t>JÄMTLANDS LÄN</t>
        </is>
      </c>
      <c r="E899" t="inlineStr">
        <is>
          <t>BRÄCKE</t>
        </is>
      </c>
      <c r="G899" t="n">
        <v>0.9</v>
      </c>
      <c r="H899" t="n">
        <v>0</v>
      </c>
      <c r="I899" t="n">
        <v>0</v>
      </c>
      <c r="J899" t="n">
        <v>0</v>
      </c>
      <c r="K899" t="n">
        <v>0</v>
      </c>
      <c r="L899" t="n">
        <v>0</v>
      </c>
      <c r="M899" t="n">
        <v>0</v>
      </c>
      <c r="N899" t="n">
        <v>0</v>
      </c>
      <c r="O899" t="n">
        <v>0</v>
      </c>
      <c r="P899" t="n">
        <v>0</v>
      </c>
      <c r="Q899" t="n">
        <v>0</v>
      </c>
      <c r="R899" s="2" t="inlineStr"/>
    </row>
    <row r="900" ht="15" customHeight="1">
      <c r="A900" t="inlineStr">
        <is>
          <t>A 14798-2023</t>
        </is>
      </c>
      <c r="B900" s="1" t="n">
        <v>45014.61738425926</v>
      </c>
      <c r="C900" s="1" t="n">
        <v>45891</v>
      </c>
      <c r="D900" t="inlineStr">
        <is>
          <t>JÄMTLANDS LÄN</t>
        </is>
      </c>
      <c r="E900" t="inlineStr">
        <is>
          <t>BRÄCKE</t>
        </is>
      </c>
      <c r="G900" t="n">
        <v>3.5</v>
      </c>
      <c r="H900" t="n">
        <v>0</v>
      </c>
      <c r="I900" t="n">
        <v>0</v>
      </c>
      <c r="J900" t="n">
        <v>0</v>
      </c>
      <c r="K900" t="n">
        <v>0</v>
      </c>
      <c r="L900" t="n">
        <v>0</v>
      </c>
      <c r="M900" t="n">
        <v>0</v>
      </c>
      <c r="N900" t="n">
        <v>0</v>
      </c>
      <c r="O900" t="n">
        <v>0</v>
      </c>
      <c r="P900" t="n">
        <v>0</v>
      </c>
      <c r="Q900" t="n">
        <v>0</v>
      </c>
      <c r="R900" s="2" t="inlineStr"/>
    </row>
    <row r="901" ht="15" customHeight="1">
      <c r="A901" t="inlineStr">
        <is>
          <t>A 30480-2024</t>
        </is>
      </c>
      <c r="B901" s="1" t="n">
        <v>45491.9494675926</v>
      </c>
      <c r="C901" s="1" t="n">
        <v>45891</v>
      </c>
      <c r="D901" t="inlineStr">
        <is>
          <t>JÄMTLANDS LÄN</t>
        </is>
      </c>
      <c r="E901" t="inlineStr">
        <is>
          <t>BRÄCKE</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23211-2025</t>
        </is>
      </c>
      <c r="B902" s="1" t="n">
        <v>45791.46956018519</v>
      </c>
      <c r="C902" s="1" t="n">
        <v>45891</v>
      </c>
      <c r="D902" t="inlineStr">
        <is>
          <t>JÄMTLANDS LÄN</t>
        </is>
      </c>
      <c r="E902" t="inlineStr">
        <is>
          <t>BRÄCKE</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23298-2025</t>
        </is>
      </c>
      <c r="B903" s="1" t="n">
        <v>45791.59456018519</v>
      </c>
      <c r="C903" s="1" t="n">
        <v>45891</v>
      </c>
      <c r="D903" t="inlineStr">
        <is>
          <t>JÄMTLANDS LÄN</t>
        </is>
      </c>
      <c r="E903" t="inlineStr">
        <is>
          <t>BRÄCKE</t>
        </is>
      </c>
      <c r="F903" t="inlineStr">
        <is>
          <t>SCA</t>
        </is>
      </c>
      <c r="G903" t="n">
        <v>6.5</v>
      </c>
      <c r="H903" t="n">
        <v>0</v>
      </c>
      <c r="I903" t="n">
        <v>0</v>
      </c>
      <c r="J903" t="n">
        <v>0</v>
      </c>
      <c r="K903" t="n">
        <v>0</v>
      </c>
      <c r="L903" t="n">
        <v>0</v>
      </c>
      <c r="M903" t="n">
        <v>0</v>
      </c>
      <c r="N903" t="n">
        <v>0</v>
      </c>
      <c r="O903" t="n">
        <v>0</v>
      </c>
      <c r="P903" t="n">
        <v>0</v>
      </c>
      <c r="Q903" t="n">
        <v>0</v>
      </c>
      <c r="R903" s="2" t="inlineStr"/>
    </row>
    <row r="904" ht="15" customHeight="1">
      <c r="A904" t="inlineStr">
        <is>
          <t>A 23344-2025</t>
        </is>
      </c>
      <c r="B904" s="1" t="n">
        <v>45791.65712962963</v>
      </c>
      <c r="C904" s="1" t="n">
        <v>45891</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11093-2022</t>
        </is>
      </c>
      <c r="B905" s="1" t="n">
        <v>44628</v>
      </c>
      <c r="C905" s="1" t="n">
        <v>45891</v>
      </c>
      <c r="D905" t="inlineStr">
        <is>
          <t>JÄMTLANDS LÄN</t>
        </is>
      </c>
      <c r="E905" t="inlineStr">
        <is>
          <t>BRÄCKE</t>
        </is>
      </c>
      <c r="G905" t="n">
        <v>16.4</v>
      </c>
      <c r="H905" t="n">
        <v>0</v>
      </c>
      <c r="I905" t="n">
        <v>0</v>
      </c>
      <c r="J905" t="n">
        <v>0</v>
      </c>
      <c r="K905" t="n">
        <v>0</v>
      </c>
      <c r="L905" t="n">
        <v>0</v>
      </c>
      <c r="M905" t="n">
        <v>0</v>
      </c>
      <c r="N905" t="n">
        <v>0</v>
      </c>
      <c r="O905" t="n">
        <v>0</v>
      </c>
      <c r="P905" t="n">
        <v>0</v>
      </c>
      <c r="Q905" t="n">
        <v>0</v>
      </c>
      <c r="R905" s="2" t="inlineStr"/>
    </row>
    <row r="906" ht="15" customHeight="1">
      <c r="A906" t="inlineStr">
        <is>
          <t>A 56493-2024</t>
        </is>
      </c>
      <c r="B906" s="1" t="n">
        <v>45625.49034722222</v>
      </c>
      <c r="C906" s="1" t="n">
        <v>45891</v>
      </c>
      <c r="D906" t="inlineStr">
        <is>
          <t>JÄMTLANDS LÄN</t>
        </is>
      </c>
      <c r="E906" t="inlineStr">
        <is>
          <t>BRÄCKE</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72025-2021</t>
        </is>
      </c>
      <c r="B907" s="1" t="n">
        <v>44540</v>
      </c>
      <c r="C907" s="1" t="n">
        <v>45891</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28765-2024</t>
        </is>
      </c>
      <c r="B908" s="1" t="n">
        <v>45478.59344907408</v>
      </c>
      <c r="C908" s="1" t="n">
        <v>45891</v>
      </c>
      <c r="D908" t="inlineStr">
        <is>
          <t>JÄMTLANDS LÄN</t>
        </is>
      </c>
      <c r="E908" t="inlineStr">
        <is>
          <t>BRÄCKE</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58086-2024</t>
        </is>
      </c>
      <c r="B909" s="1" t="n">
        <v>45632.34436342592</v>
      </c>
      <c r="C909" s="1" t="n">
        <v>45891</v>
      </c>
      <c r="D909" t="inlineStr">
        <is>
          <t>JÄMTLANDS LÄN</t>
        </is>
      </c>
      <c r="E909" t="inlineStr">
        <is>
          <t>BRÄCKE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45028-2023</t>
        </is>
      </c>
      <c r="B910" s="1" t="n">
        <v>45190</v>
      </c>
      <c r="C910" s="1" t="n">
        <v>45891</v>
      </c>
      <c r="D910" t="inlineStr">
        <is>
          <t>JÄMTLANDS LÄN</t>
        </is>
      </c>
      <c r="E910" t="inlineStr">
        <is>
          <t>BRÄCKE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23363-2025</t>
        </is>
      </c>
      <c r="B911" s="1" t="n">
        <v>45791.67775462963</v>
      </c>
      <c r="C911" s="1" t="n">
        <v>45891</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10532-2022</t>
        </is>
      </c>
      <c r="B912" s="1" t="n">
        <v>44623</v>
      </c>
      <c r="C912" s="1" t="n">
        <v>45891</v>
      </c>
      <c r="D912" t="inlineStr">
        <is>
          <t>JÄMTLANDS LÄN</t>
        </is>
      </c>
      <c r="E912" t="inlineStr">
        <is>
          <t>BRÄCKE</t>
        </is>
      </c>
      <c r="G912" t="n">
        <v>3.1</v>
      </c>
      <c r="H912" t="n">
        <v>0</v>
      </c>
      <c r="I912" t="n">
        <v>0</v>
      </c>
      <c r="J912" t="n">
        <v>0</v>
      </c>
      <c r="K912" t="n">
        <v>0</v>
      </c>
      <c r="L912" t="n">
        <v>0</v>
      </c>
      <c r="M912" t="n">
        <v>0</v>
      </c>
      <c r="N912" t="n">
        <v>0</v>
      </c>
      <c r="O912" t="n">
        <v>0</v>
      </c>
      <c r="P912" t="n">
        <v>0</v>
      </c>
      <c r="Q912" t="n">
        <v>0</v>
      </c>
      <c r="R912" s="2" t="inlineStr"/>
    </row>
    <row r="913" ht="15" customHeight="1">
      <c r="A913" t="inlineStr">
        <is>
          <t>A 23458-2025</t>
        </is>
      </c>
      <c r="B913" s="1" t="n">
        <v>45792.42756944444</v>
      </c>
      <c r="C913" s="1" t="n">
        <v>45891</v>
      </c>
      <c r="D913" t="inlineStr">
        <is>
          <t>JÄMTLANDS LÄN</t>
        </is>
      </c>
      <c r="E913" t="inlineStr">
        <is>
          <t>BRÄCKE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23583-2025</t>
        </is>
      </c>
      <c r="B914" s="1" t="n">
        <v>45792.63043981481</v>
      </c>
      <c r="C914" s="1" t="n">
        <v>45891</v>
      </c>
      <c r="D914" t="inlineStr">
        <is>
          <t>JÄMTLANDS LÄN</t>
        </is>
      </c>
      <c r="E914" t="inlineStr">
        <is>
          <t>BRÄCKE</t>
        </is>
      </c>
      <c r="G914" t="n">
        <v>3</v>
      </c>
      <c r="H914" t="n">
        <v>0</v>
      </c>
      <c r="I914" t="n">
        <v>0</v>
      </c>
      <c r="J914" t="n">
        <v>0</v>
      </c>
      <c r="K914" t="n">
        <v>0</v>
      </c>
      <c r="L914" t="n">
        <v>0</v>
      </c>
      <c r="M914" t="n">
        <v>0</v>
      </c>
      <c r="N914" t="n">
        <v>0</v>
      </c>
      <c r="O914" t="n">
        <v>0</v>
      </c>
      <c r="P914" t="n">
        <v>0</v>
      </c>
      <c r="Q914" t="n">
        <v>0</v>
      </c>
      <c r="R914" s="2" t="inlineStr"/>
    </row>
    <row r="915" ht="15" customHeight="1">
      <c r="A915" t="inlineStr">
        <is>
          <t>A 40394-2023</t>
        </is>
      </c>
      <c r="B915" s="1" t="n">
        <v>45169.93751157408</v>
      </c>
      <c r="C915" s="1" t="n">
        <v>45891</v>
      </c>
      <c r="D915" t="inlineStr">
        <is>
          <t>JÄMTLANDS LÄN</t>
        </is>
      </c>
      <c r="E915" t="inlineStr">
        <is>
          <t>BRÄCKE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5004-2023</t>
        </is>
      </c>
      <c r="B916" s="1" t="n">
        <v>44956</v>
      </c>
      <c r="C916" s="1" t="n">
        <v>45891</v>
      </c>
      <c r="D916" t="inlineStr">
        <is>
          <t>JÄMTLANDS LÄN</t>
        </is>
      </c>
      <c r="E916" t="inlineStr">
        <is>
          <t>BRÄCKE</t>
        </is>
      </c>
      <c r="G916" t="n">
        <v>1.1</v>
      </c>
      <c r="H916" t="n">
        <v>0</v>
      </c>
      <c r="I916" t="n">
        <v>0</v>
      </c>
      <c r="J916" t="n">
        <v>0</v>
      </c>
      <c r="K916" t="n">
        <v>0</v>
      </c>
      <c r="L916" t="n">
        <v>0</v>
      </c>
      <c r="M916" t="n">
        <v>0</v>
      </c>
      <c r="N916" t="n">
        <v>0</v>
      </c>
      <c r="O916" t="n">
        <v>0</v>
      </c>
      <c r="P916" t="n">
        <v>0</v>
      </c>
      <c r="Q916" t="n">
        <v>0</v>
      </c>
      <c r="R916" s="2" t="inlineStr"/>
    </row>
    <row r="917" ht="15" customHeight="1">
      <c r="A917" t="inlineStr">
        <is>
          <t>A 39004-2023</t>
        </is>
      </c>
      <c r="B917" s="1" t="n">
        <v>45162</v>
      </c>
      <c r="C917" s="1" t="n">
        <v>45891</v>
      </c>
      <c r="D917" t="inlineStr">
        <is>
          <t>JÄMTLANDS LÄN</t>
        </is>
      </c>
      <c r="E917" t="inlineStr">
        <is>
          <t>BRÄCKE</t>
        </is>
      </c>
      <c r="G917" t="n">
        <v>4.4</v>
      </c>
      <c r="H917" t="n">
        <v>0</v>
      </c>
      <c r="I917" t="n">
        <v>0</v>
      </c>
      <c r="J917" t="n">
        <v>0</v>
      </c>
      <c r="K917" t="n">
        <v>0</v>
      </c>
      <c r="L917" t="n">
        <v>0</v>
      </c>
      <c r="M917" t="n">
        <v>0</v>
      </c>
      <c r="N917" t="n">
        <v>0</v>
      </c>
      <c r="O917" t="n">
        <v>0</v>
      </c>
      <c r="P917" t="n">
        <v>0</v>
      </c>
      <c r="Q917" t="n">
        <v>0</v>
      </c>
      <c r="R917" s="2" t="inlineStr"/>
    </row>
    <row r="918" ht="15" customHeight="1">
      <c r="A918" t="inlineStr">
        <is>
          <t>A 5169-2025</t>
        </is>
      </c>
      <c r="B918" s="1" t="n">
        <v>45691.61571759259</v>
      </c>
      <c r="C918" s="1" t="n">
        <v>45891</v>
      </c>
      <c r="D918" t="inlineStr">
        <is>
          <t>JÄMTLANDS LÄN</t>
        </is>
      </c>
      <c r="E918" t="inlineStr">
        <is>
          <t>BRÄCKE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59650-2024</t>
        </is>
      </c>
      <c r="B919" s="1" t="n">
        <v>45639.34488425926</v>
      </c>
      <c r="C919" s="1" t="n">
        <v>45891</v>
      </c>
      <c r="D919" t="inlineStr">
        <is>
          <t>JÄMTLANDS LÄN</t>
        </is>
      </c>
      <c r="E919" t="inlineStr">
        <is>
          <t>BRÄCKE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52249-2023</t>
        </is>
      </c>
      <c r="B920" s="1" t="n">
        <v>45217</v>
      </c>
      <c r="C920" s="1" t="n">
        <v>45891</v>
      </c>
      <c r="D920" t="inlineStr">
        <is>
          <t>JÄMTLANDS LÄN</t>
        </is>
      </c>
      <c r="E920" t="inlineStr">
        <is>
          <t>BRÄCKE</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28903-2021</t>
        </is>
      </c>
      <c r="B921" s="1" t="n">
        <v>44357</v>
      </c>
      <c r="C921" s="1" t="n">
        <v>45891</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50520-2024</t>
        </is>
      </c>
      <c r="B922" s="1" t="n">
        <v>45601.55320601852</v>
      </c>
      <c r="C922" s="1" t="n">
        <v>45891</v>
      </c>
      <c r="D922" t="inlineStr">
        <is>
          <t>JÄMTLANDS LÄN</t>
        </is>
      </c>
      <c r="E922" t="inlineStr">
        <is>
          <t>BRÄCKE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49307-2024</t>
        </is>
      </c>
      <c r="B923" s="1" t="n">
        <v>45595.55241898148</v>
      </c>
      <c r="C923" s="1" t="n">
        <v>45891</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23491-2025</t>
        </is>
      </c>
      <c r="B924" s="1" t="n">
        <v>45792.46924768519</v>
      </c>
      <c r="C924" s="1" t="n">
        <v>45891</v>
      </c>
      <c r="D924" t="inlineStr">
        <is>
          <t>JÄMTLANDS LÄN</t>
        </is>
      </c>
      <c r="E924" t="inlineStr">
        <is>
          <t>BRÄCKE</t>
        </is>
      </c>
      <c r="F924" t="inlineStr">
        <is>
          <t>SCA</t>
        </is>
      </c>
      <c r="G924" t="n">
        <v>11.8</v>
      </c>
      <c r="H924" t="n">
        <v>0</v>
      </c>
      <c r="I924" t="n">
        <v>0</v>
      </c>
      <c r="J924" t="n">
        <v>0</v>
      </c>
      <c r="K924" t="n">
        <v>0</v>
      </c>
      <c r="L924" t="n">
        <v>0</v>
      </c>
      <c r="M924" t="n">
        <v>0</v>
      </c>
      <c r="N924" t="n">
        <v>0</v>
      </c>
      <c r="O924" t="n">
        <v>0</v>
      </c>
      <c r="P924" t="n">
        <v>0</v>
      </c>
      <c r="Q924" t="n">
        <v>0</v>
      </c>
      <c r="R924" s="2" t="inlineStr"/>
    </row>
    <row r="925" ht="15" customHeight="1">
      <c r="A925" t="inlineStr">
        <is>
          <t>A 23320-2025</t>
        </is>
      </c>
      <c r="B925" s="1" t="n">
        <v>45791.61528935185</v>
      </c>
      <c r="C925" s="1" t="n">
        <v>45891</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1504-2025</t>
        </is>
      </c>
      <c r="B926" s="1" t="n">
        <v>45670.42738425926</v>
      </c>
      <c r="C926" s="1" t="n">
        <v>45891</v>
      </c>
      <c r="D926" t="inlineStr">
        <is>
          <t>JÄMTLANDS LÄN</t>
        </is>
      </c>
      <c r="E926" t="inlineStr">
        <is>
          <t>BRÄCKE</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32671-2024</t>
        </is>
      </c>
      <c r="B927" s="1" t="n">
        <v>45514.59587962963</v>
      </c>
      <c r="C927" s="1" t="n">
        <v>45891</v>
      </c>
      <c r="D927" t="inlineStr">
        <is>
          <t>JÄMTLANDS LÄN</t>
        </is>
      </c>
      <c r="E927" t="inlineStr">
        <is>
          <t>BRÄCKE</t>
        </is>
      </c>
      <c r="G927" t="n">
        <v>1.6</v>
      </c>
      <c r="H927" t="n">
        <v>0</v>
      </c>
      <c r="I927" t="n">
        <v>0</v>
      </c>
      <c r="J927" t="n">
        <v>0</v>
      </c>
      <c r="K927" t="n">
        <v>0</v>
      </c>
      <c r="L927" t="n">
        <v>0</v>
      </c>
      <c r="M927" t="n">
        <v>0</v>
      </c>
      <c r="N927" t="n">
        <v>0</v>
      </c>
      <c r="O927" t="n">
        <v>0</v>
      </c>
      <c r="P927" t="n">
        <v>0</v>
      </c>
      <c r="Q927" t="n">
        <v>0</v>
      </c>
      <c r="R927" s="2" t="inlineStr"/>
    </row>
    <row r="928" ht="15" customHeight="1">
      <c r="A928" t="inlineStr">
        <is>
          <t>A 2498-2025</t>
        </is>
      </c>
      <c r="B928" s="1" t="n">
        <v>45674.5315625</v>
      </c>
      <c r="C928" s="1" t="n">
        <v>45891</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2511-2025</t>
        </is>
      </c>
      <c r="B929" s="1" t="n">
        <v>45674.57393518519</v>
      </c>
      <c r="C929" s="1" t="n">
        <v>45891</v>
      </c>
      <c r="D929" t="inlineStr">
        <is>
          <t>JÄMTLANDS LÄN</t>
        </is>
      </c>
      <c r="E929" t="inlineStr">
        <is>
          <t>BRÄCKE</t>
        </is>
      </c>
      <c r="F929" t="inlineStr">
        <is>
          <t>SCA</t>
        </is>
      </c>
      <c r="G929" t="n">
        <v>10.5</v>
      </c>
      <c r="H929" t="n">
        <v>0</v>
      </c>
      <c r="I929" t="n">
        <v>0</v>
      </c>
      <c r="J929" t="n">
        <v>0</v>
      </c>
      <c r="K929" t="n">
        <v>0</v>
      </c>
      <c r="L929" t="n">
        <v>0</v>
      </c>
      <c r="M929" t="n">
        <v>0</v>
      </c>
      <c r="N929" t="n">
        <v>0</v>
      </c>
      <c r="O929" t="n">
        <v>0</v>
      </c>
      <c r="P929" t="n">
        <v>0</v>
      </c>
      <c r="Q929" t="n">
        <v>0</v>
      </c>
      <c r="R929" s="2" t="inlineStr"/>
    </row>
    <row r="930" ht="15" customHeight="1">
      <c r="A930" t="inlineStr">
        <is>
          <t>A 1864-2022</t>
        </is>
      </c>
      <c r="B930" s="1" t="n">
        <v>44574</v>
      </c>
      <c r="C930" s="1" t="n">
        <v>45891</v>
      </c>
      <c r="D930" t="inlineStr">
        <is>
          <t>JÄMTLANDS LÄN</t>
        </is>
      </c>
      <c r="E930" t="inlineStr">
        <is>
          <t>BRÄCKE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13762-2024</t>
        </is>
      </c>
      <c r="B931" s="1" t="n">
        <v>45390</v>
      </c>
      <c r="C931" s="1" t="n">
        <v>45891</v>
      </c>
      <c r="D931" t="inlineStr">
        <is>
          <t>JÄMTLANDS LÄN</t>
        </is>
      </c>
      <c r="E931" t="inlineStr">
        <is>
          <t>BRÄCKE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24077-2025</t>
        </is>
      </c>
      <c r="B932" s="1" t="n">
        <v>45796.55240740741</v>
      </c>
      <c r="C932" s="1" t="n">
        <v>45891</v>
      </c>
      <c r="D932" t="inlineStr">
        <is>
          <t>JÄMTLANDS LÄN</t>
        </is>
      </c>
      <c r="E932" t="inlineStr">
        <is>
          <t>BRÄCKE</t>
        </is>
      </c>
      <c r="G932" t="n">
        <v>5.9</v>
      </c>
      <c r="H932" t="n">
        <v>0</v>
      </c>
      <c r="I932" t="n">
        <v>0</v>
      </c>
      <c r="J932" t="n">
        <v>0</v>
      </c>
      <c r="K932" t="n">
        <v>0</v>
      </c>
      <c r="L932" t="n">
        <v>0</v>
      </c>
      <c r="M932" t="n">
        <v>0</v>
      </c>
      <c r="N932" t="n">
        <v>0</v>
      </c>
      <c r="O932" t="n">
        <v>0</v>
      </c>
      <c r="P932" t="n">
        <v>0</v>
      </c>
      <c r="Q932" t="n">
        <v>0</v>
      </c>
      <c r="R932" s="2" t="inlineStr"/>
    </row>
    <row r="933" ht="15" customHeight="1">
      <c r="A933" t="inlineStr">
        <is>
          <t>A 53608-2024</t>
        </is>
      </c>
      <c r="B933" s="1" t="n">
        <v>45614</v>
      </c>
      <c r="C933" s="1" t="n">
        <v>45891</v>
      </c>
      <c r="D933" t="inlineStr">
        <is>
          <t>JÄMTLANDS LÄN</t>
        </is>
      </c>
      <c r="E933" t="inlineStr">
        <is>
          <t>BRÄCKE</t>
        </is>
      </c>
      <c r="F933" t="inlineStr">
        <is>
          <t>SCA</t>
        </is>
      </c>
      <c r="G933" t="n">
        <v>6.6</v>
      </c>
      <c r="H933" t="n">
        <v>0</v>
      </c>
      <c r="I933" t="n">
        <v>0</v>
      </c>
      <c r="J933" t="n">
        <v>0</v>
      </c>
      <c r="K933" t="n">
        <v>0</v>
      </c>
      <c r="L933" t="n">
        <v>0</v>
      </c>
      <c r="M933" t="n">
        <v>0</v>
      </c>
      <c r="N933" t="n">
        <v>0</v>
      </c>
      <c r="O933" t="n">
        <v>0</v>
      </c>
      <c r="P933" t="n">
        <v>0</v>
      </c>
      <c r="Q933" t="n">
        <v>0</v>
      </c>
      <c r="R933" s="2" t="inlineStr"/>
    </row>
    <row r="934" ht="15" customHeight="1">
      <c r="A934" t="inlineStr">
        <is>
          <t>A 3840-2024</t>
        </is>
      </c>
      <c r="B934" s="1" t="n">
        <v>45321.94605324074</v>
      </c>
      <c r="C934" s="1" t="n">
        <v>45891</v>
      </c>
      <c r="D934" t="inlineStr">
        <is>
          <t>JÄMTLANDS LÄN</t>
        </is>
      </c>
      <c r="E934" t="inlineStr">
        <is>
          <t>BRÄCKE</t>
        </is>
      </c>
      <c r="F934" t="inlineStr">
        <is>
          <t>SCA</t>
        </is>
      </c>
      <c r="G934" t="n">
        <v>4.6</v>
      </c>
      <c r="H934" t="n">
        <v>0</v>
      </c>
      <c r="I934" t="n">
        <v>0</v>
      </c>
      <c r="J934" t="n">
        <v>0</v>
      </c>
      <c r="K934" t="n">
        <v>0</v>
      </c>
      <c r="L934" t="n">
        <v>0</v>
      </c>
      <c r="M934" t="n">
        <v>0</v>
      </c>
      <c r="N934" t="n">
        <v>0</v>
      </c>
      <c r="O934" t="n">
        <v>0</v>
      </c>
      <c r="P934" t="n">
        <v>0</v>
      </c>
      <c r="Q934" t="n">
        <v>0</v>
      </c>
      <c r="R934" s="2" t="inlineStr"/>
    </row>
    <row r="935" ht="15" customHeight="1">
      <c r="A935" t="inlineStr">
        <is>
          <t>A 41450-2024</t>
        </is>
      </c>
      <c r="B935" s="1" t="n">
        <v>45560.40653935185</v>
      </c>
      <c r="C935" s="1" t="n">
        <v>45891</v>
      </c>
      <c r="D935" t="inlineStr">
        <is>
          <t>JÄMTLANDS LÄN</t>
        </is>
      </c>
      <c r="E935" t="inlineStr">
        <is>
          <t>BRÄCKE</t>
        </is>
      </c>
      <c r="G935" t="n">
        <v>7.5</v>
      </c>
      <c r="H935" t="n">
        <v>0</v>
      </c>
      <c r="I935" t="n">
        <v>0</v>
      </c>
      <c r="J935" t="n">
        <v>0</v>
      </c>
      <c r="K935" t="n">
        <v>0</v>
      </c>
      <c r="L935" t="n">
        <v>0</v>
      </c>
      <c r="M935" t="n">
        <v>0</v>
      </c>
      <c r="N935" t="n">
        <v>0</v>
      </c>
      <c r="O935" t="n">
        <v>0</v>
      </c>
      <c r="P935" t="n">
        <v>0</v>
      </c>
      <c r="Q935" t="n">
        <v>0</v>
      </c>
      <c r="R935" s="2" t="inlineStr"/>
    </row>
    <row r="936" ht="15" customHeight="1">
      <c r="A936" t="inlineStr">
        <is>
          <t>A 20625-2023</t>
        </is>
      </c>
      <c r="B936" s="1" t="n">
        <v>45057.94351851852</v>
      </c>
      <c r="C936" s="1" t="n">
        <v>45891</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11310-2025</t>
        </is>
      </c>
      <c r="B937" s="1" t="n">
        <v>45726.44832175926</v>
      </c>
      <c r="C937" s="1" t="n">
        <v>45891</v>
      </c>
      <c r="D937" t="inlineStr">
        <is>
          <t>JÄMTLANDS LÄN</t>
        </is>
      </c>
      <c r="E937" t="inlineStr">
        <is>
          <t>BRÄCKE</t>
        </is>
      </c>
      <c r="G937" t="n">
        <v>1.6</v>
      </c>
      <c r="H937" t="n">
        <v>0</v>
      </c>
      <c r="I937" t="n">
        <v>0</v>
      </c>
      <c r="J937" t="n">
        <v>0</v>
      </c>
      <c r="K937" t="n">
        <v>0</v>
      </c>
      <c r="L937" t="n">
        <v>0</v>
      </c>
      <c r="M937" t="n">
        <v>0</v>
      </c>
      <c r="N937" t="n">
        <v>0</v>
      </c>
      <c r="O937" t="n">
        <v>0</v>
      </c>
      <c r="P937" t="n">
        <v>0</v>
      </c>
      <c r="Q937" t="n">
        <v>0</v>
      </c>
      <c r="R937" s="2" t="inlineStr"/>
    </row>
    <row r="938" ht="15" customHeight="1">
      <c r="A938" t="inlineStr">
        <is>
          <t>A 23303-2025</t>
        </is>
      </c>
      <c r="B938" s="1" t="n">
        <v>45791</v>
      </c>
      <c r="C938" s="1" t="n">
        <v>45891</v>
      </c>
      <c r="D938" t="inlineStr">
        <is>
          <t>JÄMTLANDS LÄN</t>
        </is>
      </c>
      <c r="E938" t="inlineStr">
        <is>
          <t>BRÄCKE</t>
        </is>
      </c>
      <c r="G938" t="n">
        <v>22.2</v>
      </c>
      <c r="H938" t="n">
        <v>0</v>
      </c>
      <c r="I938" t="n">
        <v>0</v>
      </c>
      <c r="J938" t="n">
        <v>0</v>
      </c>
      <c r="K938" t="n">
        <v>0</v>
      </c>
      <c r="L938" t="n">
        <v>0</v>
      </c>
      <c r="M938" t="n">
        <v>0</v>
      </c>
      <c r="N938" t="n">
        <v>0</v>
      </c>
      <c r="O938" t="n">
        <v>0</v>
      </c>
      <c r="P938" t="n">
        <v>0</v>
      </c>
      <c r="Q938" t="n">
        <v>0</v>
      </c>
      <c r="R938" s="2" t="inlineStr"/>
    </row>
    <row r="939" ht="15" customHeight="1">
      <c r="A939" t="inlineStr">
        <is>
          <t>A 27460-2024</t>
        </is>
      </c>
      <c r="B939" s="1" t="n">
        <v>45474.44785879629</v>
      </c>
      <c r="C939" s="1" t="n">
        <v>45891</v>
      </c>
      <c r="D939" t="inlineStr">
        <is>
          <t>JÄMTLANDS LÄN</t>
        </is>
      </c>
      <c r="E939" t="inlineStr">
        <is>
          <t>BRÄCKE</t>
        </is>
      </c>
      <c r="G939" t="n">
        <v>11.5</v>
      </c>
      <c r="H939" t="n">
        <v>0</v>
      </c>
      <c r="I939" t="n">
        <v>0</v>
      </c>
      <c r="J939" t="n">
        <v>0</v>
      </c>
      <c r="K939" t="n">
        <v>0</v>
      </c>
      <c r="L939" t="n">
        <v>0</v>
      </c>
      <c r="M939" t="n">
        <v>0</v>
      </c>
      <c r="N939" t="n">
        <v>0</v>
      </c>
      <c r="O939" t="n">
        <v>0</v>
      </c>
      <c r="P939" t="n">
        <v>0</v>
      </c>
      <c r="Q939" t="n">
        <v>0</v>
      </c>
      <c r="R939" s="2" t="inlineStr"/>
    </row>
    <row r="940" ht="15" customHeight="1">
      <c r="A940" t="inlineStr">
        <is>
          <t>A 24043-2025</t>
        </is>
      </c>
      <c r="B940" s="1" t="n">
        <v>45796.49002314815</v>
      </c>
      <c r="C940" s="1" t="n">
        <v>45891</v>
      </c>
      <c r="D940" t="inlineStr">
        <is>
          <t>JÄMTLANDS LÄN</t>
        </is>
      </c>
      <c r="E940" t="inlineStr">
        <is>
          <t>BRÄCKE</t>
        </is>
      </c>
      <c r="F940" t="inlineStr">
        <is>
          <t>SCA</t>
        </is>
      </c>
      <c r="G940" t="n">
        <v>7</v>
      </c>
      <c r="H940" t="n">
        <v>0</v>
      </c>
      <c r="I940" t="n">
        <v>0</v>
      </c>
      <c r="J940" t="n">
        <v>0</v>
      </c>
      <c r="K940" t="n">
        <v>0</v>
      </c>
      <c r="L940" t="n">
        <v>0</v>
      </c>
      <c r="M940" t="n">
        <v>0</v>
      </c>
      <c r="N940" t="n">
        <v>0</v>
      </c>
      <c r="O940" t="n">
        <v>0</v>
      </c>
      <c r="P940" t="n">
        <v>0</v>
      </c>
      <c r="Q940" t="n">
        <v>0</v>
      </c>
      <c r="R940" s="2" t="inlineStr"/>
    </row>
    <row r="941" ht="15" customHeight="1">
      <c r="A941" t="inlineStr">
        <is>
          <t>A 1201-2022</t>
        </is>
      </c>
      <c r="B941" s="1" t="n">
        <v>44572</v>
      </c>
      <c r="C941" s="1" t="n">
        <v>45891</v>
      </c>
      <c r="D941" t="inlineStr">
        <is>
          <t>JÄMTLANDS LÄN</t>
        </is>
      </c>
      <c r="E941" t="inlineStr">
        <is>
          <t>BRÄCKE</t>
        </is>
      </c>
      <c r="G941" t="n">
        <v>13.7</v>
      </c>
      <c r="H941" t="n">
        <v>0</v>
      </c>
      <c r="I941" t="n">
        <v>0</v>
      </c>
      <c r="J941" t="n">
        <v>0</v>
      </c>
      <c r="K941" t="n">
        <v>0</v>
      </c>
      <c r="L941" t="n">
        <v>0</v>
      </c>
      <c r="M941" t="n">
        <v>0</v>
      </c>
      <c r="N941" t="n">
        <v>0</v>
      </c>
      <c r="O941" t="n">
        <v>0</v>
      </c>
      <c r="P941" t="n">
        <v>0</v>
      </c>
      <c r="Q941" t="n">
        <v>0</v>
      </c>
      <c r="R941" s="2" t="inlineStr"/>
    </row>
    <row r="942" ht="15" customHeight="1">
      <c r="A942" t="inlineStr">
        <is>
          <t>A 3865-2025</t>
        </is>
      </c>
      <c r="B942" s="1" t="n">
        <v>45684.31815972222</v>
      </c>
      <c r="C942" s="1" t="n">
        <v>45891</v>
      </c>
      <c r="D942" t="inlineStr">
        <is>
          <t>JÄMTLANDS LÄN</t>
        </is>
      </c>
      <c r="E942" t="inlineStr">
        <is>
          <t>BRÄCKE</t>
        </is>
      </c>
      <c r="G942" t="n">
        <v>1.4</v>
      </c>
      <c r="H942" t="n">
        <v>0</v>
      </c>
      <c r="I942" t="n">
        <v>0</v>
      </c>
      <c r="J942" t="n">
        <v>0</v>
      </c>
      <c r="K942" t="n">
        <v>0</v>
      </c>
      <c r="L942" t="n">
        <v>0</v>
      </c>
      <c r="M942" t="n">
        <v>0</v>
      </c>
      <c r="N942" t="n">
        <v>0</v>
      </c>
      <c r="O942" t="n">
        <v>0</v>
      </c>
      <c r="P942" t="n">
        <v>0</v>
      </c>
      <c r="Q942" t="n">
        <v>0</v>
      </c>
      <c r="R942" s="2" t="inlineStr"/>
    </row>
    <row r="943" ht="15" customHeight="1">
      <c r="A943" t="inlineStr">
        <is>
          <t>A 11313-2022</t>
        </is>
      </c>
      <c r="B943" s="1" t="n">
        <v>44629.94712962963</v>
      </c>
      <c r="C943" s="1" t="n">
        <v>45891</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5340-2025</t>
        </is>
      </c>
      <c r="B944" s="1" t="n">
        <v>45692.55248842593</v>
      </c>
      <c r="C944" s="1" t="n">
        <v>45891</v>
      </c>
      <c r="D944" t="inlineStr">
        <is>
          <t>JÄMTLANDS LÄN</t>
        </is>
      </c>
      <c r="E944" t="inlineStr">
        <is>
          <t>BRÄCKE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20014-2022</t>
        </is>
      </c>
      <c r="B945" s="1" t="n">
        <v>44697.64387731482</v>
      </c>
      <c r="C945" s="1" t="n">
        <v>45891</v>
      </c>
      <c r="D945" t="inlineStr">
        <is>
          <t>JÄMTLANDS LÄN</t>
        </is>
      </c>
      <c r="E945" t="inlineStr">
        <is>
          <t>BRÄCKE</t>
        </is>
      </c>
      <c r="G945" t="n">
        <v>1.8</v>
      </c>
      <c r="H945" t="n">
        <v>0</v>
      </c>
      <c r="I945" t="n">
        <v>0</v>
      </c>
      <c r="J945" t="n">
        <v>0</v>
      </c>
      <c r="K945" t="n">
        <v>0</v>
      </c>
      <c r="L945" t="n">
        <v>0</v>
      </c>
      <c r="M945" t="n">
        <v>0</v>
      </c>
      <c r="N945" t="n">
        <v>0</v>
      </c>
      <c r="O945" t="n">
        <v>0</v>
      </c>
      <c r="P945" t="n">
        <v>0</v>
      </c>
      <c r="Q945" t="n">
        <v>0</v>
      </c>
      <c r="R945" s="2" t="inlineStr"/>
    </row>
    <row r="946" ht="15" customHeight="1">
      <c r="A946" t="inlineStr">
        <is>
          <t>A 9434-2025</t>
        </is>
      </c>
      <c r="B946" s="1" t="n">
        <v>45715.41209490741</v>
      </c>
      <c r="C946" s="1" t="n">
        <v>45891</v>
      </c>
      <c r="D946" t="inlineStr">
        <is>
          <t>JÄMTLANDS LÄN</t>
        </is>
      </c>
      <c r="E946" t="inlineStr">
        <is>
          <t>BRÄCKE</t>
        </is>
      </c>
      <c r="G946" t="n">
        <v>8.9</v>
      </c>
      <c r="H946" t="n">
        <v>0</v>
      </c>
      <c r="I946" t="n">
        <v>0</v>
      </c>
      <c r="J946" t="n">
        <v>0</v>
      </c>
      <c r="K946" t="n">
        <v>0</v>
      </c>
      <c r="L946" t="n">
        <v>0</v>
      </c>
      <c r="M946" t="n">
        <v>0</v>
      </c>
      <c r="N946" t="n">
        <v>0</v>
      </c>
      <c r="O946" t="n">
        <v>0</v>
      </c>
      <c r="P946" t="n">
        <v>0</v>
      </c>
      <c r="Q946" t="n">
        <v>0</v>
      </c>
      <c r="R946" s="2" t="inlineStr"/>
    </row>
    <row r="947" ht="15" customHeight="1">
      <c r="A947" t="inlineStr">
        <is>
          <t>A 27455-2024</t>
        </is>
      </c>
      <c r="B947" s="1" t="n">
        <v>45474.43834490741</v>
      </c>
      <c r="C947" s="1" t="n">
        <v>45891</v>
      </c>
      <c r="D947" t="inlineStr">
        <is>
          <t>JÄMTLANDS LÄN</t>
        </is>
      </c>
      <c r="E947" t="inlineStr">
        <is>
          <t>BRÄCKE</t>
        </is>
      </c>
      <c r="G947" t="n">
        <v>4.4</v>
      </c>
      <c r="H947" t="n">
        <v>0</v>
      </c>
      <c r="I947" t="n">
        <v>0</v>
      </c>
      <c r="J947" t="n">
        <v>0</v>
      </c>
      <c r="K947" t="n">
        <v>0</v>
      </c>
      <c r="L947" t="n">
        <v>0</v>
      </c>
      <c r="M947" t="n">
        <v>0</v>
      </c>
      <c r="N947" t="n">
        <v>0</v>
      </c>
      <c r="O947" t="n">
        <v>0</v>
      </c>
      <c r="P947" t="n">
        <v>0</v>
      </c>
      <c r="Q947" t="n">
        <v>0</v>
      </c>
      <c r="R947" s="2" t="inlineStr"/>
    </row>
    <row r="948" ht="15" customHeight="1">
      <c r="A948" t="inlineStr">
        <is>
          <t>A 56491-2024</t>
        </is>
      </c>
      <c r="B948" s="1" t="n">
        <v>45625.48987268518</v>
      </c>
      <c r="C948" s="1" t="n">
        <v>45891</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23842-2025</t>
        </is>
      </c>
      <c r="B949" s="1" t="n">
        <v>45793.61534722222</v>
      </c>
      <c r="C949" s="1" t="n">
        <v>45891</v>
      </c>
      <c r="D949" t="inlineStr">
        <is>
          <t>JÄMTLANDS LÄN</t>
        </is>
      </c>
      <c r="E949" t="inlineStr">
        <is>
          <t>BRÄCKE</t>
        </is>
      </c>
      <c r="F949" t="inlineStr">
        <is>
          <t>SCA</t>
        </is>
      </c>
      <c r="G949" t="n">
        <v>5.1</v>
      </c>
      <c r="H949" t="n">
        <v>0</v>
      </c>
      <c r="I949" t="n">
        <v>0</v>
      </c>
      <c r="J949" t="n">
        <v>0</v>
      </c>
      <c r="K949" t="n">
        <v>0</v>
      </c>
      <c r="L949" t="n">
        <v>0</v>
      </c>
      <c r="M949" t="n">
        <v>0</v>
      </c>
      <c r="N949" t="n">
        <v>0</v>
      </c>
      <c r="O949" t="n">
        <v>0</v>
      </c>
      <c r="P949" t="n">
        <v>0</v>
      </c>
      <c r="Q949" t="n">
        <v>0</v>
      </c>
      <c r="R949" s="2" t="inlineStr"/>
    </row>
    <row r="950" ht="15" customHeight="1">
      <c r="A950" t="inlineStr">
        <is>
          <t>A 23723-2025</t>
        </is>
      </c>
      <c r="B950" s="1" t="n">
        <v>45793.40664351852</v>
      </c>
      <c r="C950" s="1" t="n">
        <v>45891</v>
      </c>
      <c r="D950" t="inlineStr">
        <is>
          <t>JÄMTLANDS LÄN</t>
        </is>
      </c>
      <c r="E950" t="inlineStr">
        <is>
          <t>BRÄCKE</t>
        </is>
      </c>
      <c r="F950" t="inlineStr">
        <is>
          <t>SCA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33112-2024</t>
        </is>
      </c>
      <c r="B951" s="1" t="n">
        <v>45517.92994212963</v>
      </c>
      <c r="C951" s="1" t="n">
        <v>45891</v>
      </c>
      <c r="D951" t="inlineStr">
        <is>
          <t>JÄMTLANDS LÄN</t>
        </is>
      </c>
      <c r="E951" t="inlineStr">
        <is>
          <t>BRÄCKE</t>
        </is>
      </c>
      <c r="G951" t="n">
        <v>0.7</v>
      </c>
      <c r="H951" t="n">
        <v>0</v>
      </c>
      <c r="I951" t="n">
        <v>0</v>
      </c>
      <c r="J951" t="n">
        <v>0</v>
      </c>
      <c r="K951" t="n">
        <v>0</v>
      </c>
      <c r="L951" t="n">
        <v>0</v>
      </c>
      <c r="M951" t="n">
        <v>0</v>
      </c>
      <c r="N951" t="n">
        <v>0</v>
      </c>
      <c r="O951" t="n">
        <v>0</v>
      </c>
      <c r="P951" t="n">
        <v>0</v>
      </c>
      <c r="Q951" t="n">
        <v>0</v>
      </c>
      <c r="R951" s="2" t="inlineStr"/>
    </row>
    <row r="952" ht="15" customHeight="1">
      <c r="A952" t="inlineStr">
        <is>
          <t>A 30478-2022</t>
        </is>
      </c>
      <c r="B952" s="1" t="n">
        <v>44761</v>
      </c>
      <c r="C952" s="1" t="n">
        <v>45891</v>
      </c>
      <c r="D952" t="inlineStr">
        <is>
          <t>JÄMTLANDS LÄN</t>
        </is>
      </c>
      <c r="E952" t="inlineStr">
        <is>
          <t>BRÄCKE</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30480-2022</t>
        </is>
      </c>
      <c r="B953" s="1" t="n">
        <v>44761.94019675926</v>
      </c>
      <c r="C953" s="1" t="n">
        <v>45891</v>
      </c>
      <c r="D953" t="inlineStr">
        <is>
          <t>JÄMTLANDS LÄN</t>
        </is>
      </c>
      <c r="E953" t="inlineStr">
        <is>
          <t>BRÄCKE</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14474-2025</t>
        </is>
      </c>
      <c r="B954" s="1" t="n">
        <v>45741.57782407408</v>
      </c>
      <c r="C954" s="1" t="n">
        <v>45891</v>
      </c>
      <c r="D954" t="inlineStr">
        <is>
          <t>JÄMTLANDS LÄN</t>
        </is>
      </c>
      <c r="E954" t="inlineStr">
        <is>
          <t>BRÄCKE</t>
        </is>
      </c>
      <c r="G954" t="n">
        <v>3.2</v>
      </c>
      <c r="H954" t="n">
        <v>0</v>
      </c>
      <c r="I954" t="n">
        <v>0</v>
      </c>
      <c r="J954" t="n">
        <v>0</v>
      </c>
      <c r="K954" t="n">
        <v>0</v>
      </c>
      <c r="L954" t="n">
        <v>0</v>
      </c>
      <c r="M954" t="n">
        <v>0</v>
      </c>
      <c r="N954" t="n">
        <v>0</v>
      </c>
      <c r="O954" t="n">
        <v>0</v>
      </c>
      <c r="P954" t="n">
        <v>0</v>
      </c>
      <c r="Q954" t="n">
        <v>0</v>
      </c>
      <c r="R954" s="2" t="inlineStr"/>
    </row>
    <row r="955" ht="15" customHeight="1">
      <c r="A955" t="inlineStr">
        <is>
          <t>A 58903-2024</t>
        </is>
      </c>
      <c r="B955" s="1" t="n">
        <v>45636.4775</v>
      </c>
      <c r="C955" s="1" t="n">
        <v>45891</v>
      </c>
      <c r="D955" t="inlineStr">
        <is>
          <t>JÄMTLANDS LÄN</t>
        </is>
      </c>
      <c r="E955" t="inlineStr">
        <is>
          <t>BRÄCKE</t>
        </is>
      </c>
      <c r="F955" t="inlineStr">
        <is>
          <t>Övriga Aktiebolag</t>
        </is>
      </c>
      <c r="G955" t="n">
        <v>2.8</v>
      </c>
      <c r="H955" t="n">
        <v>0</v>
      </c>
      <c r="I955" t="n">
        <v>0</v>
      </c>
      <c r="J955" t="n">
        <v>0</v>
      </c>
      <c r="K955" t="n">
        <v>0</v>
      </c>
      <c r="L955" t="n">
        <v>0</v>
      </c>
      <c r="M955" t="n">
        <v>0</v>
      </c>
      <c r="N955" t="n">
        <v>0</v>
      </c>
      <c r="O955" t="n">
        <v>0</v>
      </c>
      <c r="P955" t="n">
        <v>0</v>
      </c>
      <c r="Q955" t="n">
        <v>0</v>
      </c>
      <c r="R955" s="2" t="inlineStr"/>
    </row>
    <row r="956" ht="15" customHeight="1">
      <c r="A956" t="inlineStr">
        <is>
          <t>A 49399-2024</t>
        </is>
      </c>
      <c r="B956" s="1" t="n">
        <v>45595.67138888889</v>
      </c>
      <c r="C956" s="1" t="n">
        <v>45891</v>
      </c>
      <c r="D956" t="inlineStr">
        <is>
          <t>JÄMTLANDS LÄN</t>
        </is>
      </c>
      <c r="E956" t="inlineStr">
        <is>
          <t>BRÄCKE</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49400-2024</t>
        </is>
      </c>
      <c r="B957" s="1" t="n">
        <v>45595.67152777778</v>
      </c>
      <c r="C957" s="1" t="n">
        <v>45891</v>
      </c>
      <c r="D957" t="inlineStr">
        <is>
          <t>JÄMTLANDS LÄN</t>
        </is>
      </c>
      <c r="E957" t="inlineStr">
        <is>
          <t>BRÄCKE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29873-2024</t>
        </is>
      </c>
      <c r="B958" s="1" t="n">
        <v>45485.94542824074</v>
      </c>
      <c r="C958" s="1" t="n">
        <v>45891</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54447-2023</t>
        </is>
      </c>
      <c r="B959" s="1" t="n">
        <v>45233.44271990741</v>
      </c>
      <c r="C959" s="1" t="n">
        <v>45891</v>
      </c>
      <c r="D959" t="inlineStr">
        <is>
          <t>JÄMTLANDS LÄN</t>
        </is>
      </c>
      <c r="E959" t="inlineStr">
        <is>
          <t>BRÄCKE</t>
        </is>
      </c>
      <c r="G959" t="n">
        <v>1.2</v>
      </c>
      <c r="H959" t="n">
        <v>0</v>
      </c>
      <c r="I959" t="n">
        <v>0</v>
      </c>
      <c r="J959" t="n">
        <v>0</v>
      </c>
      <c r="K959" t="n">
        <v>0</v>
      </c>
      <c r="L959" t="n">
        <v>0</v>
      </c>
      <c r="M959" t="n">
        <v>0</v>
      </c>
      <c r="N959" t="n">
        <v>0</v>
      </c>
      <c r="O959" t="n">
        <v>0</v>
      </c>
      <c r="P959" t="n">
        <v>0</v>
      </c>
      <c r="Q959" t="n">
        <v>0</v>
      </c>
      <c r="R959" s="2" t="inlineStr"/>
    </row>
    <row r="960" ht="15" customHeight="1">
      <c r="A960" t="inlineStr">
        <is>
          <t>A 15144-2024</t>
        </is>
      </c>
      <c r="B960" s="1" t="n">
        <v>45399.94340277778</v>
      </c>
      <c r="C960" s="1" t="n">
        <v>45891</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13165-2025</t>
        </is>
      </c>
      <c r="B961" s="1" t="n">
        <v>45735.36491898148</v>
      </c>
      <c r="C961" s="1" t="n">
        <v>45891</v>
      </c>
      <c r="D961" t="inlineStr">
        <is>
          <t>JÄMTLANDS LÄN</t>
        </is>
      </c>
      <c r="E961" t="inlineStr">
        <is>
          <t>BRÄCKE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23539-2025</t>
        </is>
      </c>
      <c r="B962" s="1" t="n">
        <v>45792</v>
      </c>
      <c r="C962" s="1" t="n">
        <v>45891</v>
      </c>
      <c r="D962" t="inlineStr">
        <is>
          <t>JÄMTLANDS LÄN</t>
        </is>
      </c>
      <c r="E962" t="inlineStr">
        <is>
          <t>BRÄCKE</t>
        </is>
      </c>
      <c r="G962" t="n">
        <v>14.9</v>
      </c>
      <c r="H962" t="n">
        <v>0</v>
      </c>
      <c r="I962" t="n">
        <v>0</v>
      </c>
      <c r="J962" t="n">
        <v>0</v>
      </c>
      <c r="K962" t="n">
        <v>0</v>
      </c>
      <c r="L962" t="n">
        <v>0</v>
      </c>
      <c r="M962" t="n">
        <v>0</v>
      </c>
      <c r="N962" t="n">
        <v>0</v>
      </c>
      <c r="O962" t="n">
        <v>0</v>
      </c>
      <c r="P962" t="n">
        <v>0</v>
      </c>
      <c r="Q962" t="n">
        <v>0</v>
      </c>
      <c r="R962" s="2" t="inlineStr"/>
    </row>
    <row r="963" ht="15" customHeight="1">
      <c r="A963" t="inlineStr">
        <is>
          <t>A 1174-2025</t>
        </is>
      </c>
      <c r="B963" s="1" t="n">
        <v>45667.34418981482</v>
      </c>
      <c r="C963" s="1" t="n">
        <v>45891</v>
      </c>
      <c r="D963" t="inlineStr">
        <is>
          <t>JÄMTLANDS LÄN</t>
        </is>
      </c>
      <c r="E963" t="inlineStr">
        <is>
          <t>BRÄCKE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24154-2025</t>
        </is>
      </c>
      <c r="B964" s="1" t="n">
        <v>45796.65685185185</v>
      </c>
      <c r="C964" s="1" t="n">
        <v>45891</v>
      </c>
      <c r="D964" t="inlineStr">
        <is>
          <t>JÄMTLANDS LÄN</t>
        </is>
      </c>
      <c r="E964" t="inlineStr">
        <is>
          <t>BRÄCKE</t>
        </is>
      </c>
      <c r="F964" t="inlineStr">
        <is>
          <t>SCA</t>
        </is>
      </c>
      <c r="G964" t="n">
        <v>7.4</v>
      </c>
      <c r="H964" t="n">
        <v>0</v>
      </c>
      <c r="I964" t="n">
        <v>0</v>
      </c>
      <c r="J964" t="n">
        <v>0</v>
      </c>
      <c r="K964" t="n">
        <v>0</v>
      </c>
      <c r="L964" t="n">
        <v>0</v>
      </c>
      <c r="M964" t="n">
        <v>0</v>
      </c>
      <c r="N964" t="n">
        <v>0</v>
      </c>
      <c r="O964" t="n">
        <v>0</v>
      </c>
      <c r="P964" t="n">
        <v>0</v>
      </c>
      <c r="Q964" t="n">
        <v>0</v>
      </c>
      <c r="R964" s="2" t="inlineStr"/>
    </row>
    <row r="965" ht="15" customHeight="1">
      <c r="A965" t="inlineStr">
        <is>
          <t>A 45722-2024</t>
        </is>
      </c>
      <c r="B965" s="1" t="n">
        <v>45579.59447916667</v>
      </c>
      <c r="C965" s="1" t="n">
        <v>45891</v>
      </c>
      <c r="D965" t="inlineStr">
        <is>
          <t>JÄMTLANDS LÄN</t>
        </is>
      </c>
      <c r="E965" t="inlineStr">
        <is>
          <t>BRÄCKE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53113-2022</t>
        </is>
      </c>
      <c r="B966" s="1" t="n">
        <v>44873</v>
      </c>
      <c r="C966" s="1" t="n">
        <v>45891</v>
      </c>
      <c r="D966" t="inlineStr">
        <is>
          <t>JÄMTLANDS LÄN</t>
        </is>
      </c>
      <c r="E966" t="inlineStr">
        <is>
          <t>BRÄCKE</t>
        </is>
      </c>
      <c r="G966" t="n">
        <v>1.3</v>
      </c>
      <c r="H966" t="n">
        <v>0</v>
      </c>
      <c r="I966" t="n">
        <v>0</v>
      </c>
      <c r="J966" t="n">
        <v>0</v>
      </c>
      <c r="K966" t="n">
        <v>0</v>
      </c>
      <c r="L966" t="n">
        <v>0</v>
      </c>
      <c r="M966" t="n">
        <v>0</v>
      </c>
      <c r="N966" t="n">
        <v>0</v>
      </c>
      <c r="O966" t="n">
        <v>0</v>
      </c>
      <c r="P966" t="n">
        <v>0</v>
      </c>
      <c r="Q966" t="n">
        <v>0</v>
      </c>
      <c r="R966" s="2" t="inlineStr"/>
    </row>
    <row r="967" ht="15" customHeight="1">
      <c r="A967" t="inlineStr">
        <is>
          <t>A 59846-2024</t>
        </is>
      </c>
      <c r="B967" s="1" t="n">
        <v>45639.67769675926</v>
      </c>
      <c r="C967" s="1" t="n">
        <v>45891</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60150-2024</t>
        </is>
      </c>
      <c r="B968" s="1" t="n">
        <v>45639</v>
      </c>
      <c r="C968" s="1" t="n">
        <v>45891</v>
      </c>
      <c r="D968" t="inlineStr">
        <is>
          <t>JÄMTLANDS LÄN</t>
        </is>
      </c>
      <c r="E968" t="inlineStr">
        <is>
          <t>BRÄCKE</t>
        </is>
      </c>
      <c r="G968" t="n">
        <v>2.9</v>
      </c>
      <c r="H968" t="n">
        <v>0</v>
      </c>
      <c r="I968" t="n">
        <v>0</v>
      </c>
      <c r="J968" t="n">
        <v>0</v>
      </c>
      <c r="K968" t="n">
        <v>0</v>
      </c>
      <c r="L968" t="n">
        <v>0</v>
      </c>
      <c r="M968" t="n">
        <v>0</v>
      </c>
      <c r="N968" t="n">
        <v>0</v>
      </c>
      <c r="O968" t="n">
        <v>0</v>
      </c>
      <c r="P968" t="n">
        <v>0</v>
      </c>
      <c r="Q968" t="n">
        <v>0</v>
      </c>
      <c r="R968" s="2" t="inlineStr"/>
    </row>
    <row r="969" ht="15" customHeight="1">
      <c r="A969" t="inlineStr">
        <is>
          <t>A 17097-2025</t>
        </is>
      </c>
      <c r="B969" s="1" t="n">
        <v>45755.65677083333</v>
      </c>
      <c r="C969" s="1" t="n">
        <v>45891</v>
      </c>
      <c r="D969" t="inlineStr">
        <is>
          <t>JÄMTLANDS LÄN</t>
        </is>
      </c>
      <c r="E969" t="inlineStr">
        <is>
          <t>BRÄCKE</t>
        </is>
      </c>
      <c r="F969" t="inlineStr">
        <is>
          <t>SCA</t>
        </is>
      </c>
      <c r="G969" t="n">
        <v>29.9</v>
      </c>
      <c r="H969" t="n">
        <v>0</v>
      </c>
      <c r="I969" t="n">
        <v>0</v>
      </c>
      <c r="J969" t="n">
        <v>0</v>
      </c>
      <c r="K969" t="n">
        <v>0</v>
      </c>
      <c r="L969" t="n">
        <v>0</v>
      </c>
      <c r="M969" t="n">
        <v>0</v>
      </c>
      <c r="N969" t="n">
        <v>0</v>
      </c>
      <c r="O969" t="n">
        <v>0</v>
      </c>
      <c r="P969" t="n">
        <v>0</v>
      </c>
      <c r="Q969" t="n">
        <v>0</v>
      </c>
      <c r="R969" s="2" t="inlineStr"/>
    </row>
    <row r="970" ht="15" customHeight="1">
      <c r="A970" t="inlineStr">
        <is>
          <t>A 19485-2023</t>
        </is>
      </c>
      <c r="B970" s="1" t="n">
        <v>45049</v>
      </c>
      <c r="C970" s="1" t="n">
        <v>45891</v>
      </c>
      <c r="D970" t="inlineStr">
        <is>
          <t>JÄMTLANDS LÄN</t>
        </is>
      </c>
      <c r="E970" t="inlineStr">
        <is>
          <t>BRÄCKE</t>
        </is>
      </c>
      <c r="G970" t="n">
        <v>2.6</v>
      </c>
      <c r="H970" t="n">
        <v>0</v>
      </c>
      <c r="I970" t="n">
        <v>0</v>
      </c>
      <c r="J970" t="n">
        <v>0</v>
      </c>
      <c r="K970" t="n">
        <v>0</v>
      </c>
      <c r="L970" t="n">
        <v>0</v>
      </c>
      <c r="M970" t="n">
        <v>0</v>
      </c>
      <c r="N970" t="n">
        <v>0</v>
      </c>
      <c r="O970" t="n">
        <v>0</v>
      </c>
      <c r="P970" t="n">
        <v>0</v>
      </c>
      <c r="Q970" t="n">
        <v>0</v>
      </c>
      <c r="R970" s="2" t="inlineStr"/>
    </row>
    <row r="971" ht="15" customHeight="1">
      <c r="A971" t="inlineStr">
        <is>
          <t>A 13249-2025</t>
        </is>
      </c>
      <c r="B971" s="1" t="n">
        <v>45735.48996527777</v>
      </c>
      <c r="C971" s="1" t="n">
        <v>45891</v>
      </c>
      <c r="D971" t="inlineStr">
        <is>
          <t>JÄMTLANDS LÄN</t>
        </is>
      </c>
      <c r="E971" t="inlineStr">
        <is>
          <t>BRÄCKE</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24456-2025</t>
        </is>
      </c>
      <c r="B972" s="1" t="n">
        <v>45798.34450231482</v>
      </c>
      <c r="C972" s="1" t="n">
        <v>45891</v>
      </c>
      <c r="D972" t="inlineStr">
        <is>
          <t>JÄMTLANDS LÄN</t>
        </is>
      </c>
      <c r="E972" t="inlineStr">
        <is>
          <t>BRÄCKE</t>
        </is>
      </c>
      <c r="F972" t="inlineStr">
        <is>
          <t>SCA</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24436-2025</t>
        </is>
      </c>
      <c r="B973" s="1" t="n">
        <v>45797.7922337963</v>
      </c>
      <c r="C973" s="1" t="n">
        <v>45891</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5167-2025</t>
        </is>
      </c>
      <c r="B974" s="1" t="n">
        <v>45691.61539351852</v>
      </c>
      <c r="C974" s="1" t="n">
        <v>45891</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56732-2022</t>
        </is>
      </c>
      <c r="B975" s="1" t="n">
        <v>44893.94966435185</v>
      </c>
      <c r="C975" s="1" t="n">
        <v>45891</v>
      </c>
      <c r="D975" t="inlineStr">
        <is>
          <t>JÄMTLANDS LÄN</t>
        </is>
      </c>
      <c r="E975" t="inlineStr">
        <is>
          <t>BRÄCKE</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16317-2025</t>
        </is>
      </c>
      <c r="B976" s="1" t="n">
        <v>45751.3480787037</v>
      </c>
      <c r="C976" s="1" t="n">
        <v>45891</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11331-2024</t>
        </is>
      </c>
      <c r="B977" s="1" t="n">
        <v>45372.04696759259</v>
      </c>
      <c r="C977" s="1" t="n">
        <v>45891</v>
      </c>
      <c r="D977" t="inlineStr">
        <is>
          <t>JÄMTLANDS LÄN</t>
        </is>
      </c>
      <c r="E977" t="inlineStr">
        <is>
          <t>BRÄCKE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24588-2025</t>
        </is>
      </c>
      <c r="B978" s="1" t="n">
        <v>45798.53157407408</v>
      </c>
      <c r="C978" s="1" t="n">
        <v>45891</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24236-2025</t>
        </is>
      </c>
      <c r="B979" s="1" t="n">
        <v>45797.38586805556</v>
      </c>
      <c r="C979" s="1" t="n">
        <v>45891</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24454-2025</t>
        </is>
      </c>
      <c r="B980" s="1" t="n">
        <v>45798.34436342592</v>
      </c>
      <c r="C980" s="1" t="n">
        <v>45891</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2774-2025</t>
        </is>
      </c>
      <c r="B981" s="1" t="n">
        <v>45677.51086805556</v>
      </c>
      <c r="C981" s="1" t="n">
        <v>45891</v>
      </c>
      <c r="D981" t="inlineStr">
        <is>
          <t>JÄMTLANDS LÄN</t>
        </is>
      </c>
      <c r="E981" t="inlineStr">
        <is>
          <t>BRÄCKE</t>
        </is>
      </c>
      <c r="F981" t="inlineStr">
        <is>
          <t>SCA</t>
        </is>
      </c>
      <c r="G981" t="n">
        <v>11.4</v>
      </c>
      <c r="H981" t="n">
        <v>0</v>
      </c>
      <c r="I981" t="n">
        <v>0</v>
      </c>
      <c r="J981" t="n">
        <v>0</v>
      </c>
      <c r="K981" t="n">
        <v>0</v>
      </c>
      <c r="L981" t="n">
        <v>0</v>
      </c>
      <c r="M981" t="n">
        <v>0</v>
      </c>
      <c r="N981" t="n">
        <v>0</v>
      </c>
      <c r="O981" t="n">
        <v>0</v>
      </c>
      <c r="P981" t="n">
        <v>0</v>
      </c>
      <c r="Q981" t="n">
        <v>0</v>
      </c>
      <c r="R981" s="2" t="inlineStr"/>
      <c r="U981">
        <f>HYPERLINK("https://klasma.github.io/Logging_2305/knärot/A 2774-2025 karta knärot.png", "A 2774-2025")</f>
        <v/>
      </c>
      <c r="V981">
        <f>HYPERLINK("https://klasma.github.io/Logging_2305/klagomål/A 2774-2025 FSC-klagomål.docx", "A 2774-2025")</f>
        <v/>
      </c>
      <c r="W981">
        <f>HYPERLINK("https://klasma.github.io/Logging_2305/klagomålsmail/A 2774-2025 FSC-klagomål mail.docx", "A 2774-2025")</f>
        <v/>
      </c>
      <c r="X981">
        <f>HYPERLINK("https://klasma.github.io/Logging_2305/tillsyn/A 2774-2025 tillsynsbegäran.docx", "A 2774-2025")</f>
        <v/>
      </c>
      <c r="Y981">
        <f>HYPERLINK("https://klasma.github.io/Logging_2305/tillsynsmail/A 2774-2025 tillsynsbegäran mail.docx", "A 2774-2025")</f>
        <v/>
      </c>
    </row>
    <row r="982" ht="15" customHeight="1">
      <c r="A982" t="inlineStr">
        <is>
          <t>A 51432-2023</t>
        </is>
      </c>
      <c r="B982" s="1" t="n">
        <v>45219.96431712963</v>
      </c>
      <c r="C982" s="1" t="n">
        <v>45891</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24502-2025</t>
        </is>
      </c>
      <c r="B983" s="1" t="n">
        <v>45798.39761574074</v>
      </c>
      <c r="C983" s="1" t="n">
        <v>45891</v>
      </c>
      <c r="D983" t="inlineStr">
        <is>
          <t>JÄMTLANDS LÄN</t>
        </is>
      </c>
      <c r="E983" t="inlineStr">
        <is>
          <t>BRÄCKE</t>
        </is>
      </c>
      <c r="G983" t="n">
        <v>2.2</v>
      </c>
      <c r="H983" t="n">
        <v>0</v>
      </c>
      <c r="I983" t="n">
        <v>0</v>
      </c>
      <c r="J983" t="n">
        <v>0</v>
      </c>
      <c r="K983" t="n">
        <v>0</v>
      </c>
      <c r="L983" t="n">
        <v>0</v>
      </c>
      <c r="M983" t="n">
        <v>0</v>
      </c>
      <c r="N983" t="n">
        <v>0</v>
      </c>
      <c r="O983" t="n">
        <v>0</v>
      </c>
      <c r="P983" t="n">
        <v>0</v>
      </c>
      <c r="Q983" t="n">
        <v>0</v>
      </c>
      <c r="R983" s="2" t="inlineStr"/>
    </row>
    <row r="984" ht="15" customHeight="1">
      <c r="A984" t="inlineStr">
        <is>
          <t>A 18036-2025</t>
        </is>
      </c>
      <c r="B984" s="1" t="n">
        <v>45761.45518518519</v>
      </c>
      <c r="C984" s="1" t="n">
        <v>45891</v>
      </c>
      <c r="D984" t="inlineStr">
        <is>
          <t>JÄMTLANDS LÄN</t>
        </is>
      </c>
      <c r="E984" t="inlineStr">
        <is>
          <t>BRÄCKE</t>
        </is>
      </c>
      <c r="G984" t="n">
        <v>19.5</v>
      </c>
      <c r="H984" t="n">
        <v>0</v>
      </c>
      <c r="I984" t="n">
        <v>0</v>
      </c>
      <c r="J984" t="n">
        <v>0</v>
      </c>
      <c r="K984" t="n">
        <v>0</v>
      </c>
      <c r="L984" t="n">
        <v>0</v>
      </c>
      <c r="M984" t="n">
        <v>0</v>
      </c>
      <c r="N984" t="n">
        <v>0</v>
      </c>
      <c r="O984" t="n">
        <v>0</v>
      </c>
      <c r="P984" t="n">
        <v>0</v>
      </c>
      <c r="Q984" t="n">
        <v>0</v>
      </c>
      <c r="R984" s="2" t="inlineStr"/>
    </row>
    <row r="985" ht="15" customHeight="1">
      <c r="A985" t="inlineStr">
        <is>
          <t>A 24437-2025</t>
        </is>
      </c>
      <c r="B985" s="1" t="n">
        <v>45797.79256944444</v>
      </c>
      <c r="C985" s="1" t="n">
        <v>45891</v>
      </c>
      <c r="D985" t="inlineStr">
        <is>
          <t>JÄMTLANDS LÄN</t>
        </is>
      </c>
      <c r="E985" t="inlineStr">
        <is>
          <t>BRÄCKE</t>
        </is>
      </c>
      <c r="G985" t="n">
        <v>5</v>
      </c>
      <c r="H985" t="n">
        <v>0</v>
      </c>
      <c r="I985" t="n">
        <v>0</v>
      </c>
      <c r="J985" t="n">
        <v>0</v>
      </c>
      <c r="K985" t="n">
        <v>0</v>
      </c>
      <c r="L985" t="n">
        <v>0</v>
      </c>
      <c r="M985" t="n">
        <v>0</v>
      </c>
      <c r="N985" t="n">
        <v>0</v>
      </c>
      <c r="O985" t="n">
        <v>0</v>
      </c>
      <c r="P985" t="n">
        <v>0</v>
      </c>
      <c r="Q985" t="n">
        <v>0</v>
      </c>
      <c r="R985" s="2" t="inlineStr"/>
    </row>
    <row r="986" ht="15" customHeight="1">
      <c r="A986" t="inlineStr">
        <is>
          <t>A 24636-2025</t>
        </is>
      </c>
      <c r="B986" s="1" t="n">
        <v>45798.61528935185</v>
      </c>
      <c r="C986" s="1" t="n">
        <v>45891</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16462-2024</t>
        </is>
      </c>
      <c r="B987" s="1" t="n">
        <v>45408.05018518519</v>
      </c>
      <c r="C987" s="1" t="n">
        <v>45891</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17182-2024</t>
        </is>
      </c>
      <c r="B988" s="1" t="n">
        <v>45412.97984953703</v>
      </c>
      <c r="C988" s="1" t="n">
        <v>45891</v>
      </c>
      <c r="D988" t="inlineStr">
        <is>
          <t>JÄMTLANDS LÄN</t>
        </is>
      </c>
      <c r="E988" t="inlineStr">
        <is>
          <t>BRÄCKE</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18984-2022</t>
        </is>
      </c>
      <c r="B989" s="1" t="n">
        <v>44690</v>
      </c>
      <c r="C989" s="1" t="n">
        <v>45891</v>
      </c>
      <c r="D989" t="inlineStr">
        <is>
          <t>JÄMTLANDS LÄN</t>
        </is>
      </c>
      <c r="E989" t="inlineStr">
        <is>
          <t>BRÄCKE</t>
        </is>
      </c>
      <c r="G989" t="n">
        <v>2.7</v>
      </c>
      <c r="H989" t="n">
        <v>0</v>
      </c>
      <c r="I989" t="n">
        <v>0</v>
      </c>
      <c r="J989" t="n">
        <v>0</v>
      </c>
      <c r="K989" t="n">
        <v>0</v>
      </c>
      <c r="L989" t="n">
        <v>0</v>
      </c>
      <c r="M989" t="n">
        <v>0</v>
      </c>
      <c r="N989" t="n">
        <v>0</v>
      </c>
      <c r="O989" t="n">
        <v>0</v>
      </c>
      <c r="P989" t="n">
        <v>0</v>
      </c>
      <c r="Q989" t="n">
        <v>0</v>
      </c>
      <c r="R989" s="2" t="inlineStr"/>
    </row>
    <row r="990" ht="15" customHeight="1">
      <c r="A990" t="inlineStr">
        <is>
          <t>A 6399-2021</t>
        </is>
      </c>
      <c r="B990" s="1" t="n">
        <v>44232</v>
      </c>
      <c r="C990" s="1" t="n">
        <v>45891</v>
      </c>
      <c r="D990" t="inlineStr">
        <is>
          <t>JÄMTLANDS LÄN</t>
        </is>
      </c>
      <c r="E990" t="inlineStr">
        <is>
          <t>BRÄCKE</t>
        </is>
      </c>
      <c r="G990" t="n">
        <v>3.1</v>
      </c>
      <c r="H990" t="n">
        <v>0</v>
      </c>
      <c r="I990" t="n">
        <v>0</v>
      </c>
      <c r="J990" t="n">
        <v>0</v>
      </c>
      <c r="K990" t="n">
        <v>0</v>
      </c>
      <c r="L990" t="n">
        <v>0</v>
      </c>
      <c r="M990" t="n">
        <v>0</v>
      </c>
      <c r="N990" t="n">
        <v>0</v>
      </c>
      <c r="O990" t="n">
        <v>0</v>
      </c>
      <c r="P990" t="n">
        <v>0</v>
      </c>
      <c r="Q990" t="n">
        <v>0</v>
      </c>
      <c r="R990" s="2" t="inlineStr"/>
    </row>
    <row r="991" ht="15" customHeight="1">
      <c r="A991" t="inlineStr">
        <is>
          <t>A 25883-2022</t>
        </is>
      </c>
      <c r="B991" s="1" t="n">
        <v>44733</v>
      </c>
      <c r="C991" s="1" t="n">
        <v>45891</v>
      </c>
      <c r="D991" t="inlineStr">
        <is>
          <t>JÄMTLANDS LÄN</t>
        </is>
      </c>
      <c r="E991" t="inlineStr">
        <is>
          <t>BRÄCKE</t>
        </is>
      </c>
      <c r="F991" t="inlineStr">
        <is>
          <t>Övriga Aktiebolag</t>
        </is>
      </c>
      <c r="G991" t="n">
        <v>23.4</v>
      </c>
      <c r="H991" t="n">
        <v>0</v>
      </c>
      <c r="I991" t="n">
        <v>0</v>
      </c>
      <c r="J991" t="n">
        <v>0</v>
      </c>
      <c r="K991" t="n">
        <v>0</v>
      </c>
      <c r="L991" t="n">
        <v>0</v>
      </c>
      <c r="M991" t="n">
        <v>0</v>
      </c>
      <c r="N991" t="n">
        <v>0</v>
      </c>
      <c r="O991" t="n">
        <v>0</v>
      </c>
      <c r="P991" t="n">
        <v>0</v>
      </c>
      <c r="Q991" t="n">
        <v>0</v>
      </c>
      <c r="R991" s="2" t="inlineStr"/>
    </row>
    <row r="992" ht="15" customHeight="1">
      <c r="A992" t="inlineStr">
        <is>
          <t>A 24647-2025</t>
        </is>
      </c>
      <c r="B992" s="1" t="n">
        <v>45798.63575231482</v>
      </c>
      <c r="C992" s="1" t="n">
        <v>45891</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24427-2025</t>
        </is>
      </c>
      <c r="B993" s="1" t="n">
        <v>45797.69851851852</v>
      </c>
      <c r="C993" s="1" t="n">
        <v>45891</v>
      </c>
      <c r="D993" t="inlineStr">
        <is>
          <t>JÄMTLANDS LÄN</t>
        </is>
      </c>
      <c r="E993" t="inlineStr">
        <is>
          <t>BRÄCKE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24433-2025</t>
        </is>
      </c>
      <c r="B994" s="1" t="n">
        <v>45797.75547453704</v>
      </c>
      <c r="C994" s="1" t="n">
        <v>45891</v>
      </c>
      <c r="D994" t="inlineStr">
        <is>
          <t>JÄMTLANDS LÄN</t>
        </is>
      </c>
      <c r="E994" t="inlineStr">
        <is>
          <t>BRÄCKE</t>
        </is>
      </c>
      <c r="G994" t="n">
        <v>8.6</v>
      </c>
      <c r="H994" t="n">
        <v>0</v>
      </c>
      <c r="I994" t="n">
        <v>0</v>
      </c>
      <c r="J994" t="n">
        <v>0</v>
      </c>
      <c r="K994" t="n">
        <v>0</v>
      </c>
      <c r="L994" t="n">
        <v>0</v>
      </c>
      <c r="M994" t="n">
        <v>0</v>
      </c>
      <c r="N994" t="n">
        <v>0</v>
      </c>
      <c r="O994" t="n">
        <v>0</v>
      </c>
      <c r="P994" t="n">
        <v>0</v>
      </c>
      <c r="Q994" t="n">
        <v>0</v>
      </c>
      <c r="R994" s="2" t="inlineStr"/>
    </row>
    <row r="995" ht="15" customHeight="1">
      <c r="A995" t="inlineStr">
        <is>
          <t>A 2245-2025</t>
        </is>
      </c>
      <c r="B995" s="1" t="n">
        <v>45673.49019675926</v>
      </c>
      <c r="C995" s="1" t="n">
        <v>45891</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24550-2025</t>
        </is>
      </c>
      <c r="B996" s="1" t="n">
        <v>45798.44836805556</v>
      </c>
      <c r="C996" s="1" t="n">
        <v>45891</v>
      </c>
      <c r="D996" t="inlineStr">
        <is>
          <t>JÄMTLANDS LÄN</t>
        </is>
      </c>
      <c r="E996" t="inlineStr">
        <is>
          <t>BRÄCKE</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56895-2021</t>
        </is>
      </c>
      <c r="B997" s="1" t="n">
        <v>44481.92086805555</v>
      </c>
      <c r="C997" s="1" t="n">
        <v>45891</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58741-2023</t>
        </is>
      </c>
      <c r="B998" s="1" t="n">
        <v>45251.92894675926</v>
      </c>
      <c r="C998" s="1" t="n">
        <v>45891</v>
      </c>
      <c r="D998" t="inlineStr">
        <is>
          <t>JÄMTLANDS LÄN</t>
        </is>
      </c>
      <c r="E998" t="inlineStr">
        <is>
          <t>BRÄCKE</t>
        </is>
      </c>
      <c r="G998" t="n">
        <v>2.1</v>
      </c>
      <c r="H998" t="n">
        <v>0</v>
      </c>
      <c r="I998" t="n">
        <v>0</v>
      </c>
      <c r="J998" t="n">
        <v>0</v>
      </c>
      <c r="K998" t="n">
        <v>0</v>
      </c>
      <c r="L998" t="n">
        <v>0</v>
      </c>
      <c r="M998" t="n">
        <v>0</v>
      </c>
      <c r="N998" t="n">
        <v>0</v>
      </c>
      <c r="O998" t="n">
        <v>0</v>
      </c>
      <c r="P998" t="n">
        <v>0</v>
      </c>
      <c r="Q998" t="n">
        <v>0</v>
      </c>
      <c r="R998" s="2" t="inlineStr"/>
    </row>
    <row r="999" ht="15" customHeight="1">
      <c r="A999" t="inlineStr">
        <is>
          <t>A 24604-2025</t>
        </is>
      </c>
      <c r="B999" s="1" t="n">
        <v>45798.5734375</v>
      </c>
      <c r="C999" s="1" t="n">
        <v>45891</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22980-2024</t>
        </is>
      </c>
      <c r="B1000" s="1" t="n">
        <v>45449.90008101852</v>
      </c>
      <c r="C1000" s="1" t="n">
        <v>45891</v>
      </c>
      <c r="D1000" t="inlineStr">
        <is>
          <t>JÄMTLANDS LÄN</t>
        </is>
      </c>
      <c r="E1000" t="inlineStr">
        <is>
          <t>BRÄCKE</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24726-2022</t>
        </is>
      </c>
      <c r="B1001" s="1" t="n">
        <v>44727</v>
      </c>
      <c r="C1001" s="1" t="n">
        <v>45891</v>
      </c>
      <c r="D1001" t="inlineStr">
        <is>
          <t>JÄMTLANDS LÄN</t>
        </is>
      </c>
      <c r="E1001" t="inlineStr">
        <is>
          <t>BRÄCKE</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3020-2023</t>
        </is>
      </c>
      <c r="B1002" s="1" t="n">
        <v>44945.9396412037</v>
      </c>
      <c r="C1002" s="1" t="n">
        <v>45891</v>
      </c>
      <c r="D1002" t="inlineStr">
        <is>
          <t>JÄMTLANDS LÄN</t>
        </is>
      </c>
      <c r="E1002" t="inlineStr">
        <is>
          <t>BRÄCKE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18982-2025</t>
        </is>
      </c>
      <c r="B1003" s="1" t="n">
        <v>45764.55288194444</v>
      </c>
      <c r="C1003" s="1" t="n">
        <v>45891</v>
      </c>
      <c r="D1003" t="inlineStr">
        <is>
          <t>JÄMTLANDS LÄN</t>
        </is>
      </c>
      <c r="E1003" t="inlineStr">
        <is>
          <t>BRÄCKE</t>
        </is>
      </c>
      <c r="F1003" t="inlineStr">
        <is>
          <t>SCA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3032-2023</t>
        </is>
      </c>
      <c r="B1004" s="1" t="n">
        <v>44945.9412962963</v>
      </c>
      <c r="C1004" s="1" t="n">
        <v>45891</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24784-2025</t>
        </is>
      </c>
      <c r="B1005" s="1" t="n">
        <v>45799.42741898148</v>
      </c>
      <c r="C1005" s="1" t="n">
        <v>45891</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48900-2023</t>
        </is>
      </c>
      <c r="B1006" s="1" t="n">
        <v>45209</v>
      </c>
      <c r="C1006" s="1" t="n">
        <v>45891</v>
      </c>
      <c r="D1006" t="inlineStr">
        <is>
          <t>JÄMTLANDS LÄN</t>
        </is>
      </c>
      <c r="E1006" t="inlineStr">
        <is>
          <t>BRÄCKE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30685-2024</t>
        </is>
      </c>
      <c r="B1007" s="1" t="n">
        <v>45495.95159722222</v>
      </c>
      <c r="C1007" s="1" t="n">
        <v>45891</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5527-2025</t>
        </is>
      </c>
      <c r="B1008" s="1" t="n">
        <v>45693.42859953704</v>
      </c>
      <c r="C1008" s="1" t="n">
        <v>45891</v>
      </c>
      <c r="D1008" t="inlineStr">
        <is>
          <t>JÄMTLANDS LÄN</t>
        </is>
      </c>
      <c r="E1008" t="inlineStr">
        <is>
          <t>BRÄCKE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48779-2023</t>
        </is>
      </c>
      <c r="B1009" s="1" t="n">
        <v>45208.9496875</v>
      </c>
      <c r="C1009" s="1" t="n">
        <v>45891</v>
      </c>
      <c r="D1009" t="inlineStr">
        <is>
          <t>JÄMTLANDS LÄN</t>
        </is>
      </c>
      <c r="E1009" t="inlineStr">
        <is>
          <t>BRÄCKE</t>
        </is>
      </c>
      <c r="F1009" t="inlineStr">
        <is>
          <t>Naturvårdsverket</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37960-2024</t>
        </is>
      </c>
      <c r="B1010" s="1" t="n">
        <v>45544.53925925926</v>
      </c>
      <c r="C1010" s="1" t="n">
        <v>45891</v>
      </c>
      <c r="D1010" t="inlineStr">
        <is>
          <t>JÄMTLANDS LÄN</t>
        </is>
      </c>
      <c r="E1010" t="inlineStr">
        <is>
          <t>BRÄCKE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31566-2024</t>
        </is>
      </c>
      <c r="B1011" s="1" t="n">
        <v>45505.96675925926</v>
      </c>
      <c r="C1011" s="1" t="n">
        <v>45891</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34807-2024</t>
        </is>
      </c>
      <c r="B1012" s="1" t="n">
        <v>45526.69046296296</v>
      </c>
      <c r="C1012" s="1" t="n">
        <v>45891</v>
      </c>
      <c r="D1012" t="inlineStr">
        <is>
          <t>JÄMTLANDS LÄN</t>
        </is>
      </c>
      <c r="E1012" t="inlineStr">
        <is>
          <t>BRÄCKE</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30874-2024</t>
        </is>
      </c>
      <c r="B1013" s="1" t="n">
        <v>45498.3091087963</v>
      </c>
      <c r="C1013" s="1" t="n">
        <v>45891</v>
      </c>
      <c r="D1013" t="inlineStr">
        <is>
          <t>JÄMTLANDS LÄN</t>
        </is>
      </c>
      <c r="E1013" t="inlineStr">
        <is>
          <t>BRÄCKE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68968-2020</t>
        </is>
      </c>
      <c r="B1014" s="1" t="n">
        <v>44187</v>
      </c>
      <c r="C1014" s="1" t="n">
        <v>45891</v>
      </c>
      <c r="D1014" t="inlineStr">
        <is>
          <t>JÄMTLANDS LÄN</t>
        </is>
      </c>
      <c r="E1014" t="inlineStr">
        <is>
          <t>BRÄCKE</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55662-2023</t>
        </is>
      </c>
      <c r="B1015" s="1" t="n">
        <v>45238.96730324074</v>
      </c>
      <c r="C1015" s="1" t="n">
        <v>45891</v>
      </c>
      <c r="D1015" t="inlineStr">
        <is>
          <t>JÄMTLANDS LÄN</t>
        </is>
      </c>
      <c r="E1015" t="inlineStr">
        <is>
          <t>BRÄCKE</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29835-2022</t>
        </is>
      </c>
      <c r="B1016" s="1" t="n">
        <v>44755.94592592592</v>
      </c>
      <c r="C1016" s="1" t="n">
        <v>45891</v>
      </c>
      <c r="D1016" t="inlineStr">
        <is>
          <t>JÄMTLANDS LÄN</t>
        </is>
      </c>
      <c r="E1016" t="inlineStr">
        <is>
          <t>BRÄCKE</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61362-2024</t>
        </is>
      </c>
      <c r="B1017" s="1" t="n">
        <v>45646.3857175926</v>
      </c>
      <c r="C1017" s="1" t="n">
        <v>45891</v>
      </c>
      <c r="D1017" t="inlineStr">
        <is>
          <t>JÄMTLANDS LÄN</t>
        </is>
      </c>
      <c r="E1017" t="inlineStr">
        <is>
          <t>BRÄCKE</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37238-2023</t>
        </is>
      </c>
      <c r="B1018" s="1" t="n">
        <v>45155.95366898148</v>
      </c>
      <c r="C1018" s="1" t="n">
        <v>45891</v>
      </c>
      <c r="D1018" t="inlineStr">
        <is>
          <t>JÄMTLANDS LÄN</t>
        </is>
      </c>
      <c r="E1018" t="inlineStr">
        <is>
          <t>BRÄCKE</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40410-2023</t>
        </is>
      </c>
      <c r="B1019" s="1" t="n">
        <v>45169</v>
      </c>
      <c r="C1019" s="1" t="n">
        <v>45891</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51161-2023</t>
        </is>
      </c>
      <c r="B1020" s="1" t="n">
        <v>45219.38019675926</v>
      </c>
      <c r="C1020" s="1" t="n">
        <v>45891</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10476-2022</t>
        </is>
      </c>
      <c r="B1021" s="1" t="n">
        <v>44623</v>
      </c>
      <c r="C1021" s="1" t="n">
        <v>45891</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10542-2022</t>
        </is>
      </c>
      <c r="B1022" s="1" t="n">
        <v>44623.92204861111</v>
      </c>
      <c r="C1022" s="1" t="n">
        <v>45891</v>
      </c>
      <c r="D1022" t="inlineStr">
        <is>
          <t>JÄMTLANDS LÄN</t>
        </is>
      </c>
      <c r="E1022" t="inlineStr">
        <is>
          <t>BRÄCKE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22985-2023</t>
        </is>
      </c>
      <c r="B1023" s="1" t="n">
        <v>45072</v>
      </c>
      <c r="C1023" s="1" t="n">
        <v>45891</v>
      </c>
      <c r="D1023" t="inlineStr">
        <is>
          <t>JÄMTLANDS LÄN</t>
        </is>
      </c>
      <c r="E1023" t="inlineStr">
        <is>
          <t>BRÄCKE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18645-2024</t>
        </is>
      </c>
      <c r="B1024" s="1" t="n">
        <v>45425.96738425926</v>
      </c>
      <c r="C1024" s="1" t="n">
        <v>45891</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44082-2024</t>
        </is>
      </c>
      <c r="B1025" s="1" t="n">
        <v>45572.61549768518</v>
      </c>
      <c r="C1025" s="1" t="n">
        <v>45891</v>
      </c>
      <c r="D1025" t="inlineStr">
        <is>
          <t>JÄMTLANDS LÄN</t>
        </is>
      </c>
      <c r="E1025" t="inlineStr">
        <is>
          <t>BRÄCKE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58461-2023</t>
        </is>
      </c>
      <c r="B1026" s="1" t="n">
        <v>45250</v>
      </c>
      <c r="C1026" s="1" t="n">
        <v>45891</v>
      </c>
      <c r="D1026" t="inlineStr">
        <is>
          <t>JÄMTLANDS LÄN</t>
        </is>
      </c>
      <c r="E1026" t="inlineStr">
        <is>
          <t>BRÄCKE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25101-2025</t>
        </is>
      </c>
      <c r="B1027" s="1" t="n">
        <v>45800.34444444445</v>
      </c>
      <c r="C1027" s="1" t="n">
        <v>45891</v>
      </c>
      <c r="D1027" t="inlineStr">
        <is>
          <t>JÄMTLANDS LÄN</t>
        </is>
      </c>
      <c r="E1027" t="inlineStr">
        <is>
          <t>BRÄCKE</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25102-2025</t>
        </is>
      </c>
      <c r="B1028" s="1" t="n">
        <v>45800.34445601852</v>
      </c>
      <c r="C1028" s="1" t="n">
        <v>45891</v>
      </c>
      <c r="D1028" t="inlineStr">
        <is>
          <t>JÄMTLANDS LÄN</t>
        </is>
      </c>
      <c r="E1028" t="inlineStr">
        <is>
          <t>BRÄCKE</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25159-2025</t>
        </is>
      </c>
      <c r="B1029" s="1" t="n">
        <v>45800.42804398148</v>
      </c>
      <c r="C1029" s="1" t="n">
        <v>45891</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5618-2025</t>
        </is>
      </c>
      <c r="B1030" s="1" t="n">
        <v>45693.61509259259</v>
      </c>
      <c r="C1030" s="1" t="n">
        <v>45891</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2829-2021</t>
        </is>
      </c>
      <c r="B1031" s="1" t="n">
        <v>44215</v>
      </c>
      <c r="C1031" s="1" t="n">
        <v>45891</v>
      </c>
      <c r="D1031" t="inlineStr">
        <is>
          <t>JÄMTLANDS LÄN</t>
        </is>
      </c>
      <c r="E1031" t="inlineStr">
        <is>
          <t>BRÄCKE</t>
        </is>
      </c>
      <c r="F1031" t="inlineStr">
        <is>
          <t>SCA</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5621-2025</t>
        </is>
      </c>
      <c r="B1032" s="1" t="n">
        <v>45693.6357175926</v>
      </c>
      <c r="C1032" s="1" t="n">
        <v>45891</v>
      </c>
      <c r="D1032" t="inlineStr">
        <is>
          <t>JÄMTLANDS LÄN</t>
        </is>
      </c>
      <c r="E1032" t="inlineStr">
        <is>
          <t>BRÄCKE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24850-2025</t>
        </is>
      </c>
      <c r="B1033" s="1" t="n">
        <v>45799.46958333333</v>
      </c>
      <c r="C1033" s="1" t="n">
        <v>45891</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17601-2025</t>
        </is>
      </c>
      <c r="B1034" s="1" t="n">
        <v>45757.71991898148</v>
      </c>
      <c r="C1034" s="1" t="n">
        <v>45891</v>
      </c>
      <c r="D1034" t="inlineStr">
        <is>
          <t>JÄMTLANDS LÄN</t>
        </is>
      </c>
      <c r="E1034" t="inlineStr">
        <is>
          <t>BRÄCKE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35880-2023</t>
        </is>
      </c>
      <c r="B1035" s="1" t="n">
        <v>45148</v>
      </c>
      <c r="C1035" s="1" t="n">
        <v>45891</v>
      </c>
      <c r="D1035" t="inlineStr">
        <is>
          <t>JÄMTLANDS LÄN</t>
        </is>
      </c>
      <c r="E1035" t="inlineStr">
        <is>
          <t>BRÄCKE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25895-2023</t>
        </is>
      </c>
      <c r="B1036" s="1" t="n">
        <v>45085</v>
      </c>
      <c r="C1036" s="1" t="n">
        <v>45891</v>
      </c>
      <c r="D1036" t="inlineStr">
        <is>
          <t>JÄMTLANDS LÄN</t>
        </is>
      </c>
      <c r="E1036" t="inlineStr">
        <is>
          <t>BRÄCKE</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35424-2023</t>
        </is>
      </c>
      <c r="B1037" s="1" t="n">
        <v>45146.6240625</v>
      </c>
      <c r="C1037" s="1" t="n">
        <v>45891</v>
      </c>
      <c r="D1037" t="inlineStr">
        <is>
          <t>JÄMTLANDS LÄN</t>
        </is>
      </c>
      <c r="E1037" t="inlineStr">
        <is>
          <t>BRÄCKE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25734-2025</t>
        </is>
      </c>
      <c r="B1038" s="1" t="n">
        <v>45803.76541666667</v>
      </c>
      <c r="C1038" s="1" t="n">
        <v>45891</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49709-2024</t>
        </is>
      </c>
      <c r="B1039" s="1" t="n">
        <v>45596.69858796296</v>
      </c>
      <c r="C1039" s="1" t="n">
        <v>45891</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49712-2024</t>
        </is>
      </c>
      <c r="B1040" s="1" t="n">
        <v>45596.69923611111</v>
      </c>
      <c r="C1040" s="1" t="n">
        <v>45891</v>
      </c>
      <c r="D1040" t="inlineStr">
        <is>
          <t>JÄMTLANDS LÄN</t>
        </is>
      </c>
      <c r="E1040" t="inlineStr">
        <is>
          <t>BRÄCKE</t>
        </is>
      </c>
      <c r="F1040" t="inlineStr">
        <is>
          <t>Naturvårdsverket</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25821-2025</t>
        </is>
      </c>
      <c r="B1041" s="1" t="n">
        <v>45804.43686342592</v>
      </c>
      <c r="C1041" s="1" t="n">
        <v>45891</v>
      </c>
      <c r="D1041" t="inlineStr">
        <is>
          <t>JÄMTLANDS LÄN</t>
        </is>
      </c>
      <c r="E1041" t="inlineStr">
        <is>
          <t>BRÄCKE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51167-2023</t>
        </is>
      </c>
      <c r="B1042" s="1" t="n">
        <v>45219.38388888889</v>
      </c>
      <c r="C1042" s="1" t="n">
        <v>45891</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19996-2024</t>
        </is>
      </c>
      <c r="B1043" s="1" t="n">
        <v>45433.92756944444</v>
      </c>
      <c r="C1043" s="1" t="n">
        <v>45891</v>
      </c>
      <c r="D1043" t="inlineStr">
        <is>
          <t>JÄMTLANDS LÄN</t>
        </is>
      </c>
      <c r="E1043" t="inlineStr">
        <is>
          <t>BRÄCKE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43070-2020</t>
        </is>
      </c>
      <c r="B1044" s="1" t="n">
        <v>44078</v>
      </c>
      <c r="C1044" s="1" t="n">
        <v>45891</v>
      </c>
      <c r="D1044" t="inlineStr">
        <is>
          <t>JÄMTLANDS LÄN</t>
        </is>
      </c>
      <c r="E1044" t="inlineStr">
        <is>
          <t>BRÄCKE</t>
        </is>
      </c>
      <c r="F1044" t="inlineStr">
        <is>
          <t>SCA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4121-2025</t>
        </is>
      </c>
      <c r="B1045" s="1" t="n">
        <v>45685.26607638889</v>
      </c>
      <c r="C1045" s="1" t="n">
        <v>45891</v>
      </c>
      <c r="D1045" t="inlineStr">
        <is>
          <t>JÄMTLANDS LÄN</t>
        </is>
      </c>
      <c r="E1045" t="inlineStr">
        <is>
          <t>BRÄCKE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43551-2023</t>
        </is>
      </c>
      <c r="B1046" s="1" t="n">
        <v>45181</v>
      </c>
      <c r="C1046" s="1" t="n">
        <v>45891</v>
      </c>
      <c r="D1046" t="inlineStr">
        <is>
          <t>JÄMTLANDS LÄN</t>
        </is>
      </c>
      <c r="E1046" t="inlineStr">
        <is>
          <t>BRÄCKE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9467-2025</t>
        </is>
      </c>
      <c r="B1047" s="1" t="n">
        <v>45715.46903935185</v>
      </c>
      <c r="C1047" s="1" t="n">
        <v>45891</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31843-2022</t>
        </is>
      </c>
      <c r="B1048" s="1" t="n">
        <v>44776.94121527778</v>
      </c>
      <c r="C1048" s="1" t="n">
        <v>45891</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31853-2022</t>
        </is>
      </c>
      <c r="B1049" s="1" t="n">
        <v>44776</v>
      </c>
      <c r="C1049" s="1" t="n">
        <v>45891</v>
      </c>
      <c r="D1049" t="inlineStr">
        <is>
          <t>JÄMTLANDS LÄN</t>
        </is>
      </c>
      <c r="E1049" t="inlineStr">
        <is>
          <t>BRÄCKE</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45010-2023</t>
        </is>
      </c>
      <c r="B1050" s="1" t="n">
        <v>45190.96116898148</v>
      </c>
      <c r="C1050" s="1" t="n">
        <v>45891</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45013-2023</t>
        </is>
      </c>
      <c r="B1051" s="1" t="n">
        <v>45190.96158564815</v>
      </c>
      <c r="C1051" s="1" t="n">
        <v>45891</v>
      </c>
      <c r="D1051" t="inlineStr">
        <is>
          <t>JÄMTLANDS LÄN</t>
        </is>
      </c>
      <c r="E1051" t="inlineStr">
        <is>
          <t>BRÄCKE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4857-2025</t>
        </is>
      </c>
      <c r="B1052" s="1" t="n">
        <v>45688.67418981482</v>
      </c>
      <c r="C1052" s="1" t="n">
        <v>45891</v>
      </c>
      <c r="D1052" t="inlineStr">
        <is>
          <t>JÄMTLANDS LÄN</t>
        </is>
      </c>
      <c r="E1052" t="inlineStr">
        <is>
          <t>BRÄCKE</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25718-2025</t>
        </is>
      </c>
      <c r="B1053" s="1" t="n">
        <v>45803.69876157407</v>
      </c>
      <c r="C1053" s="1" t="n">
        <v>45891</v>
      </c>
      <c r="D1053" t="inlineStr">
        <is>
          <t>JÄMTLANDS LÄN</t>
        </is>
      </c>
      <c r="E1053" t="inlineStr">
        <is>
          <t>BRÄCKE</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57590-2024</t>
        </is>
      </c>
      <c r="B1054" s="1" t="n">
        <v>45630.49729166667</v>
      </c>
      <c r="C1054" s="1" t="n">
        <v>45891</v>
      </c>
      <c r="D1054" t="inlineStr">
        <is>
          <t>JÄMTLANDS LÄN</t>
        </is>
      </c>
      <c r="E1054" t="inlineStr">
        <is>
          <t>BRÄCKE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9386-2025</t>
        </is>
      </c>
      <c r="B1055" s="1" t="n">
        <v>45715.34450231482</v>
      </c>
      <c r="C1055" s="1" t="n">
        <v>45891</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31517-2024</t>
        </is>
      </c>
      <c r="B1056" s="1" t="n">
        <v>45505</v>
      </c>
      <c r="C1056" s="1" t="n">
        <v>45891</v>
      </c>
      <c r="D1056" t="inlineStr">
        <is>
          <t>JÄMTLANDS LÄN</t>
        </is>
      </c>
      <c r="E1056" t="inlineStr">
        <is>
          <t>BRÄCKE</t>
        </is>
      </c>
      <c r="F1056" t="inlineStr">
        <is>
          <t>SCA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26379-2025</t>
        </is>
      </c>
      <c r="B1057" s="1" t="n">
        <v>45806.48998842593</v>
      </c>
      <c r="C1057" s="1" t="n">
        <v>45891</v>
      </c>
      <c r="D1057" t="inlineStr">
        <is>
          <t>JÄMTLANDS LÄN</t>
        </is>
      </c>
      <c r="E1057" t="inlineStr">
        <is>
          <t>BRÄCKE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55221-2024</t>
        </is>
      </c>
      <c r="B1058" s="1" t="n">
        <v>45621.57369212963</v>
      </c>
      <c r="C1058" s="1" t="n">
        <v>45891</v>
      </c>
      <c r="D1058" t="inlineStr">
        <is>
          <t>JÄMTLANDS LÄN</t>
        </is>
      </c>
      <c r="E1058" t="inlineStr">
        <is>
          <t>BRÄCKE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30685-2023</t>
        </is>
      </c>
      <c r="B1059" s="1" t="n">
        <v>45112.56471064815</v>
      </c>
      <c r="C1059" s="1" t="n">
        <v>45891</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9994-2021</t>
        </is>
      </c>
      <c r="B1060" s="1" t="n">
        <v>44254</v>
      </c>
      <c r="C1060" s="1" t="n">
        <v>45891</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57414-2023</t>
        </is>
      </c>
      <c r="B1061" s="1" t="n">
        <v>45245.96939814815</v>
      </c>
      <c r="C1061" s="1" t="n">
        <v>45891</v>
      </c>
      <c r="D1061" t="inlineStr">
        <is>
          <t>JÄMTLANDS LÄN</t>
        </is>
      </c>
      <c r="E1061" t="inlineStr">
        <is>
          <t>BRÄCKE</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55997-2024</t>
        </is>
      </c>
      <c r="B1062" s="1" t="n">
        <v>45623.6984837963</v>
      </c>
      <c r="C1062" s="1" t="n">
        <v>45891</v>
      </c>
      <c r="D1062" t="inlineStr">
        <is>
          <t>JÄMTLANDS LÄN</t>
        </is>
      </c>
      <c r="E1062" t="inlineStr">
        <is>
          <t>BRÄCKE</t>
        </is>
      </c>
      <c r="F1062" t="inlineStr">
        <is>
          <t>SCA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51827-2023</t>
        </is>
      </c>
      <c r="B1063" s="1" t="n">
        <v>45222.96791666667</v>
      </c>
      <c r="C1063" s="1" t="n">
        <v>45891</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41831-2024</t>
        </is>
      </c>
      <c r="B1064" s="1" t="n">
        <v>45561.40703703704</v>
      </c>
      <c r="C1064" s="1" t="n">
        <v>45891</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59416-2023</t>
        </is>
      </c>
      <c r="B1065" s="1" t="n">
        <v>45253</v>
      </c>
      <c r="C1065" s="1" t="n">
        <v>45891</v>
      </c>
      <c r="D1065" t="inlineStr">
        <is>
          <t>JÄMTLANDS LÄN</t>
        </is>
      </c>
      <c r="E1065" t="inlineStr">
        <is>
          <t>BRÄCKE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16336-2021</t>
        </is>
      </c>
      <c r="B1066" s="1" t="n">
        <v>44292.93416666667</v>
      </c>
      <c r="C1066" s="1" t="n">
        <v>45891</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48770-2023</t>
        </is>
      </c>
      <c r="B1067" s="1" t="n">
        <v>45208.9489699074</v>
      </c>
      <c r="C1067" s="1" t="n">
        <v>45891</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53578-2024</t>
        </is>
      </c>
      <c r="B1068" s="1" t="n">
        <v>45614</v>
      </c>
      <c r="C1068" s="1" t="n">
        <v>45891</v>
      </c>
      <c r="D1068" t="inlineStr">
        <is>
          <t>JÄMTLANDS LÄN</t>
        </is>
      </c>
      <c r="E1068" t="inlineStr">
        <is>
          <t>BRÄCKE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7123-2025</t>
        </is>
      </c>
      <c r="B1069" s="1" t="n">
        <v>45702.34427083333</v>
      </c>
      <c r="C1069" s="1" t="n">
        <v>45891</v>
      </c>
      <c r="D1069" t="inlineStr">
        <is>
          <t>JÄMTLANDS LÄN</t>
        </is>
      </c>
      <c r="E1069" t="inlineStr">
        <is>
          <t>BRÄCKE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6707-2025</t>
        </is>
      </c>
      <c r="B1070" s="1" t="n">
        <v>45700.55247685185</v>
      </c>
      <c r="C1070" s="1" t="n">
        <v>45891</v>
      </c>
      <c r="D1070" t="inlineStr">
        <is>
          <t>JÄMTLANDS LÄN</t>
        </is>
      </c>
      <c r="E1070" t="inlineStr">
        <is>
          <t>BRÄCKE</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33172-2023</t>
        </is>
      </c>
      <c r="B1071" s="1" t="n">
        <v>45126.94283564815</v>
      </c>
      <c r="C1071" s="1" t="n">
        <v>45891</v>
      </c>
      <c r="D1071" t="inlineStr">
        <is>
          <t>JÄMTLANDS LÄN</t>
        </is>
      </c>
      <c r="E1071" t="inlineStr">
        <is>
          <t>BRÄCKE</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26298-2025</t>
        </is>
      </c>
      <c r="B1072" s="1" t="n">
        <v>45805.63619212963</v>
      </c>
      <c r="C1072" s="1" t="n">
        <v>45891</v>
      </c>
      <c r="D1072" t="inlineStr">
        <is>
          <t>JÄMTLANDS LÄN</t>
        </is>
      </c>
      <c r="E1072" t="inlineStr">
        <is>
          <t>BRÄCKE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32229-2023</t>
        </is>
      </c>
      <c r="B1073" s="1" t="n">
        <v>45119.94334490741</v>
      </c>
      <c r="C1073" s="1" t="n">
        <v>45891</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9816-2024</t>
        </is>
      </c>
      <c r="B1074" s="1" t="n">
        <v>45363.04525462963</v>
      </c>
      <c r="C1074" s="1" t="n">
        <v>45891</v>
      </c>
      <c r="D1074" t="inlineStr">
        <is>
          <t>JÄMTLANDS LÄN</t>
        </is>
      </c>
      <c r="E1074" t="inlineStr">
        <is>
          <t>BRÄCKE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1672-2025</t>
        </is>
      </c>
      <c r="B1075" s="1" t="n">
        <v>45670.6781712963</v>
      </c>
      <c r="C1075" s="1" t="n">
        <v>45891</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41923-2023</t>
        </is>
      </c>
      <c r="B1076" s="1" t="n">
        <v>45176</v>
      </c>
      <c r="C1076" s="1" t="n">
        <v>45891</v>
      </c>
      <c r="D1076" t="inlineStr">
        <is>
          <t>JÄMTLANDS LÄN</t>
        </is>
      </c>
      <c r="E1076" t="inlineStr">
        <is>
          <t>BRÄCKE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26371-2025</t>
        </is>
      </c>
      <c r="B1077" s="1" t="n">
        <v>45806.40653935185</v>
      </c>
      <c r="C1077" s="1" t="n">
        <v>45891</v>
      </c>
      <c r="D1077" t="inlineStr">
        <is>
          <t>JÄMTLANDS LÄN</t>
        </is>
      </c>
      <c r="E1077" t="inlineStr">
        <is>
          <t>BRÄCKE</t>
        </is>
      </c>
      <c r="F1077" t="inlineStr">
        <is>
          <t>SCA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18265-2025</t>
        </is>
      </c>
      <c r="B1078" s="1" t="n">
        <v>45762.36525462963</v>
      </c>
      <c r="C1078" s="1" t="n">
        <v>45891</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58467-2023</t>
        </is>
      </c>
      <c r="B1079" s="1" t="n">
        <v>45250.96192129629</v>
      </c>
      <c r="C1079" s="1" t="n">
        <v>45891</v>
      </c>
      <c r="D1079" t="inlineStr">
        <is>
          <t>JÄMTLANDS LÄN</t>
        </is>
      </c>
      <c r="E1079" t="inlineStr">
        <is>
          <t>BRÄCKE</t>
        </is>
      </c>
      <c r="F1079" t="inlineStr">
        <is>
          <t>SCA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35972-2023</t>
        </is>
      </c>
      <c r="B1080" s="1" t="n">
        <v>45148</v>
      </c>
      <c r="C1080" s="1" t="n">
        <v>45891</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41311-2024</t>
        </is>
      </c>
      <c r="B1081" s="1" t="n">
        <v>45559.63569444444</v>
      </c>
      <c r="C1081" s="1" t="n">
        <v>45891</v>
      </c>
      <c r="D1081" t="inlineStr">
        <is>
          <t>JÄMTLANDS LÄN</t>
        </is>
      </c>
      <c r="E1081" t="inlineStr">
        <is>
          <t>BRÄCKE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41315-2024</t>
        </is>
      </c>
      <c r="B1082" s="1" t="n">
        <v>45559.63628472222</v>
      </c>
      <c r="C1082" s="1" t="n">
        <v>45891</v>
      </c>
      <c r="D1082" t="inlineStr">
        <is>
          <t>JÄMTLANDS LÄN</t>
        </is>
      </c>
      <c r="E1082" t="inlineStr">
        <is>
          <t>BRÄCKE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4132-2025</t>
        </is>
      </c>
      <c r="B1083" s="1" t="n">
        <v>45685.34538194445</v>
      </c>
      <c r="C1083" s="1" t="n">
        <v>45891</v>
      </c>
      <c r="D1083" t="inlineStr">
        <is>
          <t>JÄMTLANDS LÄN</t>
        </is>
      </c>
      <c r="E1083" t="inlineStr">
        <is>
          <t>BRÄCKE</t>
        </is>
      </c>
      <c r="F1083" t="inlineStr">
        <is>
          <t>SCA</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8386-2025</t>
        </is>
      </c>
      <c r="B1084" s="1" t="n">
        <v>45709.35850694445</v>
      </c>
      <c r="C1084" s="1" t="n">
        <v>45891</v>
      </c>
      <c r="D1084" t="inlineStr">
        <is>
          <t>JÄMTLANDS LÄN</t>
        </is>
      </c>
      <c r="E1084" t="inlineStr">
        <is>
          <t>BRÄCKE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18965-2025</t>
        </is>
      </c>
      <c r="B1085" s="1" t="n">
        <v>45764.53155092592</v>
      </c>
      <c r="C1085" s="1" t="n">
        <v>45891</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35766-2023</t>
        </is>
      </c>
      <c r="B1086" s="1" t="n">
        <v>45147</v>
      </c>
      <c r="C1086" s="1" t="n">
        <v>45891</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20157-2025</t>
        </is>
      </c>
      <c r="B1087" s="1" t="n">
        <v>45772.56060185185</v>
      </c>
      <c r="C1087" s="1" t="n">
        <v>45891</v>
      </c>
      <c r="D1087" t="inlineStr">
        <is>
          <t>JÄMTLANDS LÄN</t>
        </is>
      </c>
      <c r="E1087" t="inlineStr">
        <is>
          <t>BRÄCKE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56499-2023</t>
        </is>
      </c>
      <c r="B1088" s="1" t="n">
        <v>45237</v>
      </c>
      <c r="C1088" s="1" t="n">
        <v>45891</v>
      </c>
      <c r="D1088" t="inlineStr">
        <is>
          <t>JÄMTLANDS LÄN</t>
        </is>
      </c>
      <c r="E1088" t="inlineStr">
        <is>
          <t>BRÄCKE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56525-2023</t>
        </is>
      </c>
      <c r="B1089" s="1" t="n">
        <v>45243.56650462963</v>
      </c>
      <c r="C1089" s="1" t="n">
        <v>45891</v>
      </c>
      <c r="D1089" t="inlineStr">
        <is>
          <t>JÄMTLANDS LÄN</t>
        </is>
      </c>
      <c r="E1089" t="inlineStr">
        <is>
          <t>BRÄCKE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28738-2022</t>
        </is>
      </c>
      <c r="B1090" s="1" t="n">
        <v>44748.94701388889</v>
      </c>
      <c r="C1090" s="1" t="n">
        <v>45891</v>
      </c>
      <c r="D1090" t="inlineStr">
        <is>
          <t>JÄMTLANDS LÄN</t>
        </is>
      </c>
      <c r="E1090" t="inlineStr">
        <is>
          <t>BRÄCKE</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31567-2024</t>
        </is>
      </c>
      <c r="B1091" s="1" t="n">
        <v>45505.96689814814</v>
      </c>
      <c r="C1091" s="1" t="n">
        <v>45891</v>
      </c>
      <c r="D1091" t="inlineStr">
        <is>
          <t>JÄMTLANDS LÄN</t>
        </is>
      </c>
      <c r="E1091" t="inlineStr">
        <is>
          <t>BRÄCKE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4893-2025</t>
        </is>
      </c>
      <c r="B1092" s="1" t="n">
        <v>45688.67871527778</v>
      </c>
      <c r="C1092" s="1" t="n">
        <v>45891</v>
      </c>
      <c r="D1092" t="inlineStr">
        <is>
          <t>JÄMTLANDS LÄN</t>
        </is>
      </c>
      <c r="E1092" t="inlineStr">
        <is>
          <t>BRÄCKE</t>
        </is>
      </c>
      <c r="F1092" t="inlineStr">
        <is>
          <t>SCA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46798-2023</t>
        </is>
      </c>
      <c r="B1093" s="1" t="n">
        <v>45198</v>
      </c>
      <c r="C1093" s="1" t="n">
        <v>45891</v>
      </c>
      <c r="D1093" t="inlineStr">
        <is>
          <t>JÄMTLANDS LÄN</t>
        </is>
      </c>
      <c r="E1093" t="inlineStr">
        <is>
          <t>BRÄCKE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9387-2025</t>
        </is>
      </c>
      <c r="B1094" s="1" t="n">
        <v>45715.34461805555</v>
      </c>
      <c r="C1094" s="1" t="n">
        <v>45891</v>
      </c>
      <c r="D1094" t="inlineStr">
        <is>
          <t>JÄMTLANDS LÄN</t>
        </is>
      </c>
      <c r="E1094" t="inlineStr">
        <is>
          <t>BRÄCKE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14868-2021</t>
        </is>
      </c>
      <c r="B1095" s="1" t="n">
        <v>44280</v>
      </c>
      <c r="C1095" s="1" t="n">
        <v>45891</v>
      </c>
      <c r="D1095" t="inlineStr">
        <is>
          <t>JÄMTLANDS LÄN</t>
        </is>
      </c>
      <c r="E1095" t="inlineStr">
        <is>
          <t>BRÄCKE</t>
        </is>
      </c>
      <c r="F1095" t="inlineStr">
        <is>
          <t>SCA</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26736-2025</t>
        </is>
      </c>
      <c r="B1096" s="1" t="n">
        <v>45810.51644675926</v>
      </c>
      <c r="C1096" s="1" t="n">
        <v>45891</v>
      </c>
      <c r="D1096" t="inlineStr">
        <is>
          <t>JÄMTLANDS LÄN</t>
        </is>
      </c>
      <c r="E1096" t="inlineStr">
        <is>
          <t>BRÄCKE</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52127-2023</t>
        </is>
      </c>
      <c r="B1097" s="1" t="n">
        <v>45223.96543981481</v>
      </c>
      <c r="C1097" s="1" t="n">
        <v>45891</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54789-2023</t>
        </is>
      </c>
      <c r="B1098" s="1" t="n">
        <v>45236.48659722223</v>
      </c>
      <c r="C1098" s="1" t="n">
        <v>45891</v>
      </c>
      <c r="D1098" t="inlineStr">
        <is>
          <t>JÄMTLANDS LÄN</t>
        </is>
      </c>
      <c r="E1098" t="inlineStr">
        <is>
          <t>BRÄCKE</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18981-2022</t>
        </is>
      </c>
      <c r="B1099" s="1" t="n">
        <v>44690</v>
      </c>
      <c r="C1099" s="1" t="n">
        <v>45891</v>
      </c>
      <c r="D1099" t="inlineStr">
        <is>
          <t>JÄMTLANDS LÄN</t>
        </is>
      </c>
      <c r="E1099" t="inlineStr">
        <is>
          <t>BRÄCKE</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24531-2022</t>
        </is>
      </c>
      <c r="B1100" s="1" t="n">
        <v>44726</v>
      </c>
      <c r="C1100" s="1" t="n">
        <v>45891</v>
      </c>
      <c r="D1100" t="inlineStr">
        <is>
          <t>JÄMTLANDS LÄN</t>
        </is>
      </c>
      <c r="E1100" t="inlineStr">
        <is>
          <t>BRÄCKE</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45974-2024</t>
        </is>
      </c>
      <c r="B1101" s="1" t="n">
        <v>45580.59408564815</v>
      </c>
      <c r="C1101" s="1" t="n">
        <v>45891</v>
      </c>
      <c r="D1101" t="inlineStr">
        <is>
          <t>JÄMTLANDS LÄN</t>
        </is>
      </c>
      <c r="E1101" t="inlineStr">
        <is>
          <t>BRÄCKE</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4122-2025</t>
        </is>
      </c>
      <c r="B1102" s="1" t="n">
        <v>45685.26828703703</v>
      </c>
      <c r="C1102" s="1" t="n">
        <v>45891</v>
      </c>
      <c r="D1102" t="inlineStr">
        <is>
          <t>JÄMTLANDS LÄN</t>
        </is>
      </c>
      <c r="E1102" t="inlineStr">
        <is>
          <t>BRÄCKE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13300-2025</t>
        </is>
      </c>
      <c r="B1103" s="1" t="n">
        <v>45735.5742824074</v>
      </c>
      <c r="C1103" s="1" t="n">
        <v>45891</v>
      </c>
      <c r="D1103" t="inlineStr">
        <is>
          <t>JÄMTLANDS LÄN</t>
        </is>
      </c>
      <c r="E1103" t="inlineStr">
        <is>
          <t>BRÄCKE</t>
        </is>
      </c>
      <c r="F1103" t="inlineStr">
        <is>
          <t>SCA</t>
        </is>
      </c>
      <c r="G1103" t="n">
        <v>3.2</v>
      </c>
      <c r="H1103" t="n">
        <v>0</v>
      </c>
      <c r="I1103" t="n">
        <v>0</v>
      </c>
      <c r="J1103" t="n">
        <v>0</v>
      </c>
      <c r="K1103" t="n">
        <v>0</v>
      </c>
      <c r="L1103" t="n">
        <v>0</v>
      </c>
      <c r="M1103" t="n">
        <v>0</v>
      </c>
      <c r="N1103" t="n">
        <v>0</v>
      </c>
      <c r="O1103" t="n">
        <v>0</v>
      </c>
      <c r="P1103" t="n">
        <v>0</v>
      </c>
      <c r="Q1103" t="n">
        <v>0</v>
      </c>
      <c r="R1103" s="2" t="inlineStr"/>
      <c r="U1103">
        <f>HYPERLINK("https://klasma.github.io/Logging_2305/knärot/A 13300-2025 karta knärot.png", "A 13300-2025")</f>
        <v/>
      </c>
      <c r="V1103">
        <f>HYPERLINK("https://klasma.github.io/Logging_2305/klagomål/A 13300-2025 FSC-klagomål.docx", "A 13300-2025")</f>
        <v/>
      </c>
      <c r="W1103">
        <f>HYPERLINK("https://klasma.github.io/Logging_2305/klagomålsmail/A 13300-2025 FSC-klagomål mail.docx", "A 13300-2025")</f>
        <v/>
      </c>
      <c r="X1103">
        <f>HYPERLINK("https://klasma.github.io/Logging_2305/tillsyn/A 13300-2025 tillsynsbegäran.docx", "A 13300-2025")</f>
        <v/>
      </c>
      <c r="Y1103">
        <f>HYPERLINK("https://klasma.github.io/Logging_2305/tillsynsmail/A 13300-2025 tillsynsbegäran mail.docx", "A 13300-2025")</f>
        <v/>
      </c>
    </row>
    <row r="1104" ht="15" customHeight="1">
      <c r="A1104" t="inlineStr">
        <is>
          <t>A 7943-2025</t>
        </is>
      </c>
      <c r="B1104" s="1" t="n">
        <v>45707.40697916667</v>
      </c>
      <c r="C1104" s="1" t="n">
        <v>45891</v>
      </c>
      <c r="D1104" t="inlineStr">
        <is>
          <t>JÄMTLANDS LÄN</t>
        </is>
      </c>
      <c r="E1104" t="inlineStr">
        <is>
          <t>BRÄCKE</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24718-2022</t>
        </is>
      </c>
      <c r="B1105" s="1" t="n">
        <v>44727.94221064815</v>
      </c>
      <c r="C1105" s="1" t="n">
        <v>45891</v>
      </c>
      <c r="D1105" t="inlineStr">
        <is>
          <t>JÄMTLANDS LÄN</t>
        </is>
      </c>
      <c r="E1105" t="inlineStr">
        <is>
          <t>BRÄCKE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12732-2025</t>
        </is>
      </c>
      <c r="B1106" s="1" t="n">
        <v>45733.51090277778</v>
      </c>
      <c r="C1106" s="1" t="n">
        <v>45891</v>
      </c>
      <c r="D1106" t="inlineStr">
        <is>
          <t>JÄMTLANDS LÄN</t>
        </is>
      </c>
      <c r="E1106" t="inlineStr">
        <is>
          <t>BRÄCKE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58503-2022</t>
        </is>
      </c>
      <c r="B1107" s="1" t="n">
        <v>44902.38313657408</v>
      </c>
      <c r="C1107" s="1" t="n">
        <v>45891</v>
      </c>
      <c r="D1107" t="inlineStr">
        <is>
          <t>JÄMTLANDS LÄN</t>
        </is>
      </c>
      <c r="E1107" t="inlineStr">
        <is>
          <t>BRÄCKE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14607-2025</t>
        </is>
      </c>
      <c r="B1108" s="1" t="n">
        <v>45742.37540509259</v>
      </c>
      <c r="C1108" s="1" t="n">
        <v>45891</v>
      </c>
      <c r="D1108" t="inlineStr">
        <is>
          <t>JÄMTLANDS LÄN</t>
        </is>
      </c>
      <c r="E1108" t="inlineStr">
        <is>
          <t>BRÄCKE</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34912-2025</t>
        </is>
      </c>
      <c r="B1109" s="1" t="n">
        <v>45849.5378587963</v>
      </c>
      <c r="C1109" s="1" t="n">
        <v>45891</v>
      </c>
      <c r="D1109" t="inlineStr">
        <is>
          <t>JÄMTLANDS LÄN</t>
        </is>
      </c>
      <c r="E1109" t="inlineStr">
        <is>
          <t>BRÄCKE</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52760-2023</t>
        </is>
      </c>
      <c r="B1110" s="1" t="n">
        <v>45225</v>
      </c>
      <c r="C1110" s="1" t="n">
        <v>45891</v>
      </c>
      <c r="D1110" t="inlineStr">
        <is>
          <t>JÄMTLANDS LÄN</t>
        </is>
      </c>
      <c r="E1110" t="inlineStr">
        <is>
          <t>BRÄCKE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18982-2022</t>
        </is>
      </c>
      <c r="B1111" s="1" t="n">
        <v>44690.92626157407</v>
      </c>
      <c r="C1111" s="1" t="n">
        <v>45891</v>
      </c>
      <c r="D1111" t="inlineStr">
        <is>
          <t>JÄMTLANDS LÄN</t>
        </is>
      </c>
      <c r="E1111" t="inlineStr">
        <is>
          <t>BRÄCKE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26818-2025</t>
        </is>
      </c>
      <c r="B1112" s="1" t="n">
        <v>45810.63622685185</v>
      </c>
      <c r="C1112" s="1" t="n">
        <v>45891</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50223-2023</t>
        </is>
      </c>
      <c r="B1113" s="1" t="n">
        <v>45215.94747685185</v>
      </c>
      <c r="C1113" s="1" t="n">
        <v>45891</v>
      </c>
      <c r="D1113" t="inlineStr">
        <is>
          <t>JÄMTLANDS LÄN</t>
        </is>
      </c>
      <c r="E1113" t="inlineStr">
        <is>
          <t>BRÄCKE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52227-2024</t>
        </is>
      </c>
      <c r="B1114" s="1" t="n">
        <v>45608.60768518518</v>
      </c>
      <c r="C1114" s="1" t="n">
        <v>45891</v>
      </c>
      <c r="D1114" t="inlineStr">
        <is>
          <t>JÄMTLANDS LÄN</t>
        </is>
      </c>
      <c r="E1114" t="inlineStr">
        <is>
          <t>BRÄCKE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34828-2025</t>
        </is>
      </c>
      <c r="B1115" s="1" t="n">
        <v>45849.38579861111</v>
      </c>
      <c r="C1115" s="1" t="n">
        <v>45891</v>
      </c>
      <c r="D1115" t="inlineStr">
        <is>
          <t>JÄMTLANDS LÄN</t>
        </is>
      </c>
      <c r="E1115" t="inlineStr">
        <is>
          <t>BRÄCKE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29751-2023</t>
        </is>
      </c>
      <c r="B1116" s="1" t="n">
        <v>45107</v>
      </c>
      <c r="C1116" s="1" t="n">
        <v>45891</v>
      </c>
      <c r="D1116" t="inlineStr">
        <is>
          <t>JÄMTLANDS LÄN</t>
        </is>
      </c>
      <c r="E1116" t="inlineStr">
        <is>
          <t>BRÄCKE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42480-2024</t>
        </is>
      </c>
      <c r="B1117" s="1" t="n">
        <v>45565.49185185185</v>
      </c>
      <c r="C1117" s="1" t="n">
        <v>45891</v>
      </c>
      <c r="D1117" t="inlineStr">
        <is>
          <t>JÄMTLANDS LÄN</t>
        </is>
      </c>
      <c r="E1117" t="inlineStr">
        <is>
          <t>BRÄCKE</t>
        </is>
      </c>
      <c r="F1117" t="inlineStr">
        <is>
          <t>Kyrkan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53260-2024</t>
        </is>
      </c>
      <c r="B1118" s="1" t="n">
        <v>45614</v>
      </c>
      <c r="C1118" s="1" t="n">
        <v>45891</v>
      </c>
      <c r="D1118" t="inlineStr">
        <is>
          <t>JÄMTLANDS LÄN</t>
        </is>
      </c>
      <c r="E1118" t="inlineStr">
        <is>
          <t>BRÄCKE</t>
        </is>
      </c>
      <c r="F1118" t="inlineStr">
        <is>
          <t>SCA</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56429-2024</t>
        </is>
      </c>
      <c r="B1119" s="1" t="n">
        <v>45625.40149305556</v>
      </c>
      <c r="C1119" s="1" t="n">
        <v>45891</v>
      </c>
      <c r="D1119" t="inlineStr">
        <is>
          <t>JÄMTLANDS LÄN</t>
        </is>
      </c>
      <c r="E1119" t="inlineStr">
        <is>
          <t>BRÄCKE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56432-2024</t>
        </is>
      </c>
      <c r="B1120" s="1" t="n">
        <v>45625.40679398148</v>
      </c>
      <c r="C1120" s="1" t="n">
        <v>45891</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1881-2024</t>
        </is>
      </c>
      <c r="B1121" s="1" t="n">
        <v>45307.96266203704</v>
      </c>
      <c r="C1121" s="1" t="n">
        <v>45891</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44321-2023</t>
        </is>
      </c>
      <c r="B1122" s="1" t="n">
        <v>45188.65484953704</v>
      </c>
      <c r="C1122" s="1" t="n">
        <v>45891</v>
      </c>
      <c r="D1122" t="inlineStr">
        <is>
          <t>JÄMTLANDS LÄN</t>
        </is>
      </c>
      <c r="E1122" t="inlineStr">
        <is>
          <t>BRÄCKE</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44328-2023</t>
        </is>
      </c>
      <c r="B1123" s="1" t="n">
        <v>45188.659375</v>
      </c>
      <c r="C1123" s="1" t="n">
        <v>45891</v>
      </c>
      <c r="D1123" t="inlineStr">
        <is>
          <t>JÄMTLANDS LÄN</t>
        </is>
      </c>
      <c r="E1123" t="inlineStr">
        <is>
          <t>BRÄCKE</t>
        </is>
      </c>
      <c r="F1123" t="inlineStr">
        <is>
          <t>Sveaskog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48816-2022</t>
        </is>
      </c>
      <c r="B1124" s="1" t="n">
        <v>44859</v>
      </c>
      <c r="C1124" s="1" t="n">
        <v>45891</v>
      </c>
      <c r="D1124" t="inlineStr">
        <is>
          <t>JÄMTLANDS LÄN</t>
        </is>
      </c>
      <c r="E1124" t="inlineStr">
        <is>
          <t>BRÄCKE</t>
        </is>
      </c>
      <c r="G1124" t="n">
        <v>13.3</v>
      </c>
      <c r="H1124" t="n">
        <v>0</v>
      </c>
      <c r="I1124" t="n">
        <v>0</v>
      </c>
      <c r="J1124" t="n">
        <v>0</v>
      </c>
      <c r="K1124" t="n">
        <v>0</v>
      </c>
      <c r="L1124" t="n">
        <v>0</v>
      </c>
      <c r="M1124" t="n">
        <v>0</v>
      </c>
      <c r="N1124" t="n">
        <v>0</v>
      </c>
      <c r="O1124" t="n">
        <v>0</v>
      </c>
      <c r="P1124" t="n">
        <v>0</v>
      </c>
      <c r="Q1124" t="n">
        <v>0</v>
      </c>
      <c r="R1124" s="2" t="inlineStr"/>
    </row>
    <row r="1125" ht="15" customHeight="1">
      <c r="A1125" t="inlineStr">
        <is>
          <t>A 53047-2023</t>
        </is>
      </c>
      <c r="B1125" s="1" t="n">
        <v>45226.96398148148</v>
      </c>
      <c r="C1125" s="1" t="n">
        <v>45891</v>
      </c>
      <c r="D1125" t="inlineStr">
        <is>
          <t>JÄMTLANDS LÄN</t>
        </is>
      </c>
      <c r="E1125" t="inlineStr">
        <is>
          <t>BRÄCKE</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34983-2025</t>
        </is>
      </c>
      <c r="B1126" s="1" t="n">
        <v>45849.71234953704</v>
      </c>
      <c r="C1126" s="1" t="n">
        <v>45891</v>
      </c>
      <c r="D1126" t="inlineStr">
        <is>
          <t>JÄMTLANDS LÄN</t>
        </is>
      </c>
      <c r="E1126" t="inlineStr">
        <is>
          <t>BRÄCKE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10486-2025</t>
        </is>
      </c>
      <c r="B1127" s="1" t="n">
        <v>45721.34410879629</v>
      </c>
      <c r="C1127" s="1" t="n">
        <v>45891</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61143-2020</t>
        </is>
      </c>
      <c r="B1128" s="1" t="n">
        <v>44154</v>
      </c>
      <c r="C1128" s="1" t="n">
        <v>45891</v>
      </c>
      <c r="D1128" t="inlineStr">
        <is>
          <t>JÄMTLANDS LÄN</t>
        </is>
      </c>
      <c r="E1128" t="inlineStr">
        <is>
          <t>BRÄCKE</t>
        </is>
      </c>
      <c r="G1128" t="n">
        <v>12.6</v>
      </c>
      <c r="H1128" t="n">
        <v>0</v>
      </c>
      <c r="I1128" t="n">
        <v>0</v>
      </c>
      <c r="J1128" t="n">
        <v>0</v>
      </c>
      <c r="K1128" t="n">
        <v>0</v>
      </c>
      <c r="L1128" t="n">
        <v>0</v>
      </c>
      <c r="M1128" t="n">
        <v>0</v>
      </c>
      <c r="N1128" t="n">
        <v>0</v>
      </c>
      <c r="O1128" t="n">
        <v>0</v>
      </c>
      <c r="P1128" t="n">
        <v>0</v>
      </c>
      <c r="Q1128" t="n">
        <v>0</v>
      </c>
      <c r="R1128" s="2" t="inlineStr"/>
    </row>
    <row r="1129" ht="15" customHeight="1">
      <c r="A1129" t="inlineStr">
        <is>
          <t>A 59245-2024</t>
        </is>
      </c>
      <c r="B1129" s="1" t="n">
        <v>45637.59230324074</v>
      </c>
      <c r="C1129" s="1" t="n">
        <v>45891</v>
      </c>
      <c r="D1129" t="inlineStr">
        <is>
          <t>JÄMTLANDS LÄN</t>
        </is>
      </c>
      <c r="E1129" t="inlineStr">
        <is>
          <t>BRÄCKE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15261-2025</t>
        </is>
      </c>
      <c r="B1130" s="1" t="n">
        <v>45744.65678240741</v>
      </c>
      <c r="C1130" s="1" t="n">
        <v>45891</v>
      </c>
      <c r="D1130" t="inlineStr">
        <is>
          <t>JÄMTLANDS LÄN</t>
        </is>
      </c>
      <c r="E1130" t="inlineStr">
        <is>
          <t>BRÄCKE</t>
        </is>
      </c>
      <c r="F1130" t="inlineStr">
        <is>
          <t>SCA</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35060-2025</t>
        </is>
      </c>
      <c r="B1131" s="1" t="n">
        <v>45852.42747685185</v>
      </c>
      <c r="C1131" s="1" t="n">
        <v>45891</v>
      </c>
      <c r="D1131" t="inlineStr">
        <is>
          <t>JÄMTLANDS LÄN</t>
        </is>
      </c>
      <c r="E1131" t="inlineStr">
        <is>
          <t>BRÄCKE</t>
        </is>
      </c>
      <c r="F1131" t="inlineStr">
        <is>
          <t>SCA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54328-2023</t>
        </is>
      </c>
      <c r="B1132" s="1" t="n">
        <v>45232.95774305556</v>
      </c>
      <c r="C1132" s="1" t="n">
        <v>45891</v>
      </c>
      <c r="D1132" t="inlineStr">
        <is>
          <t>JÄMTLANDS LÄN</t>
        </is>
      </c>
      <c r="E1132" t="inlineStr">
        <is>
          <t>BRÄCKE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35331-2025</t>
        </is>
      </c>
      <c r="B1133" s="1" t="n">
        <v>45854.57344907407</v>
      </c>
      <c r="C1133" s="1" t="n">
        <v>45891</v>
      </c>
      <c r="D1133" t="inlineStr">
        <is>
          <t>JÄMTLANDS LÄN</t>
        </is>
      </c>
      <c r="E1133" t="inlineStr">
        <is>
          <t>BRÄCKE</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27278-2025</t>
        </is>
      </c>
      <c r="B1134" s="1" t="n">
        <v>45812.53168981482</v>
      </c>
      <c r="C1134" s="1" t="n">
        <v>45891</v>
      </c>
      <c r="D1134" t="inlineStr">
        <is>
          <t>JÄMTLANDS LÄN</t>
        </is>
      </c>
      <c r="E1134" t="inlineStr">
        <is>
          <t>BRÄCKE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59369-2022</t>
        </is>
      </c>
      <c r="B1135" s="1" t="n">
        <v>44904.94859953703</v>
      </c>
      <c r="C1135" s="1" t="n">
        <v>45891</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20624-2023</t>
        </is>
      </c>
      <c r="B1136" s="1" t="n">
        <v>45057.94346064814</v>
      </c>
      <c r="C1136" s="1" t="n">
        <v>45891</v>
      </c>
      <c r="D1136" t="inlineStr">
        <is>
          <t>JÄMTLANDS LÄN</t>
        </is>
      </c>
      <c r="E1136" t="inlineStr">
        <is>
          <t>BRÄCKE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24214-2023</t>
        </is>
      </c>
      <c r="B1137" s="1" t="n">
        <v>45079.5752199074</v>
      </c>
      <c r="C1137" s="1" t="n">
        <v>45891</v>
      </c>
      <c r="D1137" t="inlineStr">
        <is>
          <t>JÄMTLANDS LÄN</t>
        </is>
      </c>
      <c r="E1137" t="inlineStr">
        <is>
          <t>BRÄCKE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35216-2025</t>
        </is>
      </c>
      <c r="B1138" s="1" t="n">
        <v>45853.49005787037</v>
      </c>
      <c r="C1138" s="1" t="n">
        <v>45891</v>
      </c>
      <c r="D1138" t="inlineStr">
        <is>
          <t>JÄMTLANDS LÄN</t>
        </is>
      </c>
      <c r="E1138" t="inlineStr">
        <is>
          <t>BRÄCKE</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35229-2025</t>
        </is>
      </c>
      <c r="B1139" s="1" t="n">
        <v>45853.59420138889</v>
      </c>
      <c r="C1139" s="1" t="n">
        <v>45891</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35325-2025</t>
        </is>
      </c>
      <c r="B1140" s="1" t="n">
        <v>45854.52606481482</v>
      </c>
      <c r="C1140" s="1" t="n">
        <v>45891</v>
      </c>
      <c r="D1140" t="inlineStr">
        <is>
          <t>JÄMTLANDS LÄN</t>
        </is>
      </c>
      <c r="E1140" t="inlineStr">
        <is>
          <t>BRÄCKE</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24026-2024</t>
        </is>
      </c>
      <c r="B1141" s="1" t="n">
        <v>45456.45159722222</v>
      </c>
      <c r="C1141" s="1" t="n">
        <v>45891</v>
      </c>
      <c r="D1141" t="inlineStr">
        <is>
          <t>JÄMTLANDS LÄN</t>
        </is>
      </c>
      <c r="E1141" t="inlineStr">
        <is>
          <t>BRÄCKE</t>
        </is>
      </c>
      <c r="F1141" t="inlineStr">
        <is>
          <t>Övriga Aktiebolag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24489-2025</t>
        </is>
      </c>
      <c r="B1142" s="1" t="n">
        <v>45798.3859375</v>
      </c>
      <c r="C1142" s="1" t="n">
        <v>45891</v>
      </c>
      <c r="D1142" t="inlineStr">
        <is>
          <t>JÄMTLANDS LÄN</t>
        </is>
      </c>
      <c r="E1142" t="inlineStr">
        <is>
          <t>BRÄCKE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35327-2025</t>
        </is>
      </c>
      <c r="B1143" s="1" t="n">
        <v>45854.5283449074</v>
      </c>
      <c r="C1143" s="1" t="n">
        <v>45891</v>
      </c>
      <c r="D1143" t="inlineStr">
        <is>
          <t>JÄMTLANDS LÄN</t>
        </is>
      </c>
      <c r="E1143" t="inlineStr">
        <is>
          <t>BRÄCKE</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27041-2025</t>
        </is>
      </c>
      <c r="B1144" s="1" t="n">
        <v>45811.60465277778</v>
      </c>
      <c r="C1144" s="1" t="n">
        <v>45891</v>
      </c>
      <c r="D1144" t="inlineStr">
        <is>
          <t>JÄMTLANDS LÄN</t>
        </is>
      </c>
      <c r="E1144" t="inlineStr">
        <is>
          <t>BRÄCKE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35324-2025</t>
        </is>
      </c>
      <c r="B1145" s="1" t="n">
        <v>45854.51079861111</v>
      </c>
      <c r="C1145" s="1" t="n">
        <v>45891</v>
      </c>
      <c r="D1145" t="inlineStr">
        <is>
          <t>JÄMTLANDS LÄN</t>
        </is>
      </c>
      <c r="E1145" t="inlineStr">
        <is>
          <t>BRÄCKE</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35326-2025</t>
        </is>
      </c>
      <c r="B1146" s="1" t="n">
        <v>45854.52724537037</v>
      </c>
      <c r="C1146" s="1" t="n">
        <v>45891</v>
      </c>
      <c r="D1146" t="inlineStr">
        <is>
          <t>JÄMTLANDS LÄN</t>
        </is>
      </c>
      <c r="E1146" t="inlineStr">
        <is>
          <t>BRÄCKE</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23687-2022</t>
        </is>
      </c>
      <c r="B1147" s="1" t="n">
        <v>44721</v>
      </c>
      <c r="C1147" s="1" t="n">
        <v>45891</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19386-2025</t>
        </is>
      </c>
      <c r="B1148" s="1" t="n">
        <v>45769.65719907408</v>
      </c>
      <c r="C1148" s="1" t="n">
        <v>45891</v>
      </c>
      <c r="D1148" t="inlineStr">
        <is>
          <t>JÄMTLANDS LÄN</t>
        </is>
      </c>
      <c r="E1148" t="inlineStr">
        <is>
          <t>BRÄCKE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27197-2025</t>
        </is>
      </c>
      <c r="B1149" s="1" t="n">
        <v>45812.38596064815</v>
      </c>
      <c r="C1149" s="1" t="n">
        <v>45891</v>
      </c>
      <c r="D1149" t="inlineStr">
        <is>
          <t>JÄMTLANDS LÄN</t>
        </is>
      </c>
      <c r="E1149" t="inlineStr">
        <is>
          <t>BRÄCKE</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54524-2022</t>
        </is>
      </c>
      <c r="B1150" s="1" t="n">
        <v>44882.74364583333</v>
      </c>
      <c r="C1150" s="1" t="n">
        <v>45891</v>
      </c>
      <c r="D1150" t="inlineStr">
        <is>
          <t>JÄMTLANDS LÄN</t>
        </is>
      </c>
      <c r="E1150" t="inlineStr">
        <is>
          <t>BRÄCKE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54035-2021</t>
        </is>
      </c>
      <c r="B1151" s="1" t="n">
        <v>44470</v>
      </c>
      <c r="C1151" s="1" t="n">
        <v>45891</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54600-2023</t>
        </is>
      </c>
      <c r="B1152" s="1" t="n">
        <v>45233.95663194444</v>
      </c>
      <c r="C1152" s="1" t="n">
        <v>45891</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47500-2023</t>
        </is>
      </c>
      <c r="B1153" s="1" t="n">
        <v>45202.9425</v>
      </c>
      <c r="C1153" s="1" t="n">
        <v>45891</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7301-2025</t>
        </is>
      </c>
      <c r="B1154" s="1" t="n">
        <v>45702.65668981482</v>
      </c>
      <c r="C1154" s="1" t="n">
        <v>45891</v>
      </c>
      <c r="D1154" t="inlineStr">
        <is>
          <t>JÄMTLANDS LÄN</t>
        </is>
      </c>
      <c r="E1154" t="inlineStr">
        <is>
          <t>BRÄCKE</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35501-2022</t>
        </is>
      </c>
      <c r="B1155" s="1" t="n">
        <v>44798.94827546296</v>
      </c>
      <c r="C1155" s="1" t="n">
        <v>45891</v>
      </c>
      <c r="D1155" t="inlineStr">
        <is>
          <t>JÄMTLANDS LÄN</t>
        </is>
      </c>
      <c r="E1155" t="inlineStr">
        <is>
          <t>BRÄCKE</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48419-2023</t>
        </is>
      </c>
      <c r="B1156" s="1" t="n">
        <v>45205</v>
      </c>
      <c r="C1156" s="1" t="n">
        <v>45891</v>
      </c>
      <c r="D1156" t="inlineStr">
        <is>
          <t>JÄMTLANDS LÄN</t>
        </is>
      </c>
      <c r="E1156" t="inlineStr">
        <is>
          <t>BRÄCKE</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58498-2022</t>
        </is>
      </c>
      <c r="B1157" s="1" t="n">
        <v>44902.37547453704</v>
      </c>
      <c r="C1157" s="1" t="n">
        <v>45891</v>
      </c>
      <c r="D1157" t="inlineStr">
        <is>
          <t>JÄMTLANDS LÄN</t>
        </is>
      </c>
      <c r="E1157" t="inlineStr">
        <is>
          <t>BRÄCKE</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18047-2025</t>
        </is>
      </c>
      <c r="B1158" s="1" t="n">
        <v>45761.46606481481</v>
      </c>
      <c r="C1158" s="1" t="n">
        <v>45891</v>
      </c>
      <c r="D1158" t="inlineStr">
        <is>
          <t>JÄMTLANDS LÄN</t>
        </is>
      </c>
      <c r="E1158" t="inlineStr">
        <is>
          <t>BRÄCKE</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23444-2022</t>
        </is>
      </c>
      <c r="B1159" s="1" t="n">
        <v>44720.94118055556</v>
      </c>
      <c r="C1159" s="1" t="n">
        <v>45891</v>
      </c>
      <c r="D1159" t="inlineStr">
        <is>
          <t>JÄMTLANDS LÄN</t>
        </is>
      </c>
      <c r="E1159" t="inlineStr">
        <is>
          <t>BRÄCKE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57088-2024</t>
        </is>
      </c>
      <c r="B1160" s="1" t="n">
        <v>45629.35652777777</v>
      </c>
      <c r="C1160" s="1" t="n">
        <v>45891</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17568-2023</t>
        </is>
      </c>
      <c r="B1161" s="1" t="n">
        <v>45036</v>
      </c>
      <c r="C1161" s="1" t="n">
        <v>45891</v>
      </c>
      <c r="D1161" t="inlineStr">
        <is>
          <t>JÄMTLANDS LÄN</t>
        </is>
      </c>
      <c r="E1161" t="inlineStr">
        <is>
          <t>BRÄCKE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47486-2023</t>
        </is>
      </c>
      <c r="B1162" s="1" t="n">
        <v>45202.94155092593</v>
      </c>
      <c r="C1162" s="1" t="n">
        <v>45891</v>
      </c>
      <c r="D1162" t="inlineStr">
        <is>
          <t>JÄMTLANDS LÄN</t>
        </is>
      </c>
      <c r="E1162" t="inlineStr">
        <is>
          <t>BRÄCKE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47487-2023</t>
        </is>
      </c>
      <c r="B1163" s="1" t="n">
        <v>45202.94162037037</v>
      </c>
      <c r="C1163" s="1" t="n">
        <v>45891</v>
      </c>
      <c r="D1163" t="inlineStr">
        <is>
          <t>JÄMTLANDS LÄN</t>
        </is>
      </c>
      <c r="E1163" t="inlineStr">
        <is>
          <t>BRÄCKE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54986-2023</t>
        </is>
      </c>
      <c r="B1164" s="1" t="n">
        <v>45236.96729166667</v>
      </c>
      <c r="C1164" s="1" t="n">
        <v>45891</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48284-2021</t>
        </is>
      </c>
      <c r="B1165" s="1" t="n">
        <v>44449.75931712963</v>
      </c>
      <c r="C1165" s="1" t="n">
        <v>45891</v>
      </c>
      <c r="D1165" t="inlineStr">
        <is>
          <t>JÄMTLANDS LÄN</t>
        </is>
      </c>
      <c r="E1165" t="inlineStr">
        <is>
          <t>BRÄCKE</t>
        </is>
      </c>
      <c r="G1165" t="n">
        <v>12.9</v>
      </c>
      <c r="H1165" t="n">
        <v>0</v>
      </c>
      <c r="I1165" t="n">
        <v>0</v>
      </c>
      <c r="J1165" t="n">
        <v>0</v>
      </c>
      <c r="K1165" t="n">
        <v>0</v>
      </c>
      <c r="L1165" t="n">
        <v>0</v>
      </c>
      <c r="M1165" t="n">
        <v>0</v>
      </c>
      <c r="N1165" t="n">
        <v>0</v>
      </c>
      <c r="O1165" t="n">
        <v>0</v>
      </c>
      <c r="P1165" t="n">
        <v>0</v>
      </c>
      <c r="Q1165" t="n">
        <v>0</v>
      </c>
      <c r="R1165" s="2" t="inlineStr"/>
    </row>
    <row r="1166" ht="15" customHeight="1">
      <c r="A1166" t="inlineStr">
        <is>
          <t>A 1127-2025</t>
        </is>
      </c>
      <c r="B1166" s="1" t="n">
        <v>45666.67756944444</v>
      </c>
      <c r="C1166" s="1" t="n">
        <v>45891</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17420-2024</t>
        </is>
      </c>
      <c r="B1167" s="1" t="n">
        <v>45414.96395833333</v>
      </c>
      <c r="C1167" s="1" t="n">
        <v>45891</v>
      </c>
      <c r="D1167" t="inlineStr">
        <is>
          <t>JÄMTLANDS LÄN</t>
        </is>
      </c>
      <c r="E1167" t="inlineStr">
        <is>
          <t>BRÄCKE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55667-2023</t>
        </is>
      </c>
      <c r="B1168" s="1" t="n">
        <v>45238.96780092592</v>
      </c>
      <c r="C1168" s="1" t="n">
        <v>45891</v>
      </c>
      <c r="D1168" t="inlineStr">
        <is>
          <t>JÄMTLANDS LÄN</t>
        </is>
      </c>
      <c r="E1168" t="inlineStr">
        <is>
          <t>BRÄCKE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55668-2023</t>
        </is>
      </c>
      <c r="B1169" s="1" t="n">
        <v>45238</v>
      </c>
      <c r="C1169" s="1" t="n">
        <v>45891</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64302-2023</t>
        </is>
      </c>
      <c r="B1170" s="1" t="n">
        <v>45280</v>
      </c>
      <c r="C1170" s="1" t="n">
        <v>45891</v>
      </c>
      <c r="D1170" t="inlineStr">
        <is>
          <t>JÄMTLANDS LÄN</t>
        </is>
      </c>
      <c r="E1170" t="inlineStr">
        <is>
          <t>BRÄCKE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59586-2023</t>
        </is>
      </c>
      <c r="B1171" s="1" t="n">
        <v>45254.61172453704</v>
      </c>
      <c r="C1171" s="1" t="n">
        <v>45891</v>
      </c>
      <c r="D1171" t="inlineStr">
        <is>
          <t>JÄMTLANDS LÄN</t>
        </is>
      </c>
      <c r="E1171" t="inlineStr">
        <is>
          <t>BRÄCKE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56047-2024</t>
        </is>
      </c>
      <c r="B1172" s="1" t="n">
        <v>45624.34450231482</v>
      </c>
      <c r="C1172" s="1" t="n">
        <v>45891</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27453-2025</t>
        </is>
      </c>
      <c r="B1173" s="1" t="n">
        <v>45813.34454861111</v>
      </c>
      <c r="C1173" s="1" t="n">
        <v>45891</v>
      </c>
      <c r="D1173" t="inlineStr">
        <is>
          <t>JÄMTLANDS LÄN</t>
        </is>
      </c>
      <c r="E1173" t="inlineStr">
        <is>
          <t>BRÄCKE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52229-2024</t>
        </is>
      </c>
      <c r="B1174" s="1" t="n">
        <v>45608.60803240741</v>
      </c>
      <c r="C1174" s="1" t="n">
        <v>45891</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35445-2025</t>
        </is>
      </c>
      <c r="B1175" s="1" t="n">
        <v>45855.53196759259</v>
      </c>
      <c r="C1175" s="1" t="n">
        <v>45891</v>
      </c>
      <c r="D1175" t="inlineStr">
        <is>
          <t>JÄMTLANDS LÄN</t>
        </is>
      </c>
      <c r="E1175" t="inlineStr">
        <is>
          <t>BRÄCKE</t>
        </is>
      </c>
      <c r="F1175" t="inlineStr">
        <is>
          <t>SCA</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27516-2025</t>
        </is>
      </c>
      <c r="B1176" s="1" t="n">
        <v>45813.43526620371</v>
      </c>
      <c r="C1176" s="1" t="n">
        <v>45891</v>
      </c>
      <c r="D1176" t="inlineStr">
        <is>
          <t>JÄMTLANDS LÄN</t>
        </is>
      </c>
      <c r="E1176" t="inlineStr">
        <is>
          <t>BRÄCKE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27542-2025</t>
        </is>
      </c>
      <c r="B1177" s="1" t="n">
        <v>45813.46913194445</v>
      </c>
      <c r="C1177" s="1" t="n">
        <v>45891</v>
      </c>
      <c r="D1177" t="inlineStr">
        <is>
          <t>JÄMTLANDS LÄN</t>
        </is>
      </c>
      <c r="E1177" t="inlineStr">
        <is>
          <t>BRÄCKE</t>
        </is>
      </c>
      <c r="F1177" t="inlineStr">
        <is>
          <t>SCA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27511-2025</t>
        </is>
      </c>
      <c r="B1178" s="1" t="n">
        <v>45813.42799768518</v>
      </c>
      <c r="C1178" s="1" t="n">
        <v>45891</v>
      </c>
      <c r="D1178" t="inlineStr">
        <is>
          <t>JÄMTLANDS LÄN</t>
        </is>
      </c>
      <c r="E1178" t="inlineStr">
        <is>
          <t>BRÄCKE</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39509-2023</t>
        </is>
      </c>
      <c r="B1179" s="1" t="n">
        <v>45166.95824074074</v>
      </c>
      <c r="C1179" s="1" t="n">
        <v>45891</v>
      </c>
      <c r="D1179" t="inlineStr">
        <is>
          <t>JÄMTLANDS LÄN</t>
        </is>
      </c>
      <c r="E1179" t="inlineStr">
        <is>
          <t>BRÄCKE</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18983-2025</t>
        </is>
      </c>
      <c r="B1180" s="1" t="n">
        <v>45764.55618055556</v>
      </c>
      <c r="C1180" s="1" t="n">
        <v>45891</v>
      </c>
      <c r="D1180" t="inlineStr">
        <is>
          <t>JÄMTLANDS LÄN</t>
        </is>
      </c>
      <c r="E1180" t="inlineStr">
        <is>
          <t>BRÄCKE</t>
        </is>
      </c>
      <c r="G1180" t="n">
        <v>23.8</v>
      </c>
      <c r="H1180" t="n">
        <v>0</v>
      </c>
      <c r="I1180" t="n">
        <v>0</v>
      </c>
      <c r="J1180" t="n">
        <v>0</v>
      </c>
      <c r="K1180" t="n">
        <v>0</v>
      </c>
      <c r="L1180" t="n">
        <v>0</v>
      </c>
      <c r="M1180" t="n">
        <v>0</v>
      </c>
      <c r="N1180" t="n">
        <v>0</v>
      </c>
      <c r="O1180" t="n">
        <v>0</v>
      </c>
      <c r="P1180" t="n">
        <v>0</v>
      </c>
      <c r="Q1180" t="n">
        <v>0</v>
      </c>
      <c r="R1180" s="2" t="inlineStr"/>
    </row>
    <row r="1181" ht="15" customHeight="1">
      <c r="A1181" t="inlineStr">
        <is>
          <t>A 57783-2023</t>
        </is>
      </c>
      <c r="B1181" s="1" t="n">
        <v>45246.96743055555</v>
      </c>
      <c r="C1181" s="1" t="n">
        <v>45891</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57798-2023</t>
        </is>
      </c>
      <c r="B1182" s="1" t="n">
        <v>45246.96893518518</v>
      </c>
      <c r="C1182" s="1" t="n">
        <v>45891</v>
      </c>
      <c r="D1182" t="inlineStr">
        <is>
          <t>JÄMTLANDS LÄN</t>
        </is>
      </c>
      <c r="E1182" t="inlineStr">
        <is>
          <t>BRÄCKE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10103-2025</t>
        </is>
      </c>
      <c r="B1183" s="1" t="n">
        <v>45719.57978009259</v>
      </c>
      <c r="C1183" s="1" t="n">
        <v>45891</v>
      </c>
      <c r="D1183" t="inlineStr">
        <is>
          <t>JÄMTLANDS LÄN</t>
        </is>
      </c>
      <c r="E1183" t="inlineStr">
        <is>
          <t>BRÄCKE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43789-2022</t>
        </is>
      </c>
      <c r="B1184" s="1" t="n">
        <v>44837</v>
      </c>
      <c r="C1184" s="1" t="n">
        <v>45891</v>
      </c>
      <c r="D1184" t="inlineStr">
        <is>
          <t>JÄMTLANDS LÄN</t>
        </is>
      </c>
      <c r="E1184" t="inlineStr">
        <is>
          <t>BRÄCKE</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49189-2024</t>
        </is>
      </c>
      <c r="B1185" s="1" t="n">
        <v>45595.34502314815</v>
      </c>
      <c r="C1185" s="1" t="n">
        <v>45891</v>
      </c>
      <c r="D1185" t="inlineStr">
        <is>
          <t>JÄMTLANDS LÄN</t>
        </is>
      </c>
      <c r="E1185" t="inlineStr">
        <is>
          <t>BRÄCKE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8853-2025</t>
        </is>
      </c>
      <c r="B1186" s="1" t="n">
        <v>45713.34482638889</v>
      </c>
      <c r="C1186" s="1" t="n">
        <v>45891</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27546-2025</t>
        </is>
      </c>
      <c r="B1187" s="1" t="n">
        <v>45813.46957175926</v>
      </c>
      <c r="C1187" s="1" t="n">
        <v>45891</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172-2025</t>
        </is>
      </c>
      <c r="B1188" s="1" t="n">
        <v>45659.6565625</v>
      </c>
      <c r="C1188" s="1" t="n">
        <v>45891</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40693-2024</t>
        </is>
      </c>
      <c r="B1189" s="1" t="n">
        <v>45558.40670138889</v>
      </c>
      <c r="C1189" s="1" t="n">
        <v>45891</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9706-2025</t>
        </is>
      </c>
      <c r="B1190" s="1" t="n">
        <v>45716.3858912037</v>
      </c>
      <c r="C1190" s="1" t="n">
        <v>45891</v>
      </c>
      <c r="D1190" t="inlineStr">
        <is>
          <t>JÄMTLANDS LÄN</t>
        </is>
      </c>
      <c r="E1190" t="inlineStr">
        <is>
          <t>BRÄCKE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8958-2023</t>
        </is>
      </c>
      <c r="B1191" s="1" t="n">
        <v>44979.47976851852</v>
      </c>
      <c r="C1191" s="1" t="n">
        <v>45891</v>
      </c>
      <c r="D1191" t="inlineStr">
        <is>
          <t>JÄMTLANDS LÄN</t>
        </is>
      </c>
      <c r="E1191" t="inlineStr">
        <is>
          <t>BRÄCKE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61787-2023</t>
        </is>
      </c>
      <c r="B1192" s="1" t="n">
        <v>45265.95765046297</v>
      </c>
      <c r="C1192" s="1" t="n">
        <v>45891</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52610-2024</t>
        </is>
      </c>
      <c r="B1193" s="1" t="n">
        <v>45609.78957175926</v>
      </c>
      <c r="C1193" s="1" t="n">
        <v>45891</v>
      </c>
      <c r="D1193" t="inlineStr">
        <is>
          <t>JÄMTLANDS LÄN</t>
        </is>
      </c>
      <c r="E1193" t="inlineStr">
        <is>
          <t>BRÄCKE</t>
        </is>
      </c>
      <c r="G1193" t="n">
        <v>16.7</v>
      </c>
      <c r="H1193" t="n">
        <v>0</v>
      </c>
      <c r="I1193" t="n">
        <v>0</v>
      </c>
      <c r="J1193" t="n">
        <v>0</v>
      </c>
      <c r="K1193" t="n">
        <v>0</v>
      </c>
      <c r="L1193" t="n">
        <v>0</v>
      </c>
      <c r="M1193" t="n">
        <v>0</v>
      </c>
      <c r="N1193" t="n">
        <v>0</v>
      </c>
      <c r="O1193" t="n">
        <v>0</v>
      </c>
      <c r="P1193" t="n">
        <v>0</v>
      </c>
      <c r="Q1193" t="n">
        <v>0</v>
      </c>
      <c r="R1193" s="2" t="inlineStr"/>
    </row>
    <row r="1194" ht="15" customHeight="1">
      <c r="A1194" t="inlineStr">
        <is>
          <t>A 28153-2025</t>
        </is>
      </c>
      <c r="B1194" s="1" t="n">
        <v>45818.35738425926</v>
      </c>
      <c r="C1194" s="1" t="n">
        <v>45891</v>
      </c>
      <c r="D1194" t="inlineStr">
        <is>
          <t>JÄMTLANDS LÄN</t>
        </is>
      </c>
      <c r="E1194" t="inlineStr">
        <is>
          <t>BRÄCKE</t>
        </is>
      </c>
      <c r="F1194" t="inlineStr">
        <is>
          <t>Övriga Aktiebolag</t>
        </is>
      </c>
      <c r="G1194" t="n">
        <v>16.2</v>
      </c>
      <c r="H1194" t="n">
        <v>0</v>
      </c>
      <c r="I1194" t="n">
        <v>0</v>
      </c>
      <c r="J1194" t="n">
        <v>0</v>
      </c>
      <c r="K1194" t="n">
        <v>0</v>
      </c>
      <c r="L1194" t="n">
        <v>0</v>
      </c>
      <c r="M1194" t="n">
        <v>0</v>
      </c>
      <c r="N1194" t="n">
        <v>0</v>
      </c>
      <c r="O1194" t="n">
        <v>0</v>
      </c>
      <c r="P1194" t="n">
        <v>0</v>
      </c>
      <c r="Q1194" t="n">
        <v>0</v>
      </c>
      <c r="R1194" s="2" t="inlineStr"/>
    </row>
    <row r="1195" ht="15" customHeight="1">
      <c r="A1195" t="inlineStr">
        <is>
          <t>A 35731-2025</t>
        </is>
      </c>
      <c r="B1195" s="1" t="n">
        <v>45860.46923611111</v>
      </c>
      <c r="C1195" s="1" t="n">
        <v>45891</v>
      </c>
      <c r="D1195" t="inlineStr">
        <is>
          <t>JÄMTLANDS LÄN</t>
        </is>
      </c>
      <c r="E1195" t="inlineStr">
        <is>
          <t>BRÄCKE</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26437-2022</t>
        </is>
      </c>
      <c r="B1196" s="1" t="n">
        <v>44736.93912037037</v>
      </c>
      <c r="C1196" s="1" t="n">
        <v>45891</v>
      </c>
      <c r="D1196" t="inlineStr">
        <is>
          <t>JÄMTLANDS LÄN</t>
        </is>
      </c>
      <c r="E1196" t="inlineStr">
        <is>
          <t>BRÄCKE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13033-2023</t>
        </is>
      </c>
      <c r="B1197" s="1" t="n">
        <v>45001</v>
      </c>
      <c r="C1197" s="1" t="n">
        <v>45891</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21366-2021</t>
        </is>
      </c>
      <c r="B1198" s="1" t="n">
        <v>44320</v>
      </c>
      <c r="C1198" s="1" t="n">
        <v>45891</v>
      </c>
      <c r="D1198" t="inlineStr">
        <is>
          <t>JÄMTLANDS LÄN</t>
        </is>
      </c>
      <c r="E1198" t="inlineStr">
        <is>
          <t>BRÄCKE</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18255-2025</t>
        </is>
      </c>
      <c r="B1199" s="1" t="n">
        <v>45762.3446412037</v>
      </c>
      <c r="C1199" s="1" t="n">
        <v>45891</v>
      </c>
      <c r="D1199" t="inlineStr">
        <is>
          <t>JÄMTLANDS LÄN</t>
        </is>
      </c>
      <c r="E1199" t="inlineStr">
        <is>
          <t>BRÄCKE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28198-2025</t>
        </is>
      </c>
      <c r="B1200" s="1" t="n">
        <v>45818.43175925926</v>
      </c>
      <c r="C1200" s="1" t="n">
        <v>45891</v>
      </c>
      <c r="D1200" t="inlineStr">
        <is>
          <t>JÄMTLANDS LÄN</t>
        </is>
      </c>
      <c r="E1200" t="inlineStr">
        <is>
          <t>BRÄCKE</t>
        </is>
      </c>
      <c r="F1200" t="inlineStr">
        <is>
          <t>Övriga Aktiebolag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24492-2025</t>
        </is>
      </c>
      <c r="B1201" s="1" t="n">
        <v>45798.38611111111</v>
      </c>
      <c r="C1201" s="1" t="n">
        <v>45891</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27872-2025</t>
        </is>
      </c>
      <c r="B1202" s="1" t="n">
        <v>45817.43042824074</v>
      </c>
      <c r="C1202" s="1" t="n">
        <v>45891</v>
      </c>
      <c r="D1202" t="inlineStr">
        <is>
          <t>JÄMTLANDS LÄN</t>
        </is>
      </c>
      <c r="E1202" t="inlineStr">
        <is>
          <t>BRÄCKE</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35712-2025</t>
        </is>
      </c>
      <c r="B1203" s="1" t="n">
        <v>45860.40660879629</v>
      </c>
      <c r="C1203" s="1" t="n">
        <v>45891</v>
      </c>
      <c r="D1203" t="inlineStr">
        <is>
          <t>JÄMTLANDS LÄN</t>
        </is>
      </c>
      <c r="E1203" t="inlineStr">
        <is>
          <t>BRÄCKE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61079-2024</t>
        </is>
      </c>
      <c r="B1204" s="1" t="n">
        <v>45645.51072916666</v>
      </c>
      <c r="C1204" s="1" t="n">
        <v>45891</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10369-2025</t>
        </is>
      </c>
      <c r="B1205" s="1" t="n">
        <v>45720.55243055556</v>
      </c>
      <c r="C1205" s="1" t="n">
        <v>45891</v>
      </c>
      <c r="D1205" t="inlineStr">
        <is>
          <t>JÄMTLANDS LÄN</t>
        </is>
      </c>
      <c r="E1205" t="inlineStr">
        <is>
          <t>BRÄCKE</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35642-2025</t>
        </is>
      </c>
      <c r="B1206" s="1" t="n">
        <v>45859.48991898148</v>
      </c>
      <c r="C1206" s="1" t="n">
        <v>45891</v>
      </c>
      <c r="D1206" t="inlineStr">
        <is>
          <t>JÄMTLANDS LÄN</t>
        </is>
      </c>
      <c r="E1206" t="inlineStr">
        <is>
          <t>BRÄCKE</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28173-2025</t>
        </is>
      </c>
      <c r="B1207" s="1" t="n">
        <v>45818.38231481481</v>
      </c>
      <c r="C1207" s="1" t="n">
        <v>45891</v>
      </c>
      <c r="D1207" t="inlineStr">
        <is>
          <t>JÄMTLANDS LÄN</t>
        </is>
      </c>
      <c r="E1207" t="inlineStr">
        <is>
          <t>BRÄCKE</t>
        </is>
      </c>
      <c r="F1207" t="inlineStr">
        <is>
          <t>Övriga Aktiebolag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5052-2024</t>
        </is>
      </c>
      <c r="B1208" s="1" t="n">
        <v>45329.93077546296</v>
      </c>
      <c r="C1208" s="1" t="n">
        <v>45891</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5053-2024</t>
        </is>
      </c>
      <c r="B1209" s="1" t="n">
        <v>45329.93084490741</v>
      </c>
      <c r="C1209" s="1" t="n">
        <v>45891</v>
      </c>
      <c r="D1209" t="inlineStr">
        <is>
          <t>JÄMTLANDS LÄN</t>
        </is>
      </c>
      <c r="E1209" t="inlineStr">
        <is>
          <t>BRÄCKE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2179-2025</t>
        </is>
      </c>
      <c r="B1210" s="1" t="n">
        <v>45673.34421296296</v>
      </c>
      <c r="C1210" s="1" t="n">
        <v>45891</v>
      </c>
      <c r="D1210" t="inlineStr">
        <is>
          <t>JÄMTLANDS LÄN</t>
        </is>
      </c>
      <c r="E1210" t="inlineStr">
        <is>
          <t>BRÄCKE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2197-2025</t>
        </is>
      </c>
      <c r="B1211" s="1" t="n">
        <v>45673.38782407407</v>
      </c>
      <c r="C1211" s="1" t="n">
        <v>45891</v>
      </c>
      <c r="D1211" t="inlineStr">
        <is>
          <t>JÄMTLANDS LÄN</t>
        </is>
      </c>
      <c r="E1211" t="inlineStr">
        <is>
          <t>BRÄCKE</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28210-2025</t>
        </is>
      </c>
      <c r="B1212" s="1" t="n">
        <v>45818.45143518518</v>
      </c>
      <c r="C1212" s="1" t="n">
        <v>45891</v>
      </c>
      <c r="D1212" t="inlineStr">
        <is>
          <t>JÄMTLANDS LÄN</t>
        </is>
      </c>
      <c r="E1212" t="inlineStr">
        <is>
          <t>BRÄCKE</t>
        </is>
      </c>
      <c r="F1212" t="inlineStr">
        <is>
          <t>Övriga Aktiebolag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28323-2025</t>
        </is>
      </c>
      <c r="B1213" s="1" t="n">
        <v>45818.64758101852</v>
      </c>
      <c r="C1213" s="1" t="n">
        <v>45891</v>
      </c>
      <c r="D1213" t="inlineStr">
        <is>
          <t>JÄMTLANDS LÄN</t>
        </is>
      </c>
      <c r="E1213" t="inlineStr">
        <is>
          <t>BRÄCKE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24490-2025</t>
        </is>
      </c>
      <c r="B1214" s="1" t="n">
        <v>45798.38594907407</v>
      </c>
      <c r="C1214" s="1" t="n">
        <v>45891</v>
      </c>
      <c r="D1214" t="inlineStr">
        <is>
          <t>JÄMTLANDS LÄN</t>
        </is>
      </c>
      <c r="E1214" t="inlineStr">
        <is>
          <t>BRÄCKE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52754-2023</t>
        </is>
      </c>
      <c r="B1215" s="1" t="n">
        <v>45225.96831018518</v>
      </c>
      <c r="C1215" s="1" t="n">
        <v>45891</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35668-2025</t>
        </is>
      </c>
      <c r="B1216" s="1" t="n">
        <v>45859.61552083334</v>
      </c>
      <c r="C1216" s="1" t="n">
        <v>45891</v>
      </c>
      <c r="D1216" t="inlineStr">
        <is>
          <t>JÄMTLANDS LÄN</t>
        </is>
      </c>
      <c r="E1216" t="inlineStr">
        <is>
          <t>BRÄCKE</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28289-2025</t>
        </is>
      </c>
      <c r="B1217" s="1" t="n">
        <v>45818.59244212963</v>
      </c>
      <c r="C1217" s="1" t="n">
        <v>45891</v>
      </c>
      <c r="D1217" t="inlineStr">
        <is>
          <t>JÄMTLANDS LÄN</t>
        </is>
      </c>
      <c r="E1217" t="inlineStr">
        <is>
          <t>BRÄCKE</t>
        </is>
      </c>
      <c r="F1217" t="inlineStr">
        <is>
          <t>Övriga Aktiebolag</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2581-2025</t>
        </is>
      </c>
      <c r="B1218" s="1" t="n">
        <v>45674.67771990741</v>
      </c>
      <c r="C1218" s="1" t="n">
        <v>45891</v>
      </c>
      <c r="D1218" t="inlineStr">
        <is>
          <t>JÄMTLANDS LÄN</t>
        </is>
      </c>
      <c r="E1218" t="inlineStr">
        <is>
          <t>BRÄCKE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10857-2024</t>
        </is>
      </c>
      <c r="B1219" s="1" t="n">
        <v>45370.01916666667</v>
      </c>
      <c r="C1219" s="1" t="n">
        <v>45891</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41352-2020</t>
        </is>
      </c>
      <c r="B1220" s="1" t="n">
        <v>44071</v>
      </c>
      <c r="C1220" s="1" t="n">
        <v>45891</v>
      </c>
      <c r="D1220" t="inlineStr">
        <is>
          <t>JÄMTLANDS LÄN</t>
        </is>
      </c>
      <c r="E1220" t="inlineStr">
        <is>
          <t>BRÄCKE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3652-2025</t>
        </is>
      </c>
      <c r="B1221" s="1" t="n">
        <v>45681.40702546296</v>
      </c>
      <c r="C1221" s="1" t="n">
        <v>45891</v>
      </c>
      <c r="D1221" t="inlineStr">
        <is>
          <t>JÄMTLANDS LÄN</t>
        </is>
      </c>
      <c r="E1221" t="inlineStr">
        <is>
          <t>BRÄCKE</t>
        </is>
      </c>
      <c r="F1221" t="inlineStr">
        <is>
          <t>SCA</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3787-2025</t>
        </is>
      </c>
      <c r="B1222" s="1" t="n">
        <v>45681.6362037037</v>
      </c>
      <c r="C1222" s="1" t="n">
        <v>45891</v>
      </c>
      <c r="D1222" t="inlineStr">
        <is>
          <t>JÄMTLANDS LÄN</t>
        </is>
      </c>
      <c r="E1222" t="inlineStr">
        <is>
          <t>BRÄCKE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28928-2025</t>
        </is>
      </c>
      <c r="B1223" s="1" t="n">
        <v>45820.67738425926</v>
      </c>
      <c r="C1223" s="1" t="n">
        <v>45891</v>
      </c>
      <c r="D1223" t="inlineStr">
        <is>
          <t>JÄMTLANDS LÄN</t>
        </is>
      </c>
      <c r="E1223" t="inlineStr">
        <is>
          <t>BRÄCKE</t>
        </is>
      </c>
      <c r="F1223" t="inlineStr">
        <is>
          <t>SCA</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28675-2025</t>
        </is>
      </c>
      <c r="B1224" s="1" t="n">
        <v>45819.67756944444</v>
      </c>
      <c r="C1224" s="1" t="n">
        <v>45891</v>
      </c>
      <c r="D1224" t="inlineStr">
        <is>
          <t>JÄMTLANDS LÄN</t>
        </is>
      </c>
      <c r="E1224" t="inlineStr">
        <is>
          <t>BRÄCKE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28636-2025</t>
        </is>
      </c>
      <c r="B1225" s="1" t="n">
        <v>45819.63576388889</v>
      </c>
      <c r="C1225" s="1" t="n">
        <v>45891</v>
      </c>
      <c r="D1225" t="inlineStr">
        <is>
          <t>JÄMTLANDS LÄN</t>
        </is>
      </c>
      <c r="E1225" t="inlineStr">
        <is>
          <t>BRÄCKE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58083-2023</t>
        </is>
      </c>
      <c r="B1226" s="1" t="n">
        <v>45247</v>
      </c>
      <c r="C1226" s="1" t="n">
        <v>45891</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35906-2025</t>
        </is>
      </c>
      <c r="B1227" s="1" t="n">
        <v>45862.51081018519</v>
      </c>
      <c r="C1227" s="1" t="n">
        <v>45891</v>
      </c>
      <c r="D1227" t="inlineStr">
        <is>
          <t>JÄMTLANDS LÄN</t>
        </is>
      </c>
      <c r="E1227" t="inlineStr">
        <is>
          <t>BRÄCKE</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35908-2025</t>
        </is>
      </c>
      <c r="B1228" s="1" t="n">
        <v>45862.51113425926</v>
      </c>
      <c r="C1228" s="1" t="n">
        <v>45891</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20514-2024</t>
        </is>
      </c>
      <c r="B1229" s="1" t="n">
        <v>45435.94387731481</v>
      </c>
      <c r="C1229" s="1" t="n">
        <v>45891</v>
      </c>
      <c r="D1229" t="inlineStr">
        <is>
          <t>JÄMTLANDS LÄN</t>
        </is>
      </c>
      <c r="E1229" t="inlineStr">
        <is>
          <t>BRÄCKE</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427-2025</t>
        </is>
      </c>
      <c r="B1230" s="1" t="n">
        <v>45664.35195601852</v>
      </c>
      <c r="C1230" s="1" t="n">
        <v>45891</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35879-2025</t>
        </is>
      </c>
      <c r="B1231" s="1" t="n">
        <v>45862.37929398148</v>
      </c>
      <c r="C1231" s="1" t="n">
        <v>45891</v>
      </c>
      <c r="D1231" t="inlineStr">
        <is>
          <t>JÄMTLANDS LÄN</t>
        </is>
      </c>
      <c r="E1231" t="inlineStr">
        <is>
          <t>BRÄCKE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35880-2025</t>
        </is>
      </c>
      <c r="B1232" s="1" t="n">
        <v>45862.38334490741</v>
      </c>
      <c r="C1232" s="1" t="n">
        <v>45891</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28937-2025</t>
        </is>
      </c>
      <c r="B1233" s="1" t="n">
        <v>45820.69825231482</v>
      </c>
      <c r="C1233" s="1" t="n">
        <v>45891</v>
      </c>
      <c r="D1233" t="inlineStr">
        <is>
          <t>JÄMTLANDS LÄN</t>
        </is>
      </c>
      <c r="E1233" t="inlineStr">
        <is>
          <t>BRÄCKE</t>
        </is>
      </c>
      <c r="F1233" t="inlineStr">
        <is>
          <t>SCA</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28656-2025</t>
        </is>
      </c>
      <c r="B1234" s="1" t="n">
        <v>45819.65671296296</v>
      </c>
      <c r="C1234" s="1" t="n">
        <v>45891</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29021-2025</t>
        </is>
      </c>
      <c r="B1235" s="1" t="n">
        <v>45821.42736111111</v>
      </c>
      <c r="C1235" s="1" t="n">
        <v>45891</v>
      </c>
      <c r="D1235" t="inlineStr">
        <is>
          <t>JÄMTLANDS LÄN</t>
        </is>
      </c>
      <c r="E1235" t="inlineStr">
        <is>
          <t>BRÄCKE</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35896-2023</t>
        </is>
      </c>
      <c r="B1236" s="1" t="n">
        <v>45148</v>
      </c>
      <c r="C1236" s="1" t="n">
        <v>45891</v>
      </c>
      <c r="D1236" t="inlineStr">
        <is>
          <t>JÄMTLANDS LÄN</t>
        </is>
      </c>
      <c r="E1236" t="inlineStr">
        <is>
          <t>BRÄCKE</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39930-2022</t>
        </is>
      </c>
      <c r="B1237" s="1" t="n">
        <v>44819</v>
      </c>
      <c r="C1237" s="1" t="n">
        <v>45891</v>
      </c>
      <c r="D1237" t="inlineStr">
        <is>
          <t>JÄMTLANDS LÄN</t>
        </is>
      </c>
      <c r="E1237" t="inlineStr">
        <is>
          <t>BRÄCKE</t>
        </is>
      </c>
      <c r="F1237" t="inlineStr">
        <is>
          <t>SCA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29124-2025</t>
        </is>
      </c>
      <c r="B1238" s="1" t="n">
        <v>45821.59456018519</v>
      </c>
      <c r="C1238" s="1" t="n">
        <v>45891</v>
      </c>
      <c r="D1238" t="inlineStr">
        <is>
          <t>JÄMTLANDS LÄN</t>
        </is>
      </c>
      <c r="E1238" t="inlineStr">
        <is>
          <t>BRÄCKE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12524-2025</t>
        </is>
      </c>
      <c r="B1239" s="1" t="n">
        <v>45730.6775462963</v>
      </c>
      <c r="C1239" s="1" t="n">
        <v>45891</v>
      </c>
      <c r="D1239" t="inlineStr">
        <is>
          <t>JÄMTLANDS LÄN</t>
        </is>
      </c>
      <c r="E1239" t="inlineStr">
        <is>
          <t>BRÄCKE</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12553-2025</t>
        </is>
      </c>
      <c r="B1240" s="1" t="n">
        <v>45731.34431712963</v>
      </c>
      <c r="C1240" s="1" t="n">
        <v>45891</v>
      </c>
      <c r="D1240" t="inlineStr">
        <is>
          <t>JÄMTLANDS LÄN</t>
        </is>
      </c>
      <c r="E1240" t="inlineStr">
        <is>
          <t>BRÄCKE</t>
        </is>
      </c>
      <c r="F1240" t="inlineStr">
        <is>
          <t>SCA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40430-2023</t>
        </is>
      </c>
      <c r="B1241" s="1" t="n">
        <v>45169</v>
      </c>
      <c r="C1241" s="1" t="n">
        <v>45891</v>
      </c>
      <c r="D1241" t="inlineStr">
        <is>
          <t>JÄMTLANDS LÄN</t>
        </is>
      </c>
      <c r="E1241" t="inlineStr">
        <is>
          <t>BRÄCKE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43785-2022</t>
        </is>
      </c>
      <c r="B1242" s="1" t="n">
        <v>44837</v>
      </c>
      <c r="C1242" s="1" t="n">
        <v>45891</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29038-2025</t>
        </is>
      </c>
      <c r="B1243" s="1" t="n">
        <v>45821.44832175926</v>
      </c>
      <c r="C1243" s="1" t="n">
        <v>45891</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59914-2022</t>
        </is>
      </c>
      <c r="B1244" s="1" t="n">
        <v>44908.96010416667</v>
      </c>
      <c r="C1244" s="1" t="n">
        <v>45891</v>
      </c>
      <c r="D1244" t="inlineStr">
        <is>
          <t>JÄMTLANDS LÄN</t>
        </is>
      </c>
      <c r="E1244" t="inlineStr">
        <is>
          <t>BRÄCKE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36034-2025</t>
        </is>
      </c>
      <c r="B1245" s="1" t="n">
        <v>45865.64755787037</v>
      </c>
      <c r="C1245" s="1" t="n">
        <v>45891</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9996-2025</t>
        </is>
      </c>
      <c r="B1246" s="1" t="n">
        <v>45719.44133101852</v>
      </c>
      <c r="C1246" s="1" t="n">
        <v>45891</v>
      </c>
      <c r="D1246" t="inlineStr">
        <is>
          <t>JÄMTLANDS LÄN</t>
        </is>
      </c>
      <c r="E1246" t="inlineStr">
        <is>
          <t>BRÄCKE</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28972-2025</t>
        </is>
      </c>
      <c r="B1247" s="1" t="n">
        <v>45821.34505787037</v>
      </c>
      <c r="C1247" s="1" t="n">
        <v>45891</v>
      </c>
      <c r="D1247" t="inlineStr">
        <is>
          <t>JÄMTLANDS LÄN</t>
        </is>
      </c>
      <c r="E1247" t="inlineStr">
        <is>
          <t>BRÄCKE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42204-2020</t>
        </is>
      </c>
      <c r="B1248" s="1" t="n">
        <v>44075</v>
      </c>
      <c r="C1248" s="1" t="n">
        <v>45891</v>
      </c>
      <c r="D1248" t="inlineStr">
        <is>
          <t>JÄMTLANDS LÄN</t>
        </is>
      </c>
      <c r="E1248" t="inlineStr">
        <is>
          <t>BRÄCKE</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29107-2025</t>
        </is>
      </c>
      <c r="B1249" s="1" t="n">
        <v>45821.58030092593</v>
      </c>
      <c r="C1249" s="1" t="n">
        <v>45891</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29431-2025</t>
        </is>
      </c>
      <c r="B1250" s="1" t="n">
        <v>45824.65053240741</v>
      </c>
      <c r="C1250" s="1" t="n">
        <v>45891</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29091-2025</t>
        </is>
      </c>
      <c r="B1251" s="1" t="n">
        <v>45821.55241898148</v>
      </c>
      <c r="C1251" s="1" t="n">
        <v>45891</v>
      </c>
      <c r="D1251" t="inlineStr">
        <is>
          <t>JÄMTLANDS LÄN</t>
        </is>
      </c>
      <c r="E1251" t="inlineStr">
        <is>
          <t>BRÄCKE</t>
        </is>
      </c>
      <c r="F1251" t="inlineStr">
        <is>
          <t>SCA</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17577-2022</t>
        </is>
      </c>
      <c r="B1252" s="1" t="n">
        <v>44679</v>
      </c>
      <c r="C1252" s="1" t="n">
        <v>45891</v>
      </c>
      <c r="D1252" t="inlineStr">
        <is>
          <t>JÄMTLANDS LÄN</t>
        </is>
      </c>
      <c r="E1252" t="inlineStr">
        <is>
          <t>BRÄCKE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29909-2025</t>
        </is>
      </c>
      <c r="B1253" s="1" t="n">
        <v>45826.40671296296</v>
      </c>
      <c r="C1253" s="1" t="n">
        <v>45891</v>
      </c>
      <c r="D1253" t="inlineStr">
        <is>
          <t>JÄMTLANDS LÄN</t>
        </is>
      </c>
      <c r="E1253" t="inlineStr">
        <is>
          <t>BRÄCKE</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36209-2023</t>
        </is>
      </c>
      <c r="B1254" s="1" t="n">
        <v>45149</v>
      </c>
      <c r="C1254" s="1" t="n">
        <v>45891</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40791-2024</t>
        </is>
      </c>
      <c r="B1255" s="1" t="n">
        <v>45558.50222222223</v>
      </c>
      <c r="C1255" s="1" t="n">
        <v>45891</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29763-2025</t>
        </is>
      </c>
      <c r="B1256" s="1" t="n">
        <v>45825.61837962963</v>
      </c>
      <c r="C1256" s="1" t="n">
        <v>45891</v>
      </c>
      <c r="D1256" t="inlineStr">
        <is>
          <t>JÄMTLANDS LÄN</t>
        </is>
      </c>
      <c r="E1256" t="inlineStr">
        <is>
          <t>BRÄCKE</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36223-2025</t>
        </is>
      </c>
      <c r="B1257" s="1" t="n">
        <v>45867.51101851852</v>
      </c>
      <c r="C1257" s="1" t="n">
        <v>45891</v>
      </c>
      <c r="D1257" t="inlineStr">
        <is>
          <t>JÄMTLANDS LÄN</t>
        </is>
      </c>
      <c r="E1257" t="inlineStr">
        <is>
          <t>BRÄCKE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62102-2024</t>
        </is>
      </c>
      <c r="B1258" s="1" t="n">
        <v>45656.51145833333</v>
      </c>
      <c r="C1258" s="1" t="n">
        <v>45891</v>
      </c>
      <c r="D1258" t="inlineStr">
        <is>
          <t>JÄMTLANDS LÄN</t>
        </is>
      </c>
      <c r="E1258" t="inlineStr">
        <is>
          <t>BRÄCKE</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29572-2024</t>
        </is>
      </c>
      <c r="B1259" s="1" t="n">
        <v>45484.55929398148</v>
      </c>
      <c r="C1259" s="1" t="n">
        <v>45891</v>
      </c>
      <c r="D1259" t="inlineStr">
        <is>
          <t>JÄMTLANDS LÄN</t>
        </is>
      </c>
      <c r="E1259" t="inlineStr">
        <is>
          <t>BRÄCKE</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44403-2023</t>
        </is>
      </c>
      <c r="B1260" s="1" t="n">
        <v>45188.94601851852</v>
      </c>
      <c r="C1260" s="1" t="n">
        <v>45891</v>
      </c>
      <c r="D1260" t="inlineStr">
        <is>
          <t>JÄMTLANDS LÄN</t>
        </is>
      </c>
      <c r="E1260" t="inlineStr">
        <is>
          <t>BRÄCKE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1080-2025</t>
        </is>
      </c>
      <c r="B1261" s="1" t="n">
        <v>45666.61513888889</v>
      </c>
      <c r="C1261" s="1" t="n">
        <v>45891</v>
      </c>
      <c r="D1261" t="inlineStr">
        <is>
          <t>JÄMTLANDS LÄN</t>
        </is>
      </c>
      <c r="E1261" t="inlineStr">
        <is>
          <t>BRÄCKE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30014-2025</t>
        </is>
      </c>
      <c r="B1262" s="1" t="n">
        <v>45826.55246527777</v>
      </c>
      <c r="C1262" s="1" t="n">
        <v>45891</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30016-2025</t>
        </is>
      </c>
      <c r="B1263" s="1" t="n">
        <v>45826.55288194444</v>
      </c>
      <c r="C1263" s="1" t="n">
        <v>45891</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29996-2025</t>
        </is>
      </c>
      <c r="B1264" s="1" t="n">
        <v>45826.51090277778</v>
      </c>
      <c r="C1264" s="1" t="n">
        <v>45891</v>
      </c>
      <c r="D1264" t="inlineStr">
        <is>
          <t>JÄMTLANDS LÄN</t>
        </is>
      </c>
      <c r="E1264" t="inlineStr">
        <is>
          <t>BRÄCKE</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29534-2025</t>
        </is>
      </c>
      <c r="B1265" s="1" t="n">
        <v>45825.34476851852</v>
      </c>
      <c r="C1265" s="1" t="n">
        <v>45891</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64034-2023</t>
        </is>
      </c>
      <c r="B1266" s="1" t="n">
        <v>45278.94321759259</v>
      </c>
      <c r="C1266" s="1" t="n">
        <v>45891</v>
      </c>
      <c r="D1266" t="inlineStr">
        <is>
          <t>JÄMTLANDS LÄN</t>
        </is>
      </c>
      <c r="E1266" t="inlineStr">
        <is>
          <t>BRÄCKE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48440-2024</t>
        </is>
      </c>
      <c r="B1267" s="1" t="n">
        <v>45590.67774305555</v>
      </c>
      <c r="C1267" s="1" t="n">
        <v>45891</v>
      </c>
      <c r="D1267" t="inlineStr">
        <is>
          <t>JÄMTLANDS LÄN</t>
        </is>
      </c>
      <c r="E1267" t="inlineStr">
        <is>
          <t>BRÄCKE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3389-2024</t>
        </is>
      </c>
      <c r="B1268" s="1" t="n">
        <v>45317.9409837963</v>
      </c>
      <c r="C1268" s="1" t="n">
        <v>45891</v>
      </c>
      <c r="D1268" t="inlineStr">
        <is>
          <t>JÄMTLANDS LÄN</t>
        </is>
      </c>
      <c r="E1268" t="inlineStr">
        <is>
          <t>BRÄCKE</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64266-2023</t>
        </is>
      </c>
      <c r="B1269" s="1" t="n">
        <v>45279.94579861111</v>
      </c>
      <c r="C1269" s="1" t="n">
        <v>45891</v>
      </c>
      <c r="D1269" t="inlineStr">
        <is>
          <t>JÄMTLANDS LÄN</t>
        </is>
      </c>
      <c r="E1269" t="inlineStr">
        <is>
          <t>BRÄCKE</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60435-2023</t>
        </is>
      </c>
      <c r="B1270" s="1" t="n">
        <v>45258</v>
      </c>
      <c r="C1270" s="1" t="n">
        <v>45891</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30479-2022</t>
        </is>
      </c>
      <c r="B1271" s="1" t="n">
        <v>44761.94013888889</v>
      </c>
      <c r="C1271" s="1" t="n">
        <v>45891</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36311-2025</t>
        </is>
      </c>
      <c r="B1272" s="1" t="n">
        <v>45868.34434027778</v>
      </c>
      <c r="C1272" s="1" t="n">
        <v>45891</v>
      </c>
      <c r="D1272" t="inlineStr">
        <is>
          <t>JÄMTLANDS LÄN</t>
        </is>
      </c>
      <c r="E1272" t="inlineStr">
        <is>
          <t>BRÄCKE</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37957-2021</t>
        </is>
      </c>
      <c r="B1273" s="1" t="n">
        <v>44403</v>
      </c>
      <c r="C1273" s="1" t="n">
        <v>45891</v>
      </c>
      <c r="D1273" t="inlineStr">
        <is>
          <t>JÄMTLANDS LÄN</t>
        </is>
      </c>
      <c r="E1273" t="inlineStr">
        <is>
          <t>BRÄCKE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57417-2023</t>
        </is>
      </c>
      <c r="B1274" s="1" t="n">
        <v>45245.96966435185</v>
      </c>
      <c r="C1274" s="1" t="n">
        <v>45891</v>
      </c>
      <c r="D1274" t="inlineStr">
        <is>
          <t>JÄMTLANDS LÄN</t>
        </is>
      </c>
      <c r="E1274" t="inlineStr">
        <is>
          <t>BRÄCKE</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31467-2023</t>
        </is>
      </c>
      <c r="B1275" s="1" t="n">
        <v>45104</v>
      </c>
      <c r="C1275" s="1" t="n">
        <v>45891</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31471-2023</t>
        </is>
      </c>
      <c r="B1276" s="1" t="n">
        <v>45104</v>
      </c>
      <c r="C1276" s="1" t="n">
        <v>45891</v>
      </c>
      <c r="D1276" t="inlineStr">
        <is>
          <t>JÄMTLANDS LÄN</t>
        </is>
      </c>
      <c r="E1276" t="inlineStr">
        <is>
          <t>BRÄCKE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8739-2025</t>
        </is>
      </c>
      <c r="B1277" s="1" t="n">
        <v>45712.55239583334</v>
      </c>
      <c r="C1277" s="1" t="n">
        <v>45891</v>
      </c>
      <c r="D1277" t="inlineStr">
        <is>
          <t>JÄMTLANDS LÄN</t>
        </is>
      </c>
      <c r="E1277" t="inlineStr">
        <is>
          <t>BRÄCKE</t>
        </is>
      </c>
      <c r="F1277" t="inlineStr">
        <is>
          <t>SCA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10769-2025</t>
        </is>
      </c>
      <c r="B1278" s="1" t="n">
        <v>45722.4690625</v>
      </c>
      <c r="C1278" s="1" t="n">
        <v>45891</v>
      </c>
      <c r="D1278" t="inlineStr">
        <is>
          <t>JÄMTLANDS LÄN</t>
        </is>
      </c>
      <c r="E1278" t="inlineStr">
        <is>
          <t>BRÄCKE</t>
        </is>
      </c>
      <c r="F1278" t="inlineStr">
        <is>
          <t>SCA</t>
        </is>
      </c>
      <c r="G1278" t="n">
        <v>18.7</v>
      </c>
      <c r="H1278" t="n">
        <v>0</v>
      </c>
      <c r="I1278" t="n">
        <v>0</v>
      </c>
      <c r="J1278" t="n">
        <v>0</v>
      </c>
      <c r="K1278" t="n">
        <v>0</v>
      </c>
      <c r="L1278" t="n">
        <v>0</v>
      </c>
      <c r="M1278" t="n">
        <v>0</v>
      </c>
      <c r="N1278" t="n">
        <v>0</v>
      </c>
      <c r="O1278" t="n">
        <v>0</v>
      </c>
      <c r="P1278" t="n">
        <v>0</v>
      </c>
      <c r="Q1278" t="n">
        <v>0</v>
      </c>
      <c r="R1278" s="2" t="inlineStr"/>
    </row>
    <row r="1279" ht="15" customHeight="1">
      <c r="A1279" t="inlineStr">
        <is>
          <t>A 14630-2025</t>
        </is>
      </c>
      <c r="B1279" s="1" t="n">
        <v>45742.42767361111</v>
      </c>
      <c r="C1279" s="1" t="n">
        <v>45891</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17209-2023</t>
        </is>
      </c>
      <c r="B1280" s="1" t="n">
        <v>45034</v>
      </c>
      <c r="C1280" s="1" t="n">
        <v>45891</v>
      </c>
      <c r="D1280" t="inlineStr">
        <is>
          <t>JÄMTLANDS LÄN</t>
        </is>
      </c>
      <c r="E1280" t="inlineStr">
        <is>
          <t>BRÄCKE</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58079-2023</t>
        </is>
      </c>
      <c r="B1281" s="1" t="n">
        <v>45247.96510416667</v>
      </c>
      <c r="C1281" s="1" t="n">
        <v>45891</v>
      </c>
      <c r="D1281" t="inlineStr">
        <is>
          <t>JÄMTLANDS LÄN</t>
        </is>
      </c>
      <c r="E1281" t="inlineStr">
        <is>
          <t>BRÄCKE</t>
        </is>
      </c>
      <c r="F1281" t="inlineStr">
        <is>
          <t>SCA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39937-2022</t>
        </is>
      </c>
      <c r="B1282" s="1" t="n">
        <v>44819.9487962963</v>
      </c>
      <c r="C1282" s="1" t="n">
        <v>45891</v>
      </c>
      <c r="D1282" t="inlineStr">
        <is>
          <t>JÄMTLANDS LÄN</t>
        </is>
      </c>
      <c r="E1282" t="inlineStr">
        <is>
          <t>BRÄCKE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36386-2025</t>
        </is>
      </c>
      <c r="B1283" s="1" t="n">
        <v>45868.59412037037</v>
      </c>
      <c r="C1283" s="1" t="n">
        <v>45891</v>
      </c>
      <c r="D1283" t="inlineStr">
        <is>
          <t>JÄMTLANDS LÄN</t>
        </is>
      </c>
      <c r="E1283" t="inlineStr">
        <is>
          <t>BRÄCKE</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36169-2025</t>
        </is>
      </c>
      <c r="B1284" s="1" t="n">
        <v>45867.38596064815</v>
      </c>
      <c r="C1284" s="1" t="n">
        <v>45891</v>
      </c>
      <c r="D1284" t="inlineStr">
        <is>
          <t>JÄMTLANDS LÄN</t>
        </is>
      </c>
      <c r="E1284" t="inlineStr">
        <is>
          <t>BRÄCKE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36222-2025</t>
        </is>
      </c>
      <c r="B1285" s="1" t="n">
        <v>45867.51087962963</v>
      </c>
      <c r="C1285" s="1" t="n">
        <v>45891</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6788-2025</t>
        </is>
      </c>
      <c r="B1286" s="1" t="n">
        <v>45700.65692129629</v>
      </c>
      <c r="C1286" s="1" t="n">
        <v>45891</v>
      </c>
      <c r="D1286" t="inlineStr">
        <is>
          <t>JÄMTLANDS LÄN</t>
        </is>
      </c>
      <c r="E1286" t="inlineStr">
        <is>
          <t>BRÄCKE</t>
        </is>
      </c>
      <c r="F1286" t="inlineStr">
        <is>
          <t>SCA</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35398-2024</t>
        </is>
      </c>
      <c r="B1287" s="1" t="n">
        <v>45531.40420138889</v>
      </c>
      <c r="C1287" s="1" t="n">
        <v>45891</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30310-2025</t>
        </is>
      </c>
      <c r="B1288" s="1" t="n">
        <v>45827.48996527777</v>
      </c>
      <c r="C1288" s="1" t="n">
        <v>45891</v>
      </c>
      <c r="D1288" t="inlineStr">
        <is>
          <t>JÄMTLANDS LÄN</t>
        </is>
      </c>
      <c r="E1288" t="inlineStr">
        <is>
          <t>BRÄCKE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30317-2025</t>
        </is>
      </c>
      <c r="B1289" s="1" t="n">
        <v>45827.49087962963</v>
      </c>
      <c r="C1289" s="1" t="n">
        <v>45891</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30393-2025</t>
        </is>
      </c>
      <c r="B1290" s="1" t="n">
        <v>45827.57416666667</v>
      </c>
      <c r="C1290" s="1" t="n">
        <v>45891</v>
      </c>
      <c r="D1290" t="inlineStr">
        <is>
          <t>JÄMTLANDS LÄN</t>
        </is>
      </c>
      <c r="E1290" t="inlineStr">
        <is>
          <t>BRÄCKE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37504-2023</t>
        </is>
      </c>
      <c r="B1291" s="1" t="n">
        <v>45157.59725694444</v>
      </c>
      <c r="C1291" s="1" t="n">
        <v>45891</v>
      </c>
      <c r="D1291" t="inlineStr">
        <is>
          <t>JÄMTLANDS LÄN</t>
        </is>
      </c>
      <c r="E1291" t="inlineStr">
        <is>
          <t>BRÄCKE</t>
        </is>
      </c>
      <c r="F1291" t="inlineStr">
        <is>
          <t>Sveaskog</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11545-2025</t>
        </is>
      </c>
      <c r="B1292" s="1" t="n">
        <v>45727.34413194445</v>
      </c>
      <c r="C1292" s="1" t="n">
        <v>45891</v>
      </c>
      <c r="D1292" t="inlineStr">
        <is>
          <t>JÄMTLANDS LÄN</t>
        </is>
      </c>
      <c r="E1292" t="inlineStr">
        <is>
          <t>BRÄCKE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30424-2025</t>
        </is>
      </c>
      <c r="B1293" s="1" t="n">
        <v>45827.61495370371</v>
      </c>
      <c r="C1293" s="1" t="n">
        <v>45891</v>
      </c>
      <c r="D1293" t="inlineStr">
        <is>
          <t>JÄMTLANDS LÄN</t>
        </is>
      </c>
      <c r="E1293" t="inlineStr">
        <is>
          <t>BRÄCKE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30391-2025</t>
        </is>
      </c>
      <c r="B1294" s="1" t="n">
        <v>45827.57387731481</v>
      </c>
      <c r="C1294" s="1" t="n">
        <v>45891</v>
      </c>
      <c r="D1294" t="inlineStr">
        <is>
          <t>JÄMTLANDS LÄN</t>
        </is>
      </c>
      <c r="E1294" t="inlineStr">
        <is>
          <t>BRÄCKE</t>
        </is>
      </c>
      <c r="F1294" t="inlineStr">
        <is>
          <t>SCA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30425-2025</t>
        </is>
      </c>
      <c r="B1295" s="1" t="n">
        <v>45827.61511574074</v>
      </c>
      <c r="C1295" s="1" t="n">
        <v>45891</v>
      </c>
      <c r="D1295" t="inlineStr">
        <is>
          <t>JÄMTLANDS LÄN</t>
        </is>
      </c>
      <c r="E1295" t="inlineStr">
        <is>
          <t>BRÄCKE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32471-2021</t>
        </is>
      </c>
      <c r="B1296" s="1" t="n">
        <v>44371</v>
      </c>
      <c r="C1296" s="1" t="n">
        <v>45891</v>
      </c>
      <c r="D1296" t="inlineStr">
        <is>
          <t>JÄMTLANDS LÄN</t>
        </is>
      </c>
      <c r="E1296" t="inlineStr">
        <is>
          <t>BRÄCKE</t>
        </is>
      </c>
      <c r="F1296" t="inlineStr">
        <is>
          <t>SCA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36507-2025</t>
        </is>
      </c>
      <c r="B1297" s="1" t="n">
        <v>45869.57335648148</v>
      </c>
      <c r="C1297" s="1" t="n">
        <v>45891</v>
      </c>
      <c r="D1297" t="inlineStr">
        <is>
          <t>JÄMTLANDS LÄN</t>
        </is>
      </c>
      <c r="E1297" t="inlineStr">
        <is>
          <t>BRÄCKE</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46939-2023</t>
        </is>
      </c>
      <c r="B1298" s="1" t="n">
        <v>45195</v>
      </c>
      <c r="C1298" s="1" t="n">
        <v>45891</v>
      </c>
      <c r="D1298" t="inlineStr">
        <is>
          <t>JÄMTLANDS LÄN</t>
        </is>
      </c>
      <c r="E1298" t="inlineStr">
        <is>
          <t>BRÄCKE</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30392-2025</t>
        </is>
      </c>
      <c r="B1299" s="1" t="n">
        <v>45827.5740162037</v>
      </c>
      <c r="C1299" s="1" t="n">
        <v>45891</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36508-2025</t>
        </is>
      </c>
      <c r="B1300" s="1" t="n">
        <v>45869.57351851852</v>
      </c>
      <c r="C1300" s="1" t="n">
        <v>45891</v>
      </c>
      <c r="D1300" t="inlineStr">
        <is>
          <t>JÄMTLANDS LÄN</t>
        </is>
      </c>
      <c r="E1300" t="inlineStr">
        <is>
          <t>BRÄCKE</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14838-2025</t>
        </is>
      </c>
      <c r="B1301" s="1" t="n">
        <v>45743.38582175926</v>
      </c>
      <c r="C1301" s="1" t="n">
        <v>45891</v>
      </c>
      <c r="D1301" t="inlineStr">
        <is>
          <t>JÄMTLANDS LÄN</t>
        </is>
      </c>
      <c r="E1301" t="inlineStr">
        <is>
          <t>BRÄCKE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31520-2022</t>
        </is>
      </c>
      <c r="B1302" s="1" t="n">
        <v>44774.94930555556</v>
      </c>
      <c r="C1302" s="1" t="n">
        <v>45891</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36392-2022</t>
        </is>
      </c>
      <c r="B1303" s="1" t="n">
        <v>44803.94673611111</v>
      </c>
      <c r="C1303" s="1" t="n">
        <v>45891</v>
      </c>
      <c r="D1303" t="inlineStr">
        <is>
          <t>JÄMTLANDS LÄN</t>
        </is>
      </c>
      <c r="E1303" t="inlineStr">
        <is>
          <t>BRÄCKE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1347-2025</t>
        </is>
      </c>
      <c r="B1304" s="1" t="n">
        <v>45667.61490740741</v>
      </c>
      <c r="C1304" s="1" t="n">
        <v>45891</v>
      </c>
      <c r="D1304" t="inlineStr">
        <is>
          <t>JÄMTLANDS LÄN</t>
        </is>
      </c>
      <c r="E1304" t="inlineStr">
        <is>
          <t>BRÄCKE</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4904-2025</t>
        </is>
      </c>
      <c r="B1305" s="1" t="n">
        <v>45688.68020833333</v>
      </c>
      <c r="C1305" s="1" t="n">
        <v>45891</v>
      </c>
      <c r="D1305" t="inlineStr">
        <is>
          <t>JÄMTLANDS LÄN</t>
        </is>
      </c>
      <c r="E1305" t="inlineStr">
        <is>
          <t>BRÄCKE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62871-2020</t>
        </is>
      </c>
      <c r="B1306" s="1" t="n">
        <v>44161</v>
      </c>
      <c r="C1306" s="1" t="n">
        <v>45891</v>
      </c>
      <c r="D1306" t="inlineStr">
        <is>
          <t>JÄMTLANDS LÄN</t>
        </is>
      </c>
      <c r="E1306" t="inlineStr">
        <is>
          <t>BRÄCKE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61973-2024</t>
        </is>
      </c>
      <c r="B1307" s="1" t="n">
        <v>45653.61484953704</v>
      </c>
      <c r="C1307" s="1" t="n">
        <v>45891</v>
      </c>
      <c r="D1307" t="inlineStr">
        <is>
          <t>JÄMTLANDS LÄN</t>
        </is>
      </c>
      <c r="E1307" t="inlineStr">
        <is>
          <t>BRÄCKE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57412-2023</t>
        </is>
      </c>
      <c r="B1308" s="1" t="n">
        <v>45245</v>
      </c>
      <c r="C1308" s="1" t="n">
        <v>45891</v>
      </c>
      <c r="D1308" t="inlineStr">
        <is>
          <t>JÄMTLANDS LÄN</t>
        </is>
      </c>
      <c r="E1308" t="inlineStr">
        <is>
          <t>BRÄCKE</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57419-2023</t>
        </is>
      </c>
      <c r="B1309" s="1" t="n">
        <v>45245.96983796296</v>
      </c>
      <c r="C1309" s="1" t="n">
        <v>45891</v>
      </c>
      <c r="D1309" t="inlineStr">
        <is>
          <t>JÄMTLANDS LÄN</t>
        </is>
      </c>
      <c r="E1309" t="inlineStr">
        <is>
          <t>BRÄCKE</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36534-2025</t>
        </is>
      </c>
      <c r="B1310" s="1" t="n">
        <v>45869.61495370371</v>
      </c>
      <c r="C1310" s="1" t="n">
        <v>45891</v>
      </c>
      <c r="D1310" t="inlineStr">
        <is>
          <t>JÄMTLANDS LÄN</t>
        </is>
      </c>
      <c r="E1310" t="inlineStr">
        <is>
          <t>BRÄCKE</t>
        </is>
      </c>
      <c r="F1310" t="inlineStr">
        <is>
          <t>SCA</t>
        </is>
      </c>
      <c r="G1310" t="n">
        <v>22.1</v>
      </c>
      <c r="H1310" t="n">
        <v>0</v>
      </c>
      <c r="I1310" t="n">
        <v>0</v>
      </c>
      <c r="J1310" t="n">
        <v>0</v>
      </c>
      <c r="K1310" t="n">
        <v>0</v>
      </c>
      <c r="L1310" t="n">
        <v>0</v>
      </c>
      <c r="M1310" t="n">
        <v>0</v>
      </c>
      <c r="N1310" t="n">
        <v>0</v>
      </c>
      <c r="O1310" t="n">
        <v>0</v>
      </c>
      <c r="P1310" t="n">
        <v>0</v>
      </c>
      <c r="Q1310" t="n">
        <v>0</v>
      </c>
      <c r="R1310" s="2" t="inlineStr"/>
    </row>
    <row r="1311" ht="15" customHeight="1">
      <c r="A1311" t="inlineStr">
        <is>
          <t>A 30313-2025</t>
        </is>
      </c>
      <c r="B1311" s="1" t="n">
        <v>45827.49033564814</v>
      </c>
      <c r="C1311" s="1" t="n">
        <v>45891</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40313-2021</t>
        </is>
      </c>
      <c r="B1312" s="1" t="n">
        <v>44419.50186342592</v>
      </c>
      <c r="C1312" s="1" t="n">
        <v>45891</v>
      </c>
      <c r="D1312" t="inlineStr">
        <is>
          <t>JÄMTLANDS LÄN</t>
        </is>
      </c>
      <c r="E1312" t="inlineStr">
        <is>
          <t>BRÄCKE</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35244-2021</t>
        </is>
      </c>
      <c r="B1313" s="1" t="n">
        <v>44384.58844907407</v>
      </c>
      <c r="C1313" s="1" t="n">
        <v>45891</v>
      </c>
      <c r="D1313" t="inlineStr">
        <is>
          <t>JÄMTLANDS LÄN</t>
        </is>
      </c>
      <c r="E1313" t="inlineStr">
        <is>
          <t>BRÄCKE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41401-2023</t>
        </is>
      </c>
      <c r="B1314" s="1" t="n">
        <v>45174</v>
      </c>
      <c r="C1314" s="1" t="n">
        <v>45891</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30732-2025</t>
        </is>
      </c>
      <c r="B1315" s="1" t="n">
        <v>45831.57324074074</v>
      </c>
      <c r="C1315" s="1" t="n">
        <v>45891</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42203-2020</t>
        </is>
      </c>
      <c r="B1316" s="1" t="n">
        <v>44075</v>
      </c>
      <c r="C1316" s="1" t="n">
        <v>45891</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22001-2024</t>
        </is>
      </c>
      <c r="B1317" s="1" t="n">
        <v>45443.56649305556</v>
      </c>
      <c r="C1317" s="1" t="n">
        <v>45891</v>
      </c>
      <c r="D1317" t="inlineStr">
        <is>
          <t>JÄMTLANDS LÄN</t>
        </is>
      </c>
      <c r="E1317" t="inlineStr">
        <is>
          <t>BRÄCKE</t>
        </is>
      </c>
      <c r="F1317" t="inlineStr">
        <is>
          <t>Övriga Aktiebolag</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34138-2023</t>
        </is>
      </c>
      <c r="B1318" s="1" t="n">
        <v>45135</v>
      </c>
      <c r="C1318" s="1" t="n">
        <v>45891</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51270-2022</t>
        </is>
      </c>
      <c r="B1319" s="1" t="n">
        <v>44866</v>
      </c>
      <c r="C1319" s="1" t="n">
        <v>45891</v>
      </c>
      <c r="D1319" t="inlineStr">
        <is>
          <t>JÄMTLANDS LÄN</t>
        </is>
      </c>
      <c r="E1319" t="inlineStr">
        <is>
          <t>BRÄCKE</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14601-2025</t>
        </is>
      </c>
      <c r="B1320" s="1" t="n">
        <v>45742.36497685185</v>
      </c>
      <c r="C1320" s="1" t="n">
        <v>45891</v>
      </c>
      <c r="D1320" t="inlineStr">
        <is>
          <t>JÄMTLANDS LÄN</t>
        </is>
      </c>
      <c r="E1320" t="inlineStr">
        <is>
          <t>BRÄCKE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22121-2024</t>
        </is>
      </c>
      <c r="B1321" s="1" t="n">
        <v>45443.95271990741</v>
      </c>
      <c r="C1321" s="1" t="n">
        <v>45891</v>
      </c>
      <c r="D1321" t="inlineStr">
        <is>
          <t>JÄMTLANDS LÄN</t>
        </is>
      </c>
      <c r="E1321" t="inlineStr">
        <is>
          <t>BRÄCKE</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59008-2024</t>
        </is>
      </c>
      <c r="B1322" s="1" t="n">
        <v>45636.65724537037</v>
      </c>
      <c r="C1322" s="1" t="n">
        <v>45891</v>
      </c>
      <c r="D1322" t="inlineStr">
        <is>
          <t>JÄMTLANDS LÄN</t>
        </is>
      </c>
      <c r="E1322" t="inlineStr">
        <is>
          <t>BRÄCKE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15262-2025</t>
        </is>
      </c>
      <c r="B1323" s="1" t="n">
        <v>45744.65693287037</v>
      </c>
      <c r="C1323" s="1" t="n">
        <v>45891</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58728-2022</t>
        </is>
      </c>
      <c r="B1324" s="1" t="n">
        <v>44902</v>
      </c>
      <c r="C1324" s="1" t="n">
        <v>45891</v>
      </c>
      <c r="D1324" t="inlineStr">
        <is>
          <t>JÄMTLANDS LÄN</t>
        </is>
      </c>
      <c r="E1324" t="inlineStr">
        <is>
          <t>BRÄCKE</t>
        </is>
      </c>
      <c r="G1324" t="n">
        <v>21.5</v>
      </c>
      <c r="H1324" t="n">
        <v>0</v>
      </c>
      <c r="I1324" t="n">
        <v>0</v>
      </c>
      <c r="J1324" t="n">
        <v>0</v>
      </c>
      <c r="K1324" t="n">
        <v>0</v>
      </c>
      <c r="L1324" t="n">
        <v>0</v>
      </c>
      <c r="M1324" t="n">
        <v>0</v>
      </c>
      <c r="N1324" t="n">
        <v>0</v>
      </c>
      <c r="O1324" t="n">
        <v>0</v>
      </c>
      <c r="P1324" t="n">
        <v>0</v>
      </c>
      <c r="Q1324" t="n">
        <v>0</v>
      </c>
      <c r="R1324" s="2" t="inlineStr"/>
    </row>
    <row r="1325" ht="15" customHeight="1">
      <c r="A1325" t="inlineStr">
        <is>
          <t>A 16634-2025</t>
        </is>
      </c>
      <c r="B1325" s="1" t="n">
        <v>45754.3653125</v>
      </c>
      <c r="C1325" s="1" t="n">
        <v>45891</v>
      </c>
      <c r="D1325" t="inlineStr">
        <is>
          <t>JÄMTLANDS LÄN</t>
        </is>
      </c>
      <c r="E1325" t="inlineStr">
        <is>
          <t>BRÄCKE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60654-2024</t>
        </is>
      </c>
      <c r="B1326" s="1" t="n">
        <v>45644</v>
      </c>
      <c r="C1326" s="1" t="n">
        <v>45891</v>
      </c>
      <c r="D1326" t="inlineStr">
        <is>
          <t>JÄMTLANDS LÄN</t>
        </is>
      </c>
      <c r="E1326" t="inlineStr">
        <is>
          <t>BRÄCKE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51195-2024</t>
        </is>
      </c>
      <c r="B1327" s="1" t="n">
        <v>45603.61532407408</v>
      </c>
      <c r="C1327" s="1" t="n">
        <v>45891</v>
      </c>
      <c r="D1327" t="inlineStr">
        <is>
          <t>JÄMTLANDS LÄN</t>
        </is>
      </c>
      <c r="E1327" t="inlineStr">
        <is>
          <t>BRÄCKE</t>
        </is>
      </c>
      <c r="F1327" t="inlineStr">
        <is>
          <t>SCA</t>
        </is>
      </c>
      <c r="G1327" t="n">
        <v>17.4</v>
      </c>
      <c r="H1327" t="n">
        <v>0</v>
      </c>
      <c r="I1327" t="n">
        <v>0</v>
      </c>
      <c r="J1327" t="n">
        <v>0</v>
      </c>
      <c r="K1327" t="n">
        <v>0</v>
      </c>
      <c r="L1327" t="n">
        <v>0</v>
      </c>
      <c r="M1327" t="n">
        <v>0</v>
      </c>
      <c r="N1327" t="n">
        <v>0</v>
      </c>
      <c r="O1327" t="n">
        <v>0</v>
      </c>
      <c r="P1327" t="n">
        <v>0</v>
      </c>
      <c r="Q1327" t="n">
        <v>0</v>
      </c>
      <c r="R1327" s="2" t="inlineStr"/>
    </row>
    <row r="1328" ht="15" customHeight="1">
      <c r="A1328" t="inlineStr">
        <is>
          <t>A 30619-2025</t>
        </is>
      </c>
      <c r="B1328" s="1" t="n">
        <v>45831.46922453704</v>
      </c>
      <c r="C1328" s="1" t="n">
        <v>45891</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34873-2021</t>
        </is>
      </c>
      <c r="B1329" s="1" t="n">
        <v>44382</v>
      </c>
      <c r="C1329" s="1" t="n">
        <v>45891</v>
      </c>
      <c r="D1329" t="inlineStr">
        <is>
          <t>JÄMTLANDS LÄN</t>
        </is>
      </c>
      <c r="E1329" t="inlineStr">
        <is>
          <t>BRÄCKE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36970-2025</t>
        </is>
      </c>
      <c r="B1330" s="1" t="n">
        <v>45874.63700231481</v>
      </c>
      <c r="C1330" s="1" t="n">
        <v>45891</v>
      </c>
      <c r="D1330" t="inlineStr">
        <is>
          <t>JÄMTLANDS LÄN</t>
        </is>
      </c>
      <c r="E1330" t="inlineStr">
        <is>
          <t>BRÄCKE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25056-2023</t>
        </is>
      </c>
      <c r="B1331" s="1" t="n">
        <v>45085.94633101852</v>
      </c>
      <c r="C1331" s="1" t="n">
        <v>45891</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31138-2025</t>
        </is>
      </c>
      <c r="B1332" s="1" t="n">
        <v>45832.63618055556</v>
      </c>
      <c r="C1332" s="1" t="n">
        <v>45891</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41175-2023</t>
        </is>
      </c>
      <c r="B1333" s="1" t="n">
        <v>45170</v>
      </c>
      <c r="C1333" s="1" t="n">
        <v>45891</v>
      </c>
      <c r="D1333" t="inlineStr">
        <is>
          <t>JÄMTLANDS LÄN</t>
        </is>
      </c>
      <c r="E1333" t="inlineStr">
        <is>
          <t>BRÄCKE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50522-2024</t>
        </is>
      </c>
      <c r="B1334" s="1" t="n">
        <v>45601.55399305555</v>
      </c>
      <c r="C1334" s="1" t="n">
        <v>45891</v>
      </c>
      <c r="D1334" t="inlineStr">
        <is>
          <t>JÄMTLANDS LÄN</t>
        </is>
      </c>
      <c r="E1334" t="inlineStr">
        <is>
          <t>BRÄCKE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23443-2022</t>
        </is>
      </c>
      <c r="B1335" s="1" t="n">
        <v>44720.94112268519</v>
      </c>
      <c r="C1335" s="1" t="n">
        <v>45891</v>
      </c>
      <c r="D1335" t="inlineStr">
        <is>
          <t>JÄMTLANDS LÄN</t>
        </is>
      </c>
      <c r="E1335" t="inlineStr">
        <is>
          <t>BRÄCKE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58078-2023</t>
        </is>
      </c>
      <c r="B1336" s="1" t="n">
        <v>45247.965</v>
      </c>
      <c r="C1336" s="1" t="n">
        <v>45891</v>
      </c>
      <c r="D1336" t="inlineStr">
        <is>
          <t>JÄMTLANDS LÄN</t>
        </is>
      </c>
      <c r="E1336" t="inlineStr">
        <is>
          <t>BRÄCKE</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30714-2025</t>
        </is>
      </c>
      <c r="B1337" s="1" t="n">
        <v>45831.55284722222</v>
      </c>
      <c r="C1337" s="1" t="n">
        <v>45891</v>
      </c>
      <c r="D1337" t="inlineStr">
        <is>
          <t>JÄMTLANDS LÄN</t>
        </is>
      </c>
      <c r="E1337" t="inlineStr">
        <is>
          <t>BRÄCKE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15779-2025</t>
        </is>
      </c>
      <c r="B1338" s="1" t="n">
        <v>45748.60634259259</v>
      </c>
      <c r="C1338" s="1" t="n">
        <v>45891</v>
      </c>
      <c r="D1338" t="inlineStr">
        <is>
          <t>JÄMTLANDS LÄN</t>
        </is>
      </c>
      <c r="E1338" t="inlineStr">
        <is>
          <t>BRÄCKE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31059-2025</t>
        </is>
      </c>
      <c r="B1339" s="1" t="n">
        <v>45832.5734837963</v>
      </c>
      <c r="C1339" s="1" t="n">
        <v>45891</v>
      </c>
      <c r="D1339" t="inlineStr">
        <is>
          <t>JÄMTLANDS LÄN</t>
        </is>
      </c>
      <c r="E1339" t="inlineStr">
        <is>
          <t>BRÄCKE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52983-2022</t>
        </is>
      </c>
      <c r="B1340" s="1" t="n">
        <v>44875.92745370371</v>
      </c>
      <c r="C1340" s="1" t="n">
        <v>45891</v>
      </c>
      <c r="D1340" t="inlineStr">
        <is>
          <t>JÄMTLANDS LÄN</t>
        </is>
      </c>
      <c r="E1340" t="inlineStr">
        <is>
          <t>BRÄCKE</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60015-2021</t>
        </is>
      </c>
      <c r="B1341" s="1" t="n">
        <v>44494.94096064815</v>
      </c>
      <c r="C1341" s="1" t="n">
        <v>45891</v>
      </c>
      <c r="D1341" t="inlineStr">
        <is>
          <t>JÄMTLANDS LÄN</t>
        </is>
      </c>
      <c r="E1341" t="inlineStr">
        <is>
          <t>BRÄCKE</t>
        </is>
      </c>
      <c r="G1341" t="n">
        <v>18.7</v>
      </c>
      <c r="H1341" t="n">
        <v>0</v>
      </c>
      <c r="I1341" t="n">
        <v>0</v>
      </c>
      <c r="J1341" t="n">
        <v>0</v>
      </c>
      <c r="K1341" t="n">
        <v>0</v>
      </c>
      <c r="L1341" t="n">
        <v>0</v>
      </c>
      <c r="M1341" t="n">
        <v>0</v>
      </c>
      <c r="N1341" t="n">
        <v>0</v>
      </c>
      <c r="O1341" t="n">
        <v>0</v>
      </c>
      <c r="P1341" t="n">
        <v>0</v>
      </c>
      <c r="Q1341" t="n">
        <v>0</v>
      </c>
      <c r="R1341" s="2" t="inlineStr"/>
    </row>
    <row r="1342" ht="15" customHeight="1">
      <c r="A1342" t="inlineStr">
        <is>
          <t>A 38862-2024</t>
        </is>
      </c>
      <c r="B1342" s="1" t="n">
        <v>45547.63063657407</v>
      </c>
      <c r="C1342" s="1" t="n">
        <v>45891</v>
      </c>
      <c r="D1342" t="inlineStr">
        <is>
          <t>JÄMTLANDS LÄN</t>
        </is>
      </c>
      <c r="E1342" t="inlineStr">
        <is>
          <t>BRÄCKE</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52022-2022</t>
        </is>
      </c>
      <c r="B1343" s="1" t="n">
        <v>44872.95662037037</v>
      </c>
      <c r="C1343" s="1" t="n">
        <v>45891</v>
      </c>
      <c r="D1343" t="inlineStr">
        <is>
          <t>JÄMTLANDS LÄN</t>
        </is>
      </c>
      <c r="E1343" t="inlineStr">
        <is>
          <t>BRÄCKE</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31526-2024</t>
        </is>
      </c>
      <c r="B1344" s="1" t="n">
        <v>45505.95956018518</v>
      </c>
      <c r="C1344" s="1" t="n">
        <v>45891</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44753-2022</t>
        </is>
      </c>
      <c r="B1345" s="1" t="n">
        <v>44840</v>
      </c>
      <c r="C1345" s="1" t="n">
        <v>45891</v>
      </c>
      <c r="D1345" t="inlineStr">
        <is>
          <t>JÄMTLANDS LÄN</t>
        </is>
      </c>
      <c r="E1345" t="inlineStr">
        <is>
          <t>BRÄCKE</t>
        </is>
      </c>
      <c r="F1345" t="inlineStr">
        <is>
          <t>SCA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31668-2025</t>
        </is>
      </c>
      <c r="B1346" s="1" t="n">
        <v>45834.36533564814</v>
      </c>
      <c r="C1346" s="1" t="n">
        <v>45891</v>
      </c>
      <c r="D1346" t="inlineStr">
        <is>
          <t>JÄMTLANDS LÄN</t>
        </is>
      </c>
      <c r="E1346" t="inlineStr">
        <is>
          <t>BRÄCKE</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23013-2021</t>
        </is>
      </c>
      <c r="B1347" s="1" t="n">
        <v>44328</v>
      </c>
      <c r="C1347" s="1" t="n">
        <v>45891</v>
      </c>
      <c r="D1347" t="inlineStr">
        <is>
          <t>JÄMTLANDS LÄN</t>
        </is>
      </c>
      <c r="E1347" t="inlineStr">
        <is>
          <t>BRÄCKE</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31806-2025</t>
        </is>
      </c>
      <c r="B1348" s="1" t="n">
        <v>45834.55449074074</v>
      </c>
      <c r="C1348" s="1" t="n">
        <v>45891</v>
      </c>
      <c r="D1348" t="inlineStr">
        <is>
          <t>JÄMTLANDS LÄN</t>
        </is>
      </c>
      <c r="E1348" t="inlineStr">
        <is>
          <t>BRÄCKE</t>
        </is>
      </c>
      <c r="F1348" t="inlineStr">
        <is>
          <t>Övriga Aktiebolag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31425-2025</t>
        </is>
      </c>
      <c r="B1349" s="1" t="n">
        <v>45833.49023148148</v>
      </c>
      <c r="C1349" s="1" t="n">
        <v>45891</v>
      </c>
      <c r="D1349" t="inlineStr">
        <is>
          <t>JÄMTLANDS LÄN</t>
        </is>
      </c>
      <c r="E1349" t="inlineStr">
        <is>
          <t>BRÄCKE</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31482-2025</t>
        </is>
      </c>
      <c r="B1350" s="1" t="n">
        <v>45833.57390046296</v>
      </c>
      <c r="C1350" s="1" t="n">
        <v>45891</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37074-2025</t>
        </is>
      </c>
      <c r="B1351" s="1" t="n">
        <v>45875.40717592592</v>
      </c>
      <c r="C1351" s="1" t="n">
        <v>45891</v>
      </c>
      <c r="D1351" t="inlineStr">
        <is>
          <t>JÄMTLANDS LÄN</t>
        </is>
      </c>
      <c r="E1351" t="inlineStr">
        <is>
          <t>BRÄCKE</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35564-2021</t>
        </is>
      </c>
      <c r="B1352" s="1" t="n">
        <v>44385.93597222222</v>
      </c>
      <c r="C1352" s="1" t="n">
        <v>45891</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6345-2023</t>
        </is>
      </c>
      <c r="B1353" s="1" t="n">
        <v>44960</v>
      </c>
      <c r="C1353" s="1" t="n">
        <v>45891</v>
      </c>
      <c r="D1353" t="inlineStr">
        <is>
          <t>JÄMTLANDS LÄN</t>
        </is>
      </c>
      <c r="E1353" t="inlineStr">
        <is>
          <t>BRÄCKE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31794-2025</t>
        </is>
      </c>
      <c r="B1354" s="1" t="n">
        <v>45834.54390046297</v>
      </c>
      <c r="C1354" s="1" t="n">
        <v>45891</v>
      </c>
      <c r="D1354" t="inlineStr">
        <is>
          <t>JÄMTLANDS LÄN</t>
        </is>
      </c>
      <c r="E1354" t="inlineStr">
        <is>
          <t>BRÄCKE</t>
        </is>
      </c>
      <c r="F1354" t="inlineStr">
        <is>
          <t>Övriga Aktiebolag</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31819-2025</t>
        </is>
      </c>
      <c r="B1355" s="1" t="n">
        <v>45834.57891203704</v>
      </c>
      <c r="C1355" s="1" t="n">
        <v>45891</v>
      </c>
      <c r="D1355" t="inlineStr">
        <is>
          <t>JÄMTLANDS LÄN</t>
        </is>
      </c>
      <c r="E1355" t="inlineStr">
        <is>
          <t>BRÄCKE</t>
        </is>
      </c>
      <c r="F1355" t="inlineStr">
        <is>
          <t>Övriga Aktiebolag</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31832-2025</t>
        </is>
      </c>
      <c r="B1356" s="1" t="n">
        <v>45834.59207175926</v>
      </c>
      <c r="C1356" s="1" t="n">
        <v>45891</v>
      </c>
      <c r="D1356" t="inlineStr">
        <is>
          <t>JÄMTLANDS LÄN</t>
        </is>
      </c>
      <c r="E1356" t="inlineStr">
        <is>
          <t>BRÄCKE</t>
        </is>
      </c>
      <c r="F1356" t="inlineStr">
        <is>
          <t>Övriga Aktiebolag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31274-2025</t>
        </is>
      </c>
      <c r="B1357" s="1" t="n">
        <v>45833.34435185185</v>
      </c>
      <c r="C1357" s="1" t="n">
        <v>45891</v>
      </c>
      <c r="D1357" t="inlineStr">
        <is>
          <t>JÄMTLANDS LÄN</t>
        </is>
      </c>
      <c r="E1357" t="inlineStr">
        <is>
          <t>BRÄCKE</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28077-2024</t>
        </is>
      </c>
      <c r="B1358" s="1" t="n">
        <v>45476.58508101852</v>
      </c>
      <c r="C1358" s="1" t="n">
        <v>45891</v>
      </c>
      <c r="D1358" t="inlineStr">
        <is>
          <t>JÄMTLANDS LÄN</t>
        </is>
      </c>
      <c r="E1358" t="inlineStr">
        <is>
          <t>BRÄCKE</t>
        </is>
      </c>
      <c r="G1358" t="n">
        <v>18.3</v>
      </c>
      <c r="H1358" t="n">
        <v>0</v>
      </c>
      <c r="I1358" t="n">
        <v>0</v>
      </c>
      <c r="J1358" t="n">
        <v>0</v>
      </c>
      <c r="K1358" t="n">
        <v>0</v>
      </c>
      <c r="L1358" t="n">
        <v>0</v>
      </c>
      <c r="M1358" t="n">
        <v>0</v>
      </c>
      <c r="N1358" t="n">
        <v>0</v>
      </c>
      <c r="O1358" t="n">
        <v>0</v>
      </c>
      <c r="P1358" t="n">
        <v>0</v>
      </c>
      <c r="Q1358" t="n">
        <v>0</v>
      </c>
      <c r="R1358" s="2" t="inlineStr"/>
    </row>
    <row r="1359" ht="15" customHeight="1">
      <c r="A1359" t="inlineStr">
        <is>
          <t>A 12452-2025</t>
        </is>
      </c>
      <c r="B1359" s="1" t="n">
        <v>45730.51483796296</v>
      </c>
      <c r="C1359" s="1" t="n">
        <v>45891</v>
      </c>
      <c r="D1359" t="inlineStr">
        <is>
          <t>JÄMTLANDS LÄN</t>
        </is>
      </c>
      <c r="E1359" t="inlineStr">
        <is>
          <t>BRÄCKE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37093-2025</t>
        </is>
      </c>
      <c r="B1360" s="1" t="n">
        <v>45875.46909722222</v>
      </c>
      <c r="C1360" s="1" t="n">
        <v>45891</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37117-2025</t>
        </is>
      </c>
      <c r="B1361" s="1" t="n">
        <v>45875.51163194444</v>
      </c>
      <c r="C1361" s="1" t="n">
        <v>45891</v>
      </c>
      <c r="D1361" t="inlineStr">
        <is>
          <t>JÄMTLANDS LÄN</t>
        </is>
      </c>
      <c r="E1361" t="inlineStr">
        <is>
          <t>BRÄCKE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29028-2024</t>
        </is>
      </c>
      <c r="B1362" s="1" t="n">
        <v>45481.59387731482</v>
      </c>
      <c r="C1362" s="1" t="n">
        <v>45891</v>
      </c>
      <c r="D1362" t="inlineStr">
        <is>
          <t>JÄMTLANDS LÄN</t>
        </is>
      </c>
      <c r="E1362" t="inlineStr">
        <is>
          <t>BRÄCKE</t>
        </is>
      </c>
      <c r="F1362" t="inlineStr">
        <is>
          <t>Övriga Aktiebolag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1799-2024</t>
        </is>
      </c>
      <c r="B1363" s="1" t="n">
        <v>45307</v>
      </c>
      <c r="C1363" s="1" t="n">
        <v>45891</v>
      </c>
      <c r="D1363" t="inlineStr">
        <is>
          <t>JÄMTLANDS LÄN</t>
        </is>
      </c>
      <c r="E1363" t="inlineStr">
        <is>
          <t>BRÄCKE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18791-2025</t>
        </is>
      </c>
      <c r="B1364" s="1" t="n">
        <v>45764.34482638889</v>
      </c>
      <c r="C1364" s="1" t="n">
        <v>45891</v>
      </c>
      <c r="D1364" t="inlineStr">
        <is>
          <t>JÄMTLANDS LÄN</t>
        </is>
      </c>
      <c r="E1364" t="inlineStr">
        <is>
          <t>BRÄCKE</t>
        </is>
      </c>
      <c r="F1364" t="inlineStr">
        <is>
          <t>SCA</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31379-2025</t>
        </is>
      </c>
      <c r="B1365" s="1" t="n">
        <v>45833.44856481482</v>
      </c>
      <c r="C1365" s="1" t="n">
        <v>45891</v>
      </c>
      <c r="D1365" t="inlineStr">
        <is>
          <t>JÄMTLANDS LÄN</t>
        </is>
      </c>
      <c r="E1365" t="inlineStr">
        <is>
          <t>BRÄCKE</t>
        </is>
      </c>
      <c r="F1365" t="inlineStr">
        <is>
          <t>SCA</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9970-2025</t>
        </is>
      </c>
      <c r="B1366" s="1" t="n">
        <v>45719.38614583333</v>
      </c>
      <c r="C1366" s="1" t="n">
        <v>45891</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37241-2025</t>
        </is>
      </c>
      <c r="B1367" s="1" t="n">
        <v>45876.38599537037</v>
      </c>
      <c r="C1367" s="1" t="n">
        <v>45891</v>
      </c>
      <c r="D1367" t="inlineStr">
        <is>
          <t>JÄMTLANDS LÄN</t>
        </is>
      </c>
      <c r="E1367" t="inlineStr">
        <is>
          <t>BRÄCKE</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55976-2024</t>
        </is>
      </c>
      <c r="B1368" s="1" t="n">
        <v>45623.65659722222</v>
      </c>
      <c r="C1368" s="1" t="n">
        <v>45891</v>
      </c>
      <c r="D1368" t="inlineStr">
        <is>
          <t>JÄMTLANDS LÄN</t>
        </is>
      </c>
      <c r="E1368" t="inlineStr">
        <is>
          <t>BRÄCKE</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19667-2025</t>
        </is>
      </c>
      <c r="B1369" s="1" t="n">
        <v>45770.69820601852</v>
      </c>
      <c r="C1369" s="1" t="n">
        <v>45891</v>
      </c>
      <c r="D1369" t="inlineStr">
        <is>
          <t>JÄMTLANDS LÄN</t>
        </is>
      </c>
      <c r="E1369" t="inlineStr">
        <is>
          <t>BRÄCKE</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37116-2025</t>
        </is>
      </c>
      <c r="B1370" s="1" t="n">
        <v>45875.51150462963</v>
      </c>
      <c r="C1370" s="1" t="n">
        <v>45891</v>
      </c>
      <c r="D1370" t="inlineStr">
        <is>
          <t>JÄMTLANDS LÄN</t>
        </is>
      </c>
      <c r="E1370" t="inlineStr">
        <is>
          <t>BRÄCKE</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31728-2025</t>
        </is>
      </c>
      <c r="B1371" s="1" t="n">
        <v>45834.46925925926</v>
      </c>
      <c r="C1371" s="1" t="n">
        <v>45891</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31696-2025</t>
        </is>
      </c>
      <c r="B1372" s="1" t="n">
        <v>45834.40726851852</v>
      </c>
      <c r="C1372" s="1" t="n">
        <v>45891</v>
      </c>
      <c r="D1372" t="inlineStr">
        <is>
          <t>JÄMTLANDS LÄN</t>
        </is>
      </c>
      <c r="E1372" t="inlineStr">
        <is>
          <t>BRÄCKE</t>
        </is>
      </c>
      <c r="F1372" t="inlineStr">
        <is>
          <t>SCA</t>
        </is>
      </c>
      <c r="G1372" t="n">
        <v>15.8</v>
      </c>
      <c r="H1372" t="n">
        <v>0</v>
      </c>
      <c r="I1372" t="n">
        <v>0</v>
      </c>
      <c r="J1372" t="n">
        <v>0</v>
      </c>
      <c r="K1372" t="n">
        <v>0</v>
      </c>
      <c r="L1372" t="n">
        <v>0</v>
      </c>
      <c r="M1372" t="n">
        <v>0</v>
      </c>
      <c r="N1372" t="n">
        <v>0</v>
      </c>
      <c r="O1372" t="n">
        <v>0</v>
      </c>
      <c r="P1372" t="n">
        <v>0</v>
      </c>
      <c r="Q1372" t="n">
        <v>0</v>
      </c>
      <c r="R1372" s="2" t="inlineStr"/>
    </row>
    <row r="1373" ht="15" customHeight="1">
      <c r="A1373" t="inlineStr">
        <is>
          <t>A 31749-2025</t>
        </is>
      </c>
      <c r="B1373" s="1" t="n">
        <v>45834.48164351852</v>
      </c>
      <c r="C1373" s="1" t="n">
        <v>45891</v>
      </c>
      <c r="D1373" t="inlineStr">
        <is>
          <t>JÄMTLANDS LÄN</t>
        </is>
      </c>
      <c r="E1373" t="inlineStr">
        <is>
          <t>BRÄCKE</t>
        </is>
      </c>
      <c r="F1373" t="inlineStr">
        <is>
          <t>Övriga Aktiebolag</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37185-2025</t>
        </is>
      </c>
      <c r="B1374" s="1" t="n">
        <v>45875.63608796296</v>
      </c>
      <c r="C1374" s="1" t="n">
        <v>45891</v>
      </c>
      <c r="D1374" t="inlineStr">
        <is>
          <t>JÄMTLANDS LÄN</t>
        </is>
      </c>
      <c r="E1374" t="inlineStr">
        <is>
          <t>BRÄCKE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32149-2025</t>
        </is>
      </c>
      <c r="B1375" s="1" t="n">
        <v>45835.53086805555</v>
      </c>
      <c r="C1375" s="1" t="n">
        <v>45891</v>
      </c>
      <c r="D1375" t="inlineStr">
        <is>
          <t>JÄMTLANDS LÄN</t>
        </is>
      </c>
      <c r="E1375" t="inlineStr">
        <is>
          <t>BRÄCKE</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41722-2023</t>
        </is>
      </c>
      <c r="B1376" s="1" t="n">
        <v>45176.4012037037</v>
      </c>
      <c r="C1376" s="1" t="n">
        <v>45891</v>
      </c>
      <c r="D1376" t="inlineStr">
        <is>
          <t>JÄMTLANDS LÄN</t>
        </is>
      </c>
      <c r="E1376" t="inlineStr">
        <is>
          <t>BRÄCKE</t>
        </is>
      </c>
      <c r="G1376" t="n">
        <v>21.3</v>
      </c>
      <c r="H1376" t="n">
        <v>0</v>
      </c>
      <c r="I1376" t="n">
        <v>0</v>
      </c>
      <c r="J1376" t="n">
        <v>0</v>
      </c>
      <c r="K1376" t="n">
        <v>0</v>
      </c>
      <c r="L1376" t="n">
        <v>0</v>
      </c>
      <c r="M1376" t="n">
        <v>0</v>
      </c>
      <c r="N1376" t="n">
        <v>0</v>
      </c>
      <c r="O1376" t="n">
        <v>0</v>
      </c>
      <c r="P1376" t="n">
        <v>0</v>
      </c>
      <c r="Q1376" t="n">
        <v>0</v>
      </c>
      <c r="R1376" s="2" t="inlineStr"/>
    </row>
    <row r="1377" ht="15" customHeight="1">
      <c r="A1377" t="inlineStr">
        <is>
          <t>A 31962-2025</t>
        </is>
      </c>
      <c r="B1377" s="1" t="n">
        <v>45835.34466435185</v>
      </c>
      <c r="C1377" s="1" t="n">
        <v>45891</v>
      </c>
      <c r="D1377" t="inlineStr">
        <is>
          <t>JÄMTLANDS LÄN</t>
        </is>
      </c>
      <c r="E1377" t="inlineStr">
        <is>
          <t>BRÄCKE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21637-2021</t>
        </is>
      </c>
      <c r="B1378" s="1" t="n">
        <v>44321</v>
      </c>
      <c r="C1378" s="1" t="n">
        <v>45891</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65096-2023</t>
        </is>
      </c>
      <c r="B1379" s="1" t="n">
        <v>45288</v>
      </c>
      <c r="C1379" s="1" t="n">
        <v>45891</v>
      </c>
      <c r="D1379" t="inlineStr">
        <is>
          <t>JÄMTLANDS LÄN</t>
        </is>
      </c>
      <c r="E1379" t="inlineStr">
        <is>
          <t>BRÄCKE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9824-2025</t>
        </is>
      </c>
      <c r="B1380" s="1" t="n">
        <v>45716.57334490741</v>
      </c>
      <c r="C1380" s="1" t="n">
        <v>45891</v>
      </c>
      <c r="D1380" t="inlineStr">
        <is>
          <t>JÄMTLANDS LÄN</t>
        </is>
      </c>
      <c r="E1380" t="inlineStr">
        <is>
          <t>BRÄCKE</t>
        </is>
      </c>
      <c r="F1380" t="inlineStr">
        <is>
          <t>SCA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37394-2025</t>
        </is>
      </c>
      <c r="B1381" s="1" t="n">
        <v>45877.4275462963</v>
      </c>
      <c r="C1381" s="1" t="n">
        <v>45891</v>
      </c>
      <c r="D1381" t="inlineStr">
        <is>
          <t>JÄMTLANDS LÄN</t>
        </is>
      </c>
      <c r="E1381" t="inlineStr">
        <is>
          <t>BRÄCKE</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50514-2023</t>
        </is>
      </c>
      <c r="B1382" s="1" t="n">
        <v>45216</v>
      </c>
      <c r="C1382" s="1" t="n">
        <v>45891</v>
      </c>
      <c r="D1382" t="inlineStr">
        <is>
          <t>JÄMTLANDS LÄN</t>
        </is>
      </c>
      <c r="E1382" t="inlineStr">
        <is>
          <t>BRÄCKE</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27280-2024</t>
        </is>
      </c>
      <c r="B1383" s="1" t="n">
        <v>45471.92576388889</v>
      </c>
      <c r="C1383" s="1" t="n">
        <v>45891</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37460-2025</t>
        </is>
      </c>
      <c r="B1384" s="1" t="n">
        <v>45877.57342592593</v>
      </c>
      <c r="C1384" s="1" t="n">
        <v>45891</v>
      </c>
      <c r="D1384" t="inlineStr">
        <is>
          <t>JÄMTLANDS LÄN</t>
        </is>
      </c>
      <c r="E1384" t="inlineStr">
        <is>
          <t>BRÄCKE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52023-2022</t>
        </is>
      </c>
      <c r="B1385" s="1" t="n">
        <v>44872.95675925926</v>
      </c>
      <c r="C1385" s="1" t="n">
        <v>45891</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3697-2025</t>
        </is>
      </c>
      <c r="B1386" s="1" t="n">
        <v>45681.46973379629</v>
      </c>
      <c r="C1386" s="1" t="n">
        <v>45891</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65433-2021</t>
        </is>
      </c>
      <c r="B1387" s="1" t="n">
        <v>44515.93875</v>
      </c>
      <c r="C1387" s="1" t="n">
        <v>45891</v>
      </c>
      <c r="D1387" t="inlineStr">
        <is>
          <t>JÄMTLANDS LÄN</t>
        </is>
      </c>
      <c r="E1387" t="inlineStr">
        <is>
          <t>BRÄCKE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3862-2025</t>
        </is>
      </c>
      <c r="B1388" s="1" t="n">
        <v>45684.31023148148</v>
      </c>
      <c r="C1388" s="1" t="n">
        <v>45891</v>
      </c>
      <c r="D1388" t="inlineStr">
        <is>
          <t>JÄMTLANDS LÄN</t>
        </is>
      </c>
      <c r="E1388" t="inlineStr">
        <is>
          <t>BRÄCKE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34410-2021</t>
        </is>
      </c>
      <c r="B1389" s="1" t="n">
        <v>44379.94194444444</v>
      </c>
      <c r="C1389" s="1" t="n">
        <v>45891</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32659-2025</t>
        </is>
      </c>
      <c r="B1390" s="1" t="n">
        <v>45838.67873842592</v>
      </c>
      <c r="C1390" s="1" t="n">
        <v>45891</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32146-2025</t>
        </is>
      </c>
      <c r="B1391" s="1" t="n">
        <v>45835.52730324074</v>
      </c>
      <c r="C1391" s="1" t="n">
        <v>45891</v>
      </c>
      <c r="D1391" t="inlineStr">
        <is>
          <t>JÄMTLANDS LÄN</t>
        </is>
      </c>
      <c r="E1391" t="inlineStr">
        <is>
          <t>BRÄCKE</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32596-2025</t>
        </is>
      </c>
      <c r="B1392" s="1" t="n">
        <v>45838.61584490741</v>
      </c>
      <c r="C1392" s="1" t="n">
        <v>45891</v>
      </c>
      <c r="D1392" t="inlineStr">
        <is>
          <t>JÄMTLANDS LÄN</t>
        </is>
      </c>
      <c r="E1392" t="inlineStr">
        <is>
          <t>BRÄCKE</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41314-2024</t>
        </is>
      </c>
      <c r="B1393" s="1" t="n">
        <v>45559.63613425926</v>
      </c>
      <c r="C1393" s="1" t="n">
        <v>45891</v>
      </c>
      <c r="D1393" t="inlineStr">
        <is>
          <t>JÄMTLANDS LÄN</t>
        </is>
      </c>
      <c r="E1393" t="inlineStr">
        <is>
          <t>BRÄCKE</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32272-2025</t>
        </is>
      </c>
      <c r="B1394" s="1" t="n">
        <v>45835.6568287037</v>
      </c>
      <c r="C1394" s="1" t="n">
        <v>45891</v>
      </c>
      <c r="D1394" t="inlineStr">
        <is>
          <t>JÄMTLANDS LÄN</t>
        </is>
      </c>
      <c r="E1394" t="inlineStr">
        <is>
          <t>BRÄCKE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45342-2023</t>
        </is>
      </c>
      <c r="B1395" s="1" t="n">
        <v>45191.93817129629</v>
      </c>
      <c r="C1395" s="1" t="n">
        <v>45891</v>
      </c>
      <c r="D1395" t="inlineStr">
        <is>
          <t>JÄMTLANDS LÄN</t>
        </is>
      </c>
      <c r="E1395" t="inlineStr">
        <is>
          <t>BRÄCKE</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37412-2025</t>
        </is>
      </c>
      <c r="B1396" s="1" t="n">
        <v>45877.46915509259</v>
      </c>
      <c r="C1396" s="1" t="n">
        <v>45891</v>
      </c>
      <c r="D1396" t="inlineStr">
        <is>
          <t>JÄMTLANDS LÄN</t>
        </is>
      </c>
      <c r="E1396" t="inlineStr">
        <is>
          <t>BRÄCKE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37377-2025</t>
        </is>
      </c>
      <c r="B1397" s="1" t="n">
        <v>45877.3653125</v>
      </c>
      <c r="C1397" s="1" t="n">
        <v>45891</v>
      </c>
      <c r="D1397" t="inlineStr">
        <is>
          <t>JÄMTLANDS LÄN</t>
        </is>
      </c>
      <c r="E1397" t="inlineStr">
        <is>
          <t>BRÄCKE</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37585-2025</t>
        </is>
      </c>
      <c r="B1398" s="1" t="n">
        <v>45880.40076388889</v>
      </c>
      <c r="C1398" s="1" t="n">
        <v>45891</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32443-2025</t>
        </is>
      </c>
      <c r="B1399" s="1" t="n">
        <v>45838.38613425926</v>
      </c>
      <c r="C1399" s="1" t="n">
        <v>45891</v>
      </c>
      <c r="D1399" t="inlineStr">
        <is>
          <t>JÄMTLANDS LÄN</t>
        </is>
      </c>
      <c r="E1399" t="inlineStr">
        <is>
          <t>BRÄCKE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37405-2025</t>
        </is>
      </c>
      <c r="B1400" s="1" t="n">
        <v>45877.44858796296</v>
      </c>
      <c r="C1400" s="1" t="n">
        <v>45891</v>
      </c>
      <c r="D1400" t="inlineStr">
        <is>
          <t>JÄMTLANDS LÄN</t>
        </is>
      </c>
      <c r="E1400" t="inlineStr">
        <is>
          <t>BRÄCKE</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37403-2025</t>
        </is>
      </c>
      <c r="B1401" s="1" t="n">
        <v>45877.44828703703</v>
      </c>
      <c r="C1401" s="1" t="n">
        <v>45891</v>
      </c>
      <c r="D1401" t="inlineStr">
        <is>
          <t>JÄMTLANDS LÄN</t>
        </is>
      </c>
      <c r="E1401" t="inlineStr">
        <is>
          <t>BRÄCKE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59910-2022</t>
        </is>
      </c>
      <c r="B1402" s="1" t="n">
        <v>44908</v>
      </c>
      <c r="C1402" s="1" t="n">
        <v>45891</v>
      </c>
      <c r="D1402" t="inlineStr">
        <is>
          <t>JÄMTLANDS LÄN</t>
        </is>
      </c>
      <c r="E1402" t="inlineStr">
        <is>
          <t>BRÄCKE</t>
        </is>
      </c>
      <c r="F1402" t="inlineStr">
        <is>
          <t>SCA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59915-2022</t>
        </is>
      </c>
      <c r="B1403" s="1" t="n">
        <v>44908.96019675926</v>
      </c>
      <c r="C1403" s="1" t="n">
        <v>45891</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37459-2025</t>
        </is>
      </c>
      <c r="B1404" s="1" t="n">
        <v>45877.57327546296</v>
      </c>
      <c r="C1404" s="1" t="n">
        <v>45891</v>
      </c>
      <c r="D1404" t="inlineStr">
        <is>
          <t>JÄMTLANDS LÄN</t>
        </is>
      </c>
      <c r="E1404" t="inlineStr">
        <is>
          <t>BRÄCKE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56641-2022</t>
        </is>
      </c>
      <c r="B1405" s="1" t="n">
        <v>44893</v>
      </c>
      <c r="C1405" s="1" t="n">
        <v>45891</v>
      </c>
      <c r="D1405" t="inlineStr">
        <is>
          <t>JÄMTLANDS LÄN</t>
        </is>
      </c>
      <c r="E1405" t="inlineStr">
        <is>
          <t>BRÄCKE</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50515-2023</t>
        </is>
      </c>
      <c r="B1406" s="1" t="n">
        <v>45216</v>
      </c>
      <c r="C1406" s="1" t="n">
        <v>45891</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37411-2025</t>
        </is>
      </c>
      <c r="B1407" s="1" t="n">
        <v>45877.46912037037</v>
      </c>
      <c r="C1407" s="1" t="n">
        <v>45891</v>
      </c>
      <c r="D1407" t="inlineStr">
        <is>
          <t>JÄMTLANDS LÄN</t>
        </is>
      </c>
      <c r="E1407" t="inlineStr">
        <is>
          <t>BRÄCKE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37423-2025</t>
        </is>
      </c>
      <c r="B1408" s="1" t="n">
        <v>45877.48996527777</v>
      </c>
      <c r="C1408" s="1" t="n">
        <v>45891</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37464-2025</t>
        </is>
      </c>
      <c r="B1409" s="1" t="n">
        <v>45877.57395833333</v>
      </c>
      <c r="C1409" s="1" t="n">
        <v>45891</v>
      </c>
      <c r="D1409" t="inlineStr">
        <is>
          <t>JÄMTLANDS LÄN</t>
        </is>
      </c>
      <c r="E1409" t="inlineStr">
        <is>
          <t>BRÄCKE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32281-2025</t>
        </is>
      </c>
      <c r="B1410" s="1" t="n">
        <v>45835.67778935185</v>
      </c>
      <c r="C1410" s="1" t="n">
        <v>45891</v>
      </c>
      <c r="D1410" t="inlineStr">
        <is>
          <t>JÄMTLANDS LÄN</t>
        </is>
      </c>
      <c r="E1410" t="inlineStr">
        <is>
          <t>BRÄCKE</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37709-2025</t>
        </is>
      </c>
      <c r="B1411" s="1" t="n">
        <v>45880.59458333333</v>
      </c>
      <c r="C1411" s="1" t="n">
        <v>45891</v>
      </c>
      <c r="D1411" t="inlineStr">
        <is>
          <t>JÄMTLANDS LÄN</t>
        </is>
      </c>
      <c r="E1411" t="inlineStr">
        <is>
          <t>BRÄCKE</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9553-2024</t>
        </is>
      </c>
      <c r="B1412" s="1" t="n">
        <v>45360.03491898148</v>
      </c>
      <c r="C1412" s="1" t="n">
        <v>45891</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31888-2024</t>
        </is>
      </c>
      <c r="B1413" s="1" t="n">
        <v>45509</v>
      </c>
      <c r="C1413" s="1" t="n">
        <v>45891</v>
      </c>
      <c r="D1413" t="inlineStr">
        <is>
          <t>JÄMTLANDS LÄN</t>
        </is>
      </c>
      <c r="E1413" t="inlineStr">
        <is>
          <t>BRÄCKE</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32851-2025</t>
        </is>
      </c>
      <c r="B1414" s="1" t="n">
        <v>45839.57388888889</v>
      </c>
      <c r="C1414" s="1" t="n">
        <v>45891</v>
      </c>
      <c r="D1414" t="inlineStr">
        <is>
          <t>JÄMTLANDS LÄN</t>
        </is>
      </c>
      <c r="E1414" t="inlineStr">
        <is>
          <t>BRÄCKE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32697-2025</t>
        </is>
      </c>
      <c r="B1415" s="1" t="n">
        <v>45839.34427083333</v>
      </c>
      <c r="C1415" s="1" t="n">
        <v>45891</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38123-2025</t>
        </is>
      </c>
      <c r="B1416" s="1" t="n">
        <v>45882.55259259259</v>
      </c>
      <c r="C1416" s="1" t="n">
        <v>45891</v>
      </c>
      <c r="D1416" t="inlineStr">
        <is>
          <t>JÄMTLANDS LÄN</t>
        </is>
      </c>
      <c r="E1416" t="inlineStr">
        <is>
          <t>BRÄCKE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33275-2025</t>
        </is>
      </c>
      <c r="B1417" s="1" t="n">
        <v>45840.69829861111</v>
      </c>
      <c r="C1417" s="1" t="n">
        <v>45891</v>
      </c>
      <c r="D1417" t="inlineStr">
        <is>
          <t>JÄMTLANDS LÄN</t>
        </is>
      </c>
      <c r="E1417" t="inlineStr">
        <is>
          <t>BRÄCKE</t>
        </is>
      </c>
      <c r="F1417" t="inlineStr">
        <is>
          <t>SCA</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33133-2025</t>
        </is>
      </c>
      <c r="B1418" s="1" t="n">
        <v>45840.5050462963</v>
      </c>
      <c r="C1418" s="1" t="n">
        <v>45891</v>
      </c>
      <c r="D1418" t="inlineStr">
        <is>
          <t>JÄMTLANDS LÄN</t>
        </is>
      </c>
      <c r="E1418" t="inlineStr">
        <is>
          <t>BRÄCKE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37938-2025</t>
        </is>
      </c>
      <c r="B1419" s="1" t="n">
        <v>45880</v>
      </c>
      <c r="C1419" s="1" t="n">
        <v>45891</v>
      </c>
      <c r="D1419" t="inlineStr">
        <is>
          <t>JÄMTLANDS LÄN</t>
        </is>
      </c>
      <c r="E1419" t="inlineStr">
        <is>
          <t>BRÄCKE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37824-2025</t>
        </is>
      </c>
      <c r="B1420" s="1" t="n">
        <v>45881.40686342592</v>
      </c>
      <c r="C1420" s="1" t="n">
        <v>45891</v>
      </c>
      <c r="D1420" t="inlineStr">
        <is>
          <t>JÄMTLANDS LÄN</t>
        </is>
      </c>
      <c r="E1420" t="inlineStr">
        <is>
          <t>BRÄCKE</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32913-2025</t>
        </is>
      </c>
      <c r="B1421" s="1" t="n">
        <v>45839.63605324074</v>
      </c>
      <c r="C1421" s="1" t="n">
        <v>45891</v>
      </c>
      <c r="D1421" t="inlineStr">
        <is>
          <t>JÄMTLANDS LÄN</t>
        </is>
      </c>
      <c r="E1421" t="inlineStr">
        <is>
          <t>BRÄCKE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38072-2025</t>
        </is>
      </c>
      <c r="B1422" s="1" t="n">
        <v>45882</v>
      </c>
      <c r="C1422" s="1" t="n">
        <v>45891</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38095-2025</t>
        </is>
      </c>
      <c r="B1423" s="1" t="n">
        <v>45882.49050925926</v>
      </c>
      <c r="C1423" s="1" t="n">
        <v>45891</v>
      </c>
      <c r="D1423" t="inlineStr">
        <is>
          <t>JÄMTLANDS LÄN</t>
        </is>
      </c>
      <c r="E1423" t="inlineStr">
        <is>
          <t>BRÄCKE</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10815-2022</t>
        </is>
      </c>
      <c r="B1424" s="1" t="n">
        <v>44627</v>
      </c>
      <c r="C1424" s="1" t="n">
        <v>45891</v>
      </c>
      <c r="D1424" t="inlineStr">
        <is>
          <t>JÄMTLANDS LÄN</t>
        </is>
      </c>
      <c r="E1424" t="inlineStr">
        <is>
          <t>BRÄCKE</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53407-2022</t>
        </is>
      </c>
      <c r="B1425" s="1" t="n">
        <v>44874</v>
      </c>
      <c r="C1425" s="1" t="n">
        <v>45891</v>
      </c>
      <c r="D1425" t="inlineStr">
        <is>
          <t>JÄMTLANDS LÄN</t>
        </is>
      </c>
      <c r="E1425" t="inlineStr">
        <is>
          <t>BRÄCKE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60325-2021</t>
        </is>
      </c>
      <c r="B1426" s="1" t="n">
        <v>44495.94054398148</v>
      </c>
      <c r="C1426" s="1" t="n">
        <v>45891</v>
      </c>
      <c r="D1426" t="inlineStr">
        <is>
          <t>JÄMTLANDS LÄN</t>
        </is>
      </c>
      <c r="E1426" t="inlineStr">
        <is>
          <t>BRÄCKE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29314-2021</t>
        </is>
      </c>
      <c r="B1427" s="1" t="n">
        <v>44361</v>
      </c>
      <c r="C1427" s="1" t="n">
        <v>45891</v>
      </c>
      <c r="D1427" t="inlineStr">
        <is>
          <t>JÄMTLANDS LÄN</t>
        </is>
      </c>
      <c r="E1427" t="inlineStr">
        <is>
          <t>BRÄCKE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14178-2021</t>
        </is>
      </c>
      <c r="B1428" s="1" t="n">
        <v>44278</v>
      </c>
      <c r="C1428" s="1" t="n">
        <v>45891</v>
      </c>
      <c r="D1428" t="inlineStr">
        <is>
          <t>JÄMTLANDS LÄN</t>
        </is>
      </c>
      <c r="E1428" t="inlineStr">
        <is>
          <t>BRÄCKE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38030-2025</t>
        </is>
      </c>
      <c r="B1429" s="1" t="n">
        <v>45882.36521990741</v>
      </c>
      <c r="C1429" s="1" t="n">
        <v>45891</v>
      </c>
      <c r="D1429" t="inlineStr">
        <is>
          <t>JÄMTLANDS LÄN</t>
        </is>
      </c>
      <c r="E1429" t="inlineStr">
        <is>
          <t>BRÄCKE</t>
        </is>
      </c>
      <c r="F1429" t="inlineStr">
        <is>
          <t>SCA</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37974-2025</t>
        </is>
      </c>
      <c r="B1430" s="1" t="n">
        <v>45881.67743055556</v>
      </c>
      <c r="C1430" s="1" t="n">
        <v>45891</v>
      </c>
      <c r="D1430" t="inlineStr">
        <is>
          <t>JÄMTLANDS LÄN</t>
        </is>
      </c>
      <c r="E1430" t="inlineStr">
        <is>
          <t>BRÄCKE</t>
        </is>
      </c>
      <c r="F1430" t="inlineStr">
        <is>
          <t>SCA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37887-2025</t>
        </is>
      </c>
      <c r="B1431" s="1" t="n">
        <v>45881.51099537037</v>
      </c>
      <c r="C1431" s="1" t="n">
        <v>45891</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38025-2025</t>
        </is>
      </c>
      <c r="B1432" s="1" t="n">
        <v>45882.34527777778</v>
      </c>
      <c r="C1432" s="1" t="n">
        <v>45891</v>
      </c>
      <c r="D1432" t="inlineStr">
        <is>
          <t>JÄMTLANDS LÄN</t>
        </is>
      </c>
      <c r="E1432" t="inlineStr">
        <is>
          <t>BRÄCKE</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45891</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38324-2025</t>
        </is>
      </c>
      <c r="B1434" s="1" t="n">
        <v>45883.49037037037</v>
      </c>
      <c r="C1434" s="1" t="n">
        <v>45891</v>
      </c>
      <c r="D1434" t="inlineStr">
        <is>
          <t>JÄMTLANDS LÄN</t>
        </is>
      </c>
      <c r="E1434" t="inlineStr">
        <is>
          <t>BRÄCKE</t>
        </is>
      </c>
      <c r="F1434" t="inlineStr">
        <is>
          <t>SCA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38619-2025</t>
        </is>
      </c>
      <c r="B1435" s="1" t="n">
        <v>45884.55284722222</v>
      </c>
      <c r="C1435" s="1" t="n">
        <v>45891</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33956-2025</t>
        </is>
      </c>
      <c r="B1436" s="1" t="n">
        <v>45842.67746527777</v>
      </c>
      <c r="C1436" s="1" t="n">
        <v>45891</v>
      </c>
      <c r="D1436" t="inlineStr">
        <is>
          <t>JÄMTLANDS LÄN</t>
        </is>
      </c>
      <c r="E1436" t="inlineStr">
        <is>
          <t>BRÄCKE</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38379-2025</t>
        </is>
      </c>
      <c r="B1437" s="1" t="n">
        <v>45883.57377314815</v>
      </c>
      <c r="C1437" s="1" t="n">
        <v>45891</v>
      </c>
      <c r="D1437" t="inlineStr">
        <is>
          <t>JÄMTLANDS LÄN</t>
        </is>
      </c>
      <c r="E1437" t="inlineStr">
        <is>
          <t>BRÄCKE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11830-2024</t>
        </is>
      </c>
      <c r="B1438" s="1" t="n">
        <v>45376.35451388889</v>
      </c>
      <c r="C1438" s="1" t="n">
        <v>45891</v>
      </c>
      <c r="D1438" t="inlineStr">
        <is>
          <t>JÄMTLANDS LÄN</t>
        </is>
      </c>
      <c r="E1438" t="inlineStr">
        <is>
          <t>BRÄCKE</t>
        </is>
      </c>
      <c r="G1438" t="n">
        <v>18.3</v>
      </c>
      <c r="H1438" t="n">
        <v>0</v>
      </c>
      <c r="I1438" t="n">
        <v>0</v>
      </c>
      <c r="J1438" t="n">
        <v>0</v>
      </c>
      <c r="K1438" t="n">
        <v>0</v>
      </c>
      <c r="L1438" t="n">
        <v>0</v>
      </c>
      <c r="M1438" t="n">
        <v>0</v>
      </c>
      <c r="N1438" t="n">
        <v>0</v>
      </c>
      <c r="O1438" t="n">
        <v>0</v>
      </c>
      <c r="P1438" t="n">
        <v>0</v>
      </c>
      <c r="Q1438" t="n">
        <v>0</v>
      </c>
      <c r="R1438" s="2" t="inlineStr"/>
    </row>
    <row r="1439" ht="15" customHeight="1">
      <c r="A1439" t="inlineStr">
        <is>
          <t>A 38304-2025</t>
        </is>
      </c>
      <c r="B1439" s="1" t="n">
        <v>45883.46912037037</v>
      </c>
      <c r="C1439" s="1" t="n">
        <v>45891</v>
      </c>
      <c r="D1439" t="inlineStr">
        <is>
          <t>JÄMTLANDS LÄN</t>
        </is>
      </c>
      <c r="E1439" t="inlineStr">
        <is>
          <t>BRÄCKE</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26458-2022</t>
        </is>
      </c>
      <c r="B1440" s="1" t="n">
        <v>44739.34201388889</v>
      </c>
      <c r="C1440" s="1" t="n">
        <v>45891</v>
      </c>
      <c r="D1440" t="inlineStr">
        <is>
          <t>JÄMTLANDS LÄN</t>
        </is>
      </c>
      <c r="E1440" t="inlineStr">
        <is>
          <t>BRÄCKE</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41738-2023</t>
        </is>
      </c>
      <c r="B1441" s="1" t="n">
        <v>45176.418125</v>
      </c>
      <c r="C1441" s="1" t="n">
        <v>45891</v>
      </c>
      <c r="D1441" t="inlineStr">
        <is>
          <t>JÄMTLANDS LÄN</t>
        </is>
      </c>
      <c r="E1441" t="inlineStr">
        <is>
          <t>BRÄCKE</t>
        </is>
      </c>
      <c r="G1441" t="n">
        <v>12.7</v>
      </c>
      <c r="H1441" t="n">
        <v>0</v>
      </c>
      <c r="I1441" t="n">
        <v>0</v>
      </c>
      <c r="J1441" t="n">
        <v>0</v>
      </c>
      <c r="K1441" t="n">
        <v>0</v>
      </c>
      <c r="L1441" t="n">
        <v>0</v>
      </c>
      <c r="M1441" t="n">
        <v>0</v>
      </c>
      <c r="N1441" t="n">
        <v>0</v>
      </c>
      <c r="O1441" t="n">
        <v>0</v>
      </c>
      <c r="P1441" t="n">
        <v>0</v>
      </c>
      <c r="Q1441" t="n">
        <v>0</v>
      </c>
      <c r="R1441" s="2" t="inlineStr"/>
    </row>
    <row r="1442" ht="15" customHeight="1">
      <c r="A1442" t="inlineStr">
        <is>
          <t>A 7027-2022</t>
        </is>
      </c>
      <c r="B1442" s="1" t="n">
        <v>44603.46644675926</v>
      </c>
      <c r="C1442" s="1" t="n">
        <v>45891</v>
      </c>
      <c r="D1442" t="inlineStr">
        <is>
          <t>JÄMTLANDS LÄN</t>
        </is>
      </c>
      <c r="E1442" t="inlineStr">
        <is>
          <t>BRÄCKE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45414-2024</t>
        </is>
      </c>
      <c r="B1443" s="1" t="n">
        <v>45576.5943287037</v>
      </c>
      <c r="C1443" s="1" t="n">
        <v>45891</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54451-2023</t>
        </is>
      </c>
      <c r="B1444" s="1" t="n">
        <v>45233.44581018519</v>
      </c>
      <c r="C1444" s="1" t="n">
        <v>45891</v>
      </c>
      <c r="D1444" t="inlineStr">
        <is>
          <t>JÄMTLANDS LÄN</t>
        </is>
      </c>
      <c r="E1444" t="inlineStr">
        <is>
          <t>BRÄCKE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38241-2025</t>
        </is>
      </c>
      <c r="B1445" s="1" t="n">
        <v>45883.36541666667</v>
      </c>
      <c r="C1445" s="1" t="n">
        <v>45891</v>
      </c>
      <c r="D1445" t="inlineStr">
        <is>
          <t>JÄMTLANDS LÄN</t>
        </is>
      </c>
      <c r="E1445" t="inlineStr">
        <is>
          <t>BRÄCKE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33854-2025</t>
        </is>
      </c>
      <c r="B1446" s="1" t="n">
        <v>45842.51112268519</v>
      </c>
      <c r="C1446" s="1" t="n">
        <v>45891</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38326-2025</t>
        </is>
      </c>
      <c r="B1447" s="1" t="n">
        <v>45883.49070601852</v>
      </c>
      <c r="C1447" s="1" t="n">
        <v>45891</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38378-2025</t>
        </is>
      </c>
      <c r="B1448" s="1" t="n">
        <v>45883.57368055556</v>
      </c>
      <c r="C1448" s="1" t="n">
        <v>45891</v>
      </c>
      <c r="D1448" t="inlineStr">
        <is>
          <t>JÄMTLANDS LÄN</t>
        </is>
      </c>
      <c r="E1448" t="inlineStr">
        <is>
          <t>BRÄCKE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33648-2025</t>
        </is>
      </c>
      <c r="B1449" s="1" t="n">
        <v>45841.65681712963</v>
      </c>
      <c r="C1449" s="1" t="n">
        <v>45891</v>
      </c>
      <c r="D1449" t="inlineStr">
        <is>
          <t>JÄMTLANDS LÄN</t>
        </is>
      </c>
      <c r="E1449" t="inlineStr">
        <is>
          <t>BRÄCKE</t>
        </is>
      </c>
      <c r="F1449" t="inlineStr">
        <is>
          <t>SCA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38358-2025</t>
        </is>
      </c>
      <c r="B1450" s="1" t="n">
        <v>45883.5327662037</v>
      </c>
      <c r="C1450" s="1" t="n">
        <v>45891</v>
      </c>
      <c r="D1450" t="inlineStr">
        <is>
          <t>JÄMTLANDS LÄN</t>
        </is>
      </c>
      <c r="E1450" t="inlineStr">
        <is>
          <t>BRÄCKE</t>
        </is>
      </c>
      <c r="F1450" t="inlineStr">
        <is>
          <t>SCA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33868-2025</t>
        </is>
      </c>
      <c r="B1451" s="1" t="n">
        <v>45842.53967592592</v>
      </c>
      <c r="C1451" s="1" t="n">
        <v>45891</v>
      </c>
      <c r="D1451" t="inlineStr">
        <is>
          <t>JÄMTLANDS LÄN</t>
        </is>
      </c>
      <c r="E1451" t="inlineStr">
        <is>
          <t>BRÄCKE</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33900-2025</t>
        </is>
      </c>
      <c r="B1452" s="1" t="n">
        <v>45842.59454861111</v>
      </c>
      <c r="C1452" s="1" t="n">
        <v>45891</v>
      </c>
      <c r="D1452" t="inlineStr">
        <is>
          <t>JÄMTLANDS LÄN</t>
        </is>
      </c>
      <c r="E1452" t="inlineStr">
        <is>
          <t>BRÄCKE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33937-2025</t>
        </is>
      </c>
      <c r="B1453" s="1" t="n">
        <v>45842.63650462963</v>
      </c>
      <c r="C1453" s="1" t="n">
        <v>45891</v>
      </c>
      <c r="D1453" t="inlineStr">
        <is>
          <t>JÄMTLANDS LÄN</t>
        </is>
      </c>
      <c r="E1453" t="inlineStr">
        <is>
          <t>BRÄCKE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33902-2025</t>
        </is>
      </c>
      <c r="B1454" s="1" t="n">
        <v>45842.59513888889</v>
      </c>
      <c r="C1454" s="1" t="n">
        <v>45891</v>
      </c>
      <c r="D1454" t="inlineStr">
        <is>
          <t>JÄMTLANDS LÄN</t>
        </is>
      </c>
      <c r="E1454" t="inlineStr">
        <is>
          <t>BRÄCKE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33776-2025</t>
        </is>
      </c>
      <c r="B1455" s="1" t="n">
        <v>45842.39412037037</v>
      </c>
      <c r="C1455" s="1" t="n">
        <v>45891</v>
      </c>
      <c r="D1455" t="inlineStr">
        <is>
          <t>JÄMTLANDS LÄN</t>
        </is>
      </c>
      <c r="E1455" t="inlineStr">
        <is>
          <t>BRÄCKE</t>
        </is>
      </c>
      <c r="F1455" t="inlineStr">
        <is>
          <t>Övriga Aktiebolag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33538-2021</t>
        </is>
      </c>
      <c r="B1456" s="1" t="n">
        <v>44377</v>
      </c>
      <c r="C1456" s="1" t="n">
        <v>45891</v>
      </c>
      <c r="D1456" t="inlineStr">
        <is>
          <t>JÄMTLANDS LÄN</t>
        </is>
      </c>
      <c r="E1456" t="inlineStr">
        <is>
          <t>BRÄCKE</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38278-2025</t>
        </is>
      </c>
      <c r="B1457" s="1" t="n">
        <v>45883.41405092592</v>
      </c>
      <c r="C1457" s="1" t="n">
        <v>45891</v>
      </c>
      <c r="D1457" t="inlineStr">
        <is>
          <t>JÄMTLANDS LÄN</t>
        </is>
      </c>
      <c r="E1457" t="inlineStr">
        <is>
          <t>BRÄCKE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38361-2025</t>
        </is>
      </c>
      <c r="B1458" s="1" t="n">
        <v>45883.53303240741</v>
      </c>
      <c r="C1458" s="1" t="n">
        <v>45891</v>
      </c>
      <c r="D1458" t="inlineStr">
        <is>
          <t>JÄMTLANDS LÄN</t>
        </is>
      </c>
      <c r="E1458" t="inlineStr">
        <is>
          <t>BRÄCKE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38333-2025</t>
        </is>
      </c>
      <c r="B1459" s="1" t="n">
        <v>45883.49164351852</v>
      </c>
      <c r="C1459" s="1" t="n">
        <v>45891</v>
      </c>
      <c r="D1459" t="inlineStr">
        <is>
          <t>JÄMTLANDS LÄN</t>
        </is>
      </c>
      <c r="E1459" t="inlineStr">
        <is>
          <t>BRÄCKE</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38391-2025</t>
        </is>
      </c>
      <c r="B1460" s="1" t="n">
        <v>45883.57501157407</v>
      </c>
      <c r="C1460" s="1" t="n">
        <v>45891</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38352-2025</t>
        </is>
      </c>
      <c r="B1461" s="1" t="n">
        <v>45883.53186342592</v>
      </c>
      <c r="C1461" s="1" t="n">
        <v>45891</v>
      </c>
      <c r="D1461" t="inlineStr">
        <is>
          <t>JÄMTLANDS LÄN</t>
        </is>
      </c>
      <c r="E1461" t="inlineStr">
        <is>
          <t>BRÄCKE</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38353-2025</t>
        </is>
      </c>
      <c r="B1462" s="1" t="n">
        <v>45883.53201388889</v>
      </c>
      <c r="C1462" s="1" t="n">
        <v>45891</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20265-2023</t>
        </is>
      </c>
      <c r="B1463" s="1" t="n">
        <v>45055.94337962963</v>
      </c>
      <c r="C1463" s="1" t="n">
        <v>45891</v>
      </c>
      <c r="D1463" t="inlineStr">
        <is>
          <t>JÄMTLANDS LÄN</t>
        </is>
      </c>
      <c r="E1463" t="inlineStr">
        <is>
          <t>BRÄCKE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66859-2020</t>
        </is>
      </c>
      <c r="B1464" s="1" t="n">
        <v>44179</v>
      </c>
      <c r="C1464" s="1" t="n">
        <v>45891</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22981-2024</t>
        </is>
      </c>
      <c r="B1465" s="1" t="n">
        <v>45449.90369212963</v>
      </c>
      <c r="C1465" s="1" t="n">
        <v>45891</v>
      </c>
      <c r="D1465" t="inlineStr">
        <is>
          <t>JÄMTLANDS LÄN</t>
        </is>
      </c>
      <c r="E1465" t="inlineStr">
        <is>
          <t>BRÄCKE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33796-2025</t>
        </is>
      </c>
      <c r="B1466" s="1" t="n">
        <v>45842.43670138889</v>
      </c>
      <c r="C1466" s="1" t="n">
        <v>45891</v>
      </c>
      <c r="D1466" t="inlineStr">
        <is>
          <t>JÄMTLANDS LÄN</t>
        </is>
      </c>
      <c r="E1466" t="inlineStr">
        <is>
          <t>BRÄCKE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38245-2025</t>
        </is>
      </c>
      <c r="B1467" s="1" t="n">
        <v>45883.36563657408</v>
      </c>
      <c r="C1467" s="1" t="n">
        <v>45891</v>
      </c>
      <c r="D1467" t="inlineStr">
        <is>
          <t>JÄMTLANDS LÄN</t>
        </is>
      </c>
      <c r="E1467" t="inlineStr">
        <is>
          <t>BRÄCKE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12036-2023</t>
        </is>
      </c>
      <c r="B1468" s="1" t="n">
        <v>44995</v>
      </c>
      <c r="C1468" s="1" t="n">
        <v>45891</v>
      </c>
      <c r="D1468" t="inlineStr">
        <is>
          <t>JÄMTLANDS LÄN</t>
        </is>
      </c>
      <c r="E1468" t="inlineStr">
        <is>
          <t>BRÄCKE</t>
        </is>
      </c>
      <c r="G1468" t="n">
        <v>16.3</v>
      </c>
      <c r="H1468" t="n">
        <v>0</v>
      </c>
      <c r="I1468" t="n">
        <v>0</v>
      </c>
      <c r="J1468" t="n">
        <v>0</v>
      </c>
      <c r="K1468" t="n">
        <v>0</v>
      </c>
      <c r="L1468" t="n">
        <v>0</v>
      </c>
      <c r="M1468" t="n">
        <v>0</v>
      </c>
      <c r="N1468" t="n">
        <v>0</v>
      </c>
      <c r="O1468" t="n">
        <v>0</v>
      </c>
      <c r="P1468" t="n">
        <v>0</v>
      </c>
      <c r="Q1468" t="n">
        <v>0</v>
      </c>
      <c r="R1468" s="2" t="inlineStr"/>
    </row>
    <row r="1469" ht="15" customHeight="1">
      <c r="A1469" t="inlineStr">
        <is>
          <t>A 38381-2025</t>
        </is>
      </c>
      <c r="B1469" s="1" t="n">
        <v>45883.57380787037</v>
      </c>
      <c r="C1469" s="1" t="n">
        <v>45891</v>
      </c>
      <c r="D1469" t="inlineStr">
        <is>
          <t>JÄMTLANDS LÄN</t>
        </is>
      </c>
      <c r="E1469" t="inlineStr">
        <is>
          <t>BRÄCKE</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38328-2025</t>
        </is>
      </c>
      <c r="B1470" s="1" t="n">
        <v>45883.4909837963</v>
      </c>
      <c r="C1470" s="1" t="n">
        <v>45891</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38329-2025</t>
        </is>
      </c>
      <c r="B1471" s="1" t="n">
        <v>45883.49111111111</v>
      </c>
      <c r="C1471" s="1" t="n">
        <v>45891</v>
      </c>
      <c r="D1471" t="inlineStr">
        <is>
          <t>JÄMTLANDS LÄN</t>
        </is>
      </c>
      <c r="E1471" t="inlineStr">
        <is>
          <t>BRÄCKE</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33873-2025</t>
        </is>
      </c>
      <c r="B1472" s="1" t="n">
        <v>45842.54912037037</v>
      </c>
      <c r="C1472" s="1" t="n">
        <v>45891</v>
      </c>
      <c r="D1472" t="inlineStr">
        <is>
          <t>JÄMTLANDS LÄN</t>
        </is>
      </c>
      <c r="E1472" t="inlineStr">
        <is>
          <t>BRÄCKE</t>
        </is>
      </c>
      <c r="F1472" t="inlineStr">
        <is>
          <t>Övriga Aktiebolag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38456-2025</t>
        </is>
      </c>
      <c r="B1473" s="1" t="n">
        <v>45883.69831018519</v>
      </c>
      <c r="C1473" s="1" t="n">
        <v>45891</v>
      </c>
      <c r="D1473" t="inlineStr">
        <is>
          <t>JÄMTLANDS LÄN</t>
        </is>
      </c>
      <c r="E1473" t="inlineStr">
        <is>
          <t>BRÄCKE</t>
        </is>
      </c>
      <c r="F1473" t="inlineStr">
        <is>
          <t>SCA</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38459-2025</t>
        </is>
      </c>
      <c r="B1474" s="1" t="n">
        <v>45883.71927083333</v>
      </c>
      <c r="C1474" s="1" t="n">
        <v>45891</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38461-2025</t>
        </is>
      </c>
      <c r="B1475" s="1" t="n">
        <v>45883.71962962963</v>
      </c>
      <c r="C1475" s="1" t="n">
        <v>45891</v>
      </c>
      <c r="D1475" t="inlineStr">
        <is>
          <t>JÄMTLANDS LÄN</t>
        </is>
      </c>
      <c r="E1475" t="inlineStr">
        <is>
          <t>BRÄCKE</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34189-2025</t>
        </is>
      </c>
      <c r="B1476" s="1" t="n">
        <v>45845.61555555555</v>
      </c>
      <c r="C1476" s="1" t="n">
        <v>45891</v>
      </c>
      <c r="D1476" t="inlineStr">
        <is>
          <t>JÄMTLANDS LÄN</t>
        </is>
      </c>
      <c r="E1476" t="inlineStr">
        <is>
          <t>BRÄCKE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46860-2023</t>
        </is>
      </c>
      <c r="B1477" s="1" t="n">
        <v>45200.12724537037</v>
      </c>
      <c r="C1477" s="1" t="n">
        <v>45891</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34338-2025</t>
        </is>
      </c>
      <c r="B1478" s="1" t="n">
        <v>45846.45711805556</v>
      </c>
      <c r="C1478" s="1" t="n">
        <v>45891</v>
      </c>
      <c r="D1478" t="inlineStr">
        <is>
          <t>JÄMTLANDS LÄN</t>
        </is>
      </c>
      <c r="E1478" t="inlineStr">
        <is>
          <t>BRÄCKE</t>
        </is>
      </c>
      <c r="G1478" t="n">
        <v>13.3</v>
      </c>
      <c r="H1478" t="n">
        <v>0</v>
      </c>
      <c r="I1478" t="n">
        <v>0</v>
      </c>
      <c r="J1478" t="n">
        <v>0</v>
      </c>
      <c r="K1478" t="n">
        <v>0</v>
      </c>
      <c r="L1478" t="n">
        <v>0</v>
      </c>
      <c r="M1478" t="n">
        <v>0</v>
      </c>
      <c r="N1478" t="n">
        <v>0</v>
      </c>
      <c r="O1478" t="n">
        <v>0</v>
      </c>
      <c r="P1478" t="n">
        <v>0</v>
      </c>
      <c r="Q1478" t="n">
        <v>0</v>
      </c>
      <c r="R1478" s="2" t="inlineStr"/>
    </row>
    <row r="1479" ht="15" customHeight="1">
      <c r="A1479" t="inlineStr">
        <is>
          <t>A 38775-2025</t>
        </is>
      </c>
      <c r="B1479" s="1" t="n">
        <v>45887.42667824074</v>
      </c>
      <c r="C1479" s="1" t="n">
        <v>45891</v>
      </c>
      <c r="D1479" t="inlineStr">
        <is>
          <t>JÄMTLANDS LÄN</t>
        </is>
      </c>
      <c r="E1479" t="inlineStr">
        <is>
          <t>BRÄCKE</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38811-2025</t>
        </is>
      </c>
      <c r="B1480" s="1" t="n">
        <v>45887.48994212963</v>
      </c>
      <c r="C1480" s="1" t="n">
        <v>45891</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38835-2025</t>
        </is>
      </c>
      <c r="B1481" s="1" t="n">
        <v>45887.53195601852</v>
      </c>
      <c r="C1481" s="1" t="n">
        <v>45891</v>
      </c>
      <c r="D1481" t="inlineStr">
        <is>
          <t>JÄMTLANDS LÄN</t>
        </is>
      </c>
      <c r="E1481" t="inlineStr">
        <is>
          <t>BRÄCKE</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38847-2025</t>
        </is>
      </c>
      <c r="B1482" s="1" t="n">
        <v>45887.54438657407</v>
      </c>
      <c r="C1482" s="1" t="n">
        <v>45891</v>
      </c>
      <c r="D1482" t="inlineStr">
        <is>
          <t>JÄMTLANDS LÄN</t>
        </is>
      </c>
      <c r="E1482" t="inlineStr">
        <is>
          <t>BRÄCKE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8780-2025</t>
        </is>
      </c>
      <c r="B1483" s="1" t="n">
        <v>45712.615625</v>
      </c>
      <c r="C1483" s="1" t="n">
        <v>45891</v>
      </c>
      <c r="D1483" t="inlineStr">
        <is>
          <t>JÄMTLANDS LÄN</t>
        </is>
      </c>
      <c r="E1483" t="inlineStr">
        <is>
          <t>BRÄCKE</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34294-2025</t>
        </is>
      </c>
      <c r="B1484" s="1" t="n">
        <v>45846.34422453704</v>
      </c>
      <c r="C1484" s="1" t="n">
        <v>45891</v>
      </c>
      <c r="D1484" t="inlineStr">
        <is>
          <t>JÄMTLANDS LÄN</t>
        </is>
      </c>
      <c r="E1484" t="inlineStr">
        <is>
          <t>BRÄCKE</t>
        </is>
      </c>
      <c r="F1484" t="inlineStr">
        <is>
          <t>SCA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21183-2023</t>
        </is>
      </c>
      <c r="B1485" s="1" t="n">
        <v>45058</v>
      </c>
      <c r="C1485" s="1" t="n">
        <v>45891</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39117-2025</t>
        </is>
      </c>
      <c r="B1486" s="1" t="n">
        <v>45888.55275462963</v>
      </c>
      <c r="C1486" s="1" t="n">
        <v>45891</v>
      </c>
      <c r="D1486" t="inlineStr">
        <is>
          <t>JÄMTLANDS LÄN</t>
        </is>
      </c>
      <c r="E1486" t="inlineStr">
        <is>
          <t>BRÄCKE</t>
        </is>
      </c>
      <c r="F1486" t="inlineStr">
        <is>
          <t>SCA</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39052-2025</t>
        </is>
      </c>
      <c r="B1487" s="1" t="n">
        <v>45888.44829861111</v>
      </c>
      <c r="C1487" s="1" t="n">
        <v>45891</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34102-2025</t>
        </is>
      </c>
      <c r="B1488" s="1" t="n">
        <v>45845.49</v>
      </c>
      <c r="C1488" s="1" t="n">
        <v>45891</v>
      </c>
      <c r="D1488" t="inlineStr">
        <is>
          <t>JÄMTLANDS LÄN</t>
        </is>
      </c>
      <c r="E1488" t="inlineStr">
        <is>
          <t>BRÄCKE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34322-2025</t>
        </is>
      </c>
      <c r="B1489" s="1" t="n">
        <v>45846.42747685185</v>
      </c>
      <c r="C1489" s="1" t="n">
        <v>45891</v>
      </c>
      <c r="D1489" t="inlineStr">
        <is>
          <t>JÄMTLANDS LÄN</t>
        </is>
      </c>
      <c r="E1489" t="inlineStr">
        <is>
          <t>BRÄCKE</t>
        </is>
      </c>
      <c r="F1489" t="inlineStr">
        <is>
          <t>SCA</t>
        </is>
      </c>
      <c r="G1489" t="n">
        <v>32.6</v>
      </c>
      <c r="H1489" t="n">
        <v>0</v>
      </c>
      <c r="I1489" t="n">
        <v>0</v>
      </c>
      <c r="J1489" t="n">
        <v>0</v>
      </c>
      <c r="K1489" t="n">
        <v>0</v>
      </c>
      <c r="L1489" t="n">
        <v>0</v>
      </c>
      <c r="M1489" t="n">
        <v>0</v>
      </c>
      <c r="N1489" t="n">
        <v>0</v>
      </c>
      <c r="O1489" t="n">
        <v>0</v>
      </c>
      <c r="P1489" t="n">
        <v>0</v>
      </c>
      <c r="Q1489" t="n">
        <v>0</v>
      </c>
      <c r="R1489" s="2" t="inlineStr"/>
    </row>
    <row r="1490" ht="15" customHeight="1">
      <c r="A1490" t="inlineStr">
        <is>
          <t>A 30592-2021</t>
        </is>
      </c>
      <c r="B1490" s="1" t="n">
        <v>44364.93850694445</v>
      </c>
      <c r="C1490" s="1" t="n">
        <v>45891</v>
      </c>
      <c r="D1490" t="inlineStr">
        <is>
          <t>JÄMTLANDS LÄN</t>
        </is>
      </c>
      <c r="E1490" t="inlineStr">
        <is>
          <t>BRÄCKE</t>
        </is>
      </c>
      <c r="F1490" t="inlineStr">
        <is>
          <t>SCA</t>
        </is>
      </c>
      <c r="G1490" t="n">
        <v>22.4</v>
      </c>
      <c r="H1490" t="n">
        <v>0</v>
      </c>
      <c r="I1490" t="n">
        <v>0</v>
      </c>
      <c r="J1490" t="n">
        <v>0</v>
      </c>
      <c r="K1490" t="n">
        <v>0</v>
      </c>
      <c r="L1490" t="n">
        <v>0</v>
      </c>
      <c r="M1490" t="n">
        <v>0</v>
      </c>
      <c r="N1490" t="n">
        <v>0</v>
      </c>
      <c r="O1490" t="n">
        <v>0</v>
      </c>
      <c r="P1490" t="n">
        <v>0</v>
      </c>
      <c r="Q1490" t="n">
        <v>0</v>
      </c>
      <c r="R1490" s="2" t="inlineStr"/>
    </row>
    <row r="1491" ht="15" customHeight="1">
      <c r="A1491" t="inlineStr">
        <is>
          <t>A 61662-2022</t>
        </is>
      </c>
      <c r="B1491" s="1" t="n">
        <v>44916.96359953703</v>
      </c>
      <c r="C1491" s="1" t="n">
        <v>45891</v>
      </c>
      <c r="D1491" t="inlineStr">
        <is>
          <t>JÄMTLANDS LÄN</t>
        </is>
      </c>
      <c r="E1491" t="inlineStr">
        <is>
          <t>BRÄCKE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34087-2025</t>
        </is>
      </c>
      <c r="B1492" s="1" t="n">
        <v>45845.46913194445</v>
      </c>
      <c r="C1492" s="1" t="n">
        <v>45891</v>
      </c>
      <c r="D1492" t="inlineStr">
        <is>
          <t>JÄMTLANDS LÄN</t>
        </is>
      </c>
      <c r="E1492" t="inlineStr">
        <is>
          <t>BRÄCKE</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25674-2023</t>
        </is>
      </c>
      <c r="B1493" s="1" t="n">
        <v>45089</v>
      </c>
      <c r="C1493" s="1" t="n">
        <v>45891</v>
      </c>
      <c r="D1493" t="inlineStr">
        <is>
          <t>JÄMTLANDS LÄN</t>
        </is>
      </c>
      <c r="E1493" t="inlineStr">
        <is>
          <t>BRÄCKE</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39087-2025</t>
        </is>
      </c>
      <c r="B1494" s="1" t="n">
        <v>45888.49076388889</v>
      </c>
      <c r="C1494" s="1" t="n">
        <v>45891</v>
      </c>
      <c r="D1494" t="inlineStr">
        <is>
          <t>JÄMTLANDS LÄN</t>
        </is>
      </c>
      <c r="E1494" t="inlineStr">
        <is>
          <t>BRÄCKE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39100-2025</t>
        </is>
      </c>
      <c r="B1495" s="1" t="n">
        <v>45888.5108912037</v>
      </c>
      <c r="C1495" s="1" t="n">
        <v>45891</v>
      </c>
      <c r="D1495" t="inlineStr">
        <is>
          <t>JÄMTLANDS LÄN</t>
        </is>
      </c>
      <c r="E1495" t="inlineStr">
        <is>
          <t>BRÄCKE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39116-2025</t>
        </is>
      </c>
      <c r="B1496" s="1" t="n">
        <v>45888.55255787037</v>
      </c>
      <c r="C1496" s="1" t="n">
        <v>45891</v>
      </c>
      <c r="D1496" t="inlineStr">
        <is>
          <t>JÄMTLANDS LÄN</t>
        </is>
      </c>
      <c r="E1496" t="inlineStr">
        <is>
          <t>BRÄCKE</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34155-2025</t>
        </is>
      </c>
      <c r="B1497" s="1" t="n">
        <v>45845.57334490741</v>
      </c>
      <c r="C1497" s="1" t="n">
        <v>45891</v>
      </c>
      <c r="D1497" t="inlineStr">
        <is>
          <t>JÄMTLANDS LÄN</t>
        </is>
      </c>
      <c r="E1497" t="inlineStr">
        <is>
          <t>BRÄCKE</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38812-2025</t>
        </is>
      </c>
      <c r="B1498" s="1" t="n">
        <v>45887.49016203704</v>
      </c>
      <c r="C1498" s="1" t="n">
        <v>45891</v>
      </c>
      <c r="D1498" t="inlineStr">
        <is>
          <t>JÄMTLANDS LÄN</t>
        </is>
      </c>
      <c r="E1498" t="inlineStr">
        <is>
          <t>BRÄCKE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38834-2025</t>
        </is>
      </c>
      <c r="B1499" s="1" t="n">
        <v>45887.53174768519</v>
      </c>
      <c r="C1499" s="1" t="n">
        <v>45891</v>
      </c>
      <c r="D1499" t="inlineStr">
        <is>
          <t>JÄMTLANDS LÄN</t>
        </is>
      </c>
      <c r="E1499" t="inlineStr">
        <is>
          <t>BRÄCKE</t>
        </is>
      </c>
      <c r="F1499" t="inlineStr">
        <is>
          <t>SCA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9150-2025</t>
        </is>
      </c>
      <c r="B1500" s="1" t="n">
        <v>45714.34436342592</v>
      </c>
      <c r="C1500" s="1" t="n">
        <v>45891</v>
      </c>
      <c r="D1500" t="inlineStr">
        <is>
          <t>JÄMTLANDS LÄN</t>
        </is>
      </c>
      <c r="E1500" t="inlineStr">
        <is>
          <t>BRÄCKE</t>
        </is>
      </c>
      <c r="F1500" t="inlineStr">
        <is>
          <t>SCA</t>
        </is>
      </c>
      <c r="G1500" t="n">
        <v>29.6</v>
      </c>
      <c r="H1500" t="n">
        <v>0</v>
      </c>
      <c r="I1500" t="n">
        <v>0</v>
      </c>
      <c r="J1500" t="n">
        <v>0</v>
      </c>
      <c r="K1500" t="n">
        <v>0</v>
      </c>
      <c r="L1500" t="n">
        <v>0</v>
      </c>
      <c r="M1500" t="n">
        <v>0</v>
      </c>
      <c r="N1500" t="n">
        <v>0</v>
      </c>
      <c r="O1500" t="n">
        <v>0</v>
      </c>
      <c r="P1500" t="n">
        <v>0</v>
      </c>
      <c r="Q1500" t="n">
        <v>0</v>
      </c>
      <c r="R1500" s="2" t="inlineStr"/>
    </row>
    <row r="1501" ht="15" customHeight="1">
      <c r="A1501" t="inlineStr">
        <is>
          <t>A 38842-2025</t>
        </is>
      </c>
      <c r="B1501" s="1" t="n">
        <v>45887.54003472222</v>
      </c>
      <c r="C1501" s="1" t="n">
        <v>45891</v>
      </c>
      <c r="D1501" t="inlineStr">
        <is>
          <t>JÄMTLANDS LÄN</t>
        </is>
      </c>
      <c r="E1501" t="inlineStr">
        <is>
          <t>BRÄCKE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17905-2025</t>
        </is>
      </c>
      <c r="B1502" s="1" t="n">
        <v>45758.71907407408</v>
      </c>
      <c r="C1502" s="1" t="n">
        <v>45891</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39086-2025</t>
        </is>
      </c>
      <c r="B1503" s="1" t="n">
        <v>45888.49046296296</v>
      </c>
      <c r="C1503" s="1" t="n">
        <v>45891</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39088-2025</t>
        </is>
      </c>
      <c r="B1504" s="1" t="n">
        <v>45888.49105324074</v>
      </c>
      <c r="C1504" s="1" t="n">
        <v>45891</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49646-2023</t>
        </is>
      </c>
      <c r="B1505" s="1" t="n">
        <v>45211</v>
      </c>
      <c r="C1505" s="1" t="n">
        <v>45891</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39666-2025</t>
        </is>
      </c>
      <c r="B1506" s="1" t="n">
        <v>45890.63628472222</v>
      </c>
      <c r="C1506" s="1" t="n">
        <v>45891</v>
      </c>
      <c r="D1506" t="inlineStr">
        <is>
          <t>JÄMTLANDS LÄN</t>
        </is>
      </c>
      <c r="E1506" t="inlineStr">
        <is>
          <t>BRÄCKE</t>
        </is>
      </c>
      <c r="F1506" t="inlineStr">
        <is>
          <t>SCA</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34773-2025</t>
        </is>
      </c>
      <c r="B1507" s="1" t="n">
        <v>45848.65672453704</v>
      </c>
      <c r="C1507" s="1" t="n">
        <v>45891</v>
      </c>
      <c r="D1507" t="inlineStr">
        <is>
          <t>JÄMTLANDS LÄN</t>
        </is>
      </c>
      <c r="E1507" t="inlineStr">
        <is>
          <t>BRÄCKE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34746-2025</t>
        </is>
      </c>
      <c r="B1508" s="1" t="n">
        <v>45848.61505787037</v>
      </c>
      <c r="C1508" s="1" t="n">
        <v>45891</v>
      </c>
      <c r="D1508" t="inlineStr">
        <is>
          <t>JÄMTLANDS LÄN</t>
        </is>
      </c>
      <c r="E1508" t="inlineStr">
        <is>
          <t>BRÄCKE</t>
        </is>
      </c>
      <c r="F1508" t="inlineStr">
        <is>
          <t>SCA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39272-2025</t>
        </is>
      </c>
      <c r="B1509" s="1" t="n">
        <v>45889.38640046296</v>
      </c>
      <c r="C1509" s="1" t="n">
        <v>45891</v>
      </c>
      <c r="D1509" t="inlineStr">
        <is>
          <t>JÄMTLANDS LÄN</t>
        </is>
      </c>
      <c r="E1509" t="inlineStr">
        <is>
          <t>BRÄCKE</t>
        </is>
      </c>
      <c r="F1509" t="inlineStr">
        <is>
          <t>SCA</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20667-2022</t>
        </is>
      </c>
      <c r="B1510" s="1" t="n">
        <v>44700.65226851852</v>
      </c>
      <c r="C1510" s="1" t="n">
        <v>45891</v>
      </c>
      <c r="D1510" t="inlineStr">
        <is>
          <t>JÄMTLANDS LÄN</t>
        </is>
      </c>
      <c r="E1510" t="inlineStr">
        <is>
          <t>BRÄCKE</t>
        </is>
      </c>
      <c r="G1510" t="n">
        <v>13.8</v>
      </c>
      <c r="H1510" t="n">
        <v>0</v>
      </c>
      <c r="I1510" t="n">
        <v>0</v>
      </c>
      <c r="J1510" t="n">
        <v>0</v>
      </c>
      <c r="K1510" t="n">
        <v>0</v>
      </c>
      <c r="L1510" t="n">
        <v>0</v>
      </c>
      <c r="M1510" t="n">
        <v>0</v>
      </c>
      <c r="N1510" t="n">
        <v>0</v>
      </c>
      <c r="O1510" t="n">
        <v>0</v>
      </c>
      <c r="P1510" t="n">
        <v>0</v>
      </c>
      <c r="Q1510" t="n">
        <v>0</v>
      </c>
      <c r="R1510" s="2" t="inlineStr"/>
    </row>
    <row r="1511" ht="15" customHeight="1">
      <c r="A1511" t="inlineStr">
        <is>
          <t>A 34786-2025</t>
        </is>
      </c>
      <c r="B1511" s="1" t="n">
        <v>45848.67784722222</v>
      </c>
      <c r="C1511" s="1" t="n">
        <v>45891</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2483-2025</t>
        </is>
      </c>
      <c r="B1512" s="1" t="n">
        <v>45673</v>
      </c>
      <c r="C1512" s="1" t="n">
        <v>45891</v>
      </c>
      <c r="D1512" t="inlineStr">
        <is>
          <t>JÄMTLANDS LÄN</t>
        </is>
      </c>
      <c r="E1512" t="inlineStr">
        <is>
          <t>BRÄCKE</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39532-2025</t>
        </is>
      </c>
      <c r="B1513" s="1" t="n">
        <v>45890.44847222222</v>
      </c>
      <c r="C1513" s="1" t="n">
        <v>45891</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39505-2025</t>
        </is>
      </c>
      <c r="B1514" s="1" t="n">
        <v>45890.40689814815</v>
      </c>
      <c r="C1514" s="1" t="n">
        <v>45891</v>
      </c>
      <c r="D1514" t="inlineStr">
        <is>
          <t>JÄMTLANDS LÄN</t>
        </is>
      </c>
      <c r="E1514" t="inlineStr">
        <is>
          <t>BRÄCKE</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39535-2025</t>
        </is>
      </c>
      <c r="B1515" s="1" t="n">
        <v>45890.44881944444</v>
      </c>
      <c r="C1515" s="1" t="n">
        <v>45891</v>
      </c>
      <c r="D1515" t="inlineStr">
        <is>
          <t>JÄMTLANDS LÄN</t>
        </is>
      </c>
      <c r="E1515" t="inlineStr">
        <is>
          <t>BRÄCKE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34518-2025</t>
        </is>
      </c>
      <c r="B1516" s="1" t="n">
        <v>45847.46910879629</v>
      </c>
      <c r="C1516" s="1" t="n">
        <v>45891</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39487-2025</t>
        </is>
      </c>
      <c r="B1517" s="1" t="n">
        <v>45890.3650462963</v>
      </c>
      <c r="C1517" s="1" t="n">
        <v>45891</v>
      </c>
      <c r="D1517" t="inlineStr">
        <is>
          <t>JÄMTLANDS LÄN</t>
        </is>
      </c>
      <c r="E1517" t="inlineStr">
        <is>
          <t>BRÄCKE</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39506-2025</t>
        </is>
      </c>
      <c r="B1518" s="1" t="n">
        <v>45890.40703703704</v>
      </c>
      <c r="C1518" s="1" t="n">
        <v>45891</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34460-2025</t>
        </is>
      </c>
      <c r="B1519" s="1" t="n">
        <v>45847.34458333333</v>
      </c>
      <c r="C1519" s="1" t="n">
        <v>45891</v>
      </c>
      <c r="D1519" t="inlineStr">
        <is>
          <t>JÄMTLANDS LÄN</t>
        </is>
      </c>
      <c r="E1519" t="inlineStr">
        <is>
          <t>BRÄCKE</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34613-2025</t>
        </is>
      </c>
      <c r="B1520" s="1" t="n">
        <v>45847.67751157407</v>
      </c>
      <c r="C1520" s="1" t="n">
        <v>45891</v>
      </c>
      <c r="D1520" t="inlineStr">
        <is>
          <t>JÄMTLANDS LÄN</t>
        </is>
      </c>
      <c r="E1520" t="inlineStr">
        <is>
          <t>BRÄCKE</t>
        </is>
      </c>
      <c r="F1520" t="inlineStr">
        <is>
          <t>SCA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34614-2025</t>
        </is>
      </c>
      <c r="B1521" s="1" t="n">
        <v>45847.67768518518</v>
      </c>
      <c r="C1521" s="1" t="n">
        <v>45891</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39355-2025</t>
        </is>
      </c>
      <c r="B1522" s="1" t="n">
        <v>45889.55252314815</v>
      </c>
      <c r="C1522" s="1" t="n">
        <v>45891</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23081-2024</t>
        </is>
      </c>
      <c r="B1523" s="1" t="n">
        <v>45450.50152777778</v>
      </c>
      <c r="C1523" s="1" t="n">
        <v>45891</v>
      </c>
      <c r="D1523" t="inlineStr">
        <is>
          <t>JÄMTLANDS LÄN</t>
        </is>
      </c>
      <c r="E1523" t="inlineStr">
        <is>
          <t>BRÄCKE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34783-2025</t>
        </is>
      </c>
      <c r="B1524" s="1" t="n">
        <v>45848.67740740741</v>
      </c>
      <c r="C1524" s="1" t="n">
        <v>45891</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39273-2025</t>
        </is>
      </c>
      <c r="B1525" s="1" t="n">
        <v>45889.38655092593</v>
      </c>
      <c r="C1525" s="1" t="n">
        <v>45891</v>
      </c>
      <c r="D1525" t="inlineStr">
        <is>
          <t>JÄMTLANDS LÄN</t>
        </is>
      </c>
      <c r="E1525" t="inlineStr">
        <is>
          <t>BRÄCKE</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39680-2025</t>
        </is>
      </c>
      <c r="B1526" s="1" t="n">
        <v>45890.65677083333</v>
      </c>
      <c r="C1526" s="1" t="n">
        <v>45891</v>
      </c>
      <c r="D1526" t="inlineStr">
        <is>
          <t>JÄMTLANDS LÄN</t>
        </is>
      </c>
      <c r="E1526" t="inlineStr">
        <is>
          <t>BRÄCKE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61663-2022</t>
        </is>
      </c>
      <c r="B1527" s="1" t="n">
        <v>44916</v>
      </c>
      <c r="C1527" s="1" t="n">
        <v>45891</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24717-2022</t>
        </is>
      </c>
      <c r="B1528" s="1" t="n">
        <v>44727</v>
      </c>
      <c r="C1528" s="1" t="n">
        <v>45891</v>
      </c>
      <c r="D1528" t="inlineStr">
        <is>
          <t>JÄMTLANDS LÄN</t>
        </is>
      </c>
      <c r="E1528" t="inlineStr">
        <is>
          <t>BRÄCKE</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39344-2025</t>
        </is>
      </c>
      <c r="B1529" s="1" t="n">
        <v>45889.53175925926</v>
      </c>
      <c r="C1529" s="1" t="n">
        <v>45891</v>
      </c>
      <c r="D1529" t="inlineStr">
        <is>
          <t>JÄMTLANDS LÄN</t>
        </is>
      </c>
      <c r="E1529" t="inlineStr">
        <is>
          <t>BRÄCKE</t>
        </is>
      </c>
      <c r="F1529" t="inlineStr">
        <is>
          <t>SCA</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34648-2025</t>
        </is>
      </c>
      <c r="B1530" s="1" t="n">
        <v>45848.34487268519</v>
      </c>
      <c r="C1530" s="1" t="n">
        <v>45891</v>
      </c>
      <c r="D1530" t="inlineStr">
        <is>
          <t>JÄMTLANDS LÄN</t>
        </is>
      </c>
      <c r="E1530" t="inlineStr">
        <is>
          <t>BRÄCKE</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39376-2025</t>
        </is>
      </c>
      <c r="B1531" s="1" t="n">
        <v>45889.59425925926</v>
      </c>
      <c r="C1531" s="1" t="n">
        <v>45891</v>
      </c>
      <c r="D1531" t="inlineStr">
        <is>
          <t>JÄMTLANDS LÄN</t>
        </is>
      </c>
      <c r="E1531" t="inlineStr">
        <is>
          <t>BRÄCKE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15201-2024</t>
        </is>
      </c>
      <c r="B1532" s="1" t="n">
        <v>45400.43778935185</v>
      </c>
      <c r="C1532" s="1" t="n">
        <v>45891</v>
      </c>
      <c r="D1532" t="inlineStr">
        <is>
          <t>JÄMTLANDS LÄN</t>
        </is>
      </c>
      <c r="E1532" t="inlineStr">
        <is>
          <t>BRÄCKE</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34680-2025</t>
        </is>
      </c>
      <c r="B1533" s="1" t="n">
        <v>45848.42799768518</v>
      </c>
      <c r="C1533" s="1" t="n">
        <v>45891</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39385-2025</t>
        </is>
      </c>
      <c r="B1534" s="1" t="n">
        <v>45889.61550925926</v>
      </c>
      <c r="C1534" s="1" t="n">
        <v>45891</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39377-2025</t>
        </is>
      </c>
      <c r="B1535" s="1" t="n">
        <v>45889.59434027778</v>
      </c>
      <c r="C1535" s="1" t="n">
        <v>45891</v>
      </c>
      <c r="D1535" t="inlineStr">
        <is>
          <t>JÄMTLANDS LÄN</t>
        </is>
      </c>
      <c r="E1535" t="inlineStr">
        <is>
          <t>BRÄCKE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34469-2025</t>
        </is>
      </c>
      <c r="B1536" s="1" t="n">
        <v>45847.34608796296</v>
      </c>
      <c r="C1536" s="1" t="n">
        <v>45891</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5482-2025</t>
        </is>
      </c>
      <c r="B1537" s="1" t="n">
        <v>45693.34427083333</v>
      </c>
      <c r="C1537" s="1" t="n">
        <v>45891</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17016-2024</t>
        </is>
      </c>
      <c r="B1538" s="1" t="n">
        <v>45411</v>
      </c>
      <c r="C1538" s="1" t="n">
        <v>45891</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51540-2024</t>
        </is>
      </c>
      <c r="B1539" s="1" t="n">
        <v>45604</v>
      </c>
      <c r="C1539" s="1" t="n">
        <v>45891</v>
      </c>
      <c r="D1539" t="inlineStr">
        <is>
          <t>JÄMTLANDS LÄN</t>
        </is>
      </c>
      <c r="E1539" t="inlineStr">
        <is>
          <t>BRÄCKE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14664-2024</t>
        </is>
      </c>
      <c r="B1540" s="1" t="n">
        <v>45397.41673611111</v>
      </c>
      <c r="C1540" s="1" t="n">
        <v>45891</v>
      </c>
      <c r="D1540" t="inlineStr">
        <is>
          <t>JÄMTLANDS LÄN</t>
        </is>
      </c>
      <c r="E1540" t="inlineStr">
        <is>
          <t>BRÄCKE</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16073-2021</t>
        </is>
      </c>
      <c r="B1541" s="1" t="n">
        <v>44287</v>
      </c>
      <c r="C1541" s="1" t="n">
        <v>45891</v>
      </c>
      <c r="D1541" t="inlineStr">
        <is>
          <t>JÄMTLANDS LÄN</t>
        </is>
      </c>
      <c r="E1541" t="inlineStr">
        <is>
          <t>BRÄCKE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52137-2023</t>
        </is>
      </c>
      <c r="B1542" s="1" t="n">
        <v>45223</v>
      </c>
      <c r="C1542" s="1" t="n">
        <v>45891</v>
      </c>
      <c r="D1542" t="inlineStr">
        <is>
          <t>JÄMTLANDS LÄN</t>
        </is>
      </c>
      <c r="E1542" t="inlineStr">
        <is>
          <t>BRÄCKE</t>
        </is>
      </c>
      <c r="F1542" t="inlineStr">
        <is>
          <t>SCA</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59405-2022</t>
        </is>
      </c>
      <c r="B1543" s="1" t="n">
        <v>44906</v>
      </c>
      <c r="C1543" s="1" t="n">
        <v>45891</v>
      </c>
      <c r="D1543" t="inlineStr">
        <is>
          <t>JÄMTLANDS LÄN</t>
        </is>
      </c>
      <c r="E1543" t="inlineStr">
        <is>
          <t>BRÄCKE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49330-2023</t>
        </is>
      </c>
      <c r="B1544" s="1" t="n">
        <v>45210.94927083333</v>
      </c>
      <c r="C1544" s="1" t="n">
        <v>45891</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67613-2020</t>
        </is>
      </c>
      <c r="B1545" s="1" t="n">
        <v>44181</v>
      </c>
      <c r="C1545" s="1" t="n">
        <v>45891</v>
      </c>
      <c r="D1545" t="inlineStr">
        <is>
          <t>JÄMTLANDS LÄN</t>
        </is>
      </c>
      <c r="E1545" t="inlineStr">
        <is>
          <t>BRÄCKE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61141-2020</t>
        </is>
      </c>
      <c r="B1546" s="1" t="n">
        <v>44154</v>
      </c>
      <c r="C1546" s="1" t="n">
        <v>45891</v>
      </c>
      <c r="D1546" t="inlineStr">
        <is>
          <t>JÄMTLANDS LÄN</t>
        </is>
      </c>
      <c r="E1546" t="inlineStr">
        <is>
          <t>BRÄCKE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61144-2020</t>
        </is>
      </c>
      <c r="B1547" s="1" t="n">
        <v>44154</v>
      </c>
      <c r="C1547" s="1" t="n">
        <v>45891</v>
      </c>
      <c r="D1547" t="inlineStr">
        <is>
          <t>JÄMTLANDS LÄN</t>
        </is>
      </c>
      <c r="E1547" t="inlineStr">
        <is>
          <t>BRÄCKE</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50260-2024</t>
        </is>
      </c>
      <c r="B1548" s="1" t="n">
        <v>45600</v>
      </c>
      <c r="C1548" s="1" t="n">
        <v>45891</v>
      </c>
      <c r="D1548" t="inlineStr">
        <is>
          <t>JÄMTLANDS LÄN</t>
        </is>
      </c>
      <c r="E1548" t="inlineStr">
        <is>
          <t>BRÄCKE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2035-2022</t>
        </is>
      </c>
      <c r="B1549" s="1" t="n">
        <v>44575.6277662037</v>
      </c>
      <c r="C1549" s="1" t="n">
        <v>45891</v>
      </c>
      <c r="D1549" t="inlineStr">
        <is>
          <t>JÄMTLANDS LÄN</t>
        </is>
      </c>
      <c r="E1549" t="inlineStr">
        <is>
          <t>BRÄCKE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21117-2023</t>
        </is>
      </c>
      <c r="B1550" s="1" t="n">
        <v>45061</v>
      </c>
      <c r="C1550" s="1" t="n">
        <v>45891</v>
      </c>
      <c r="D1550" t="inlineStr">
        <is>
          <t>JÄMTLANDS LÄN</t>
        </is>
      </c>
      <c r="E1550" t="inlineStr">
        <is>
          <t>BRÄCKE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54863-2024</t>
        </is>
      </c>
      <c r="B1551" s="1" t="n">
        <v>45618.59431712963</v>
      </c>
      <c r="C1551" s="1" t="n">
        <v>45891</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54865-2024</t>
        </is>
      </c>
      <c r="B1552" s="1" t="n">
        <v>45618.59471064815</v>
      </c>
      <c r="C1552" s="1" t="n">
        <v>45891</v>
      </c>
      <c r="D1552" t="inlineStr">
        <is>
          <t>JÄMTLANDS LÄN</t>
        </is>
      </c>
      <c r="E1552" t="inlineStr">
        <is>
          <t>BRÄCKE</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18640-2024</t>
        </is>
      </c>
      <c r="B1553" s="1" t="n">
        <v>45425.96644675926</v>
      </c>
      <c r="C1553" s="1" t="n">
        <v>45891</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18626-2024</t>
        </is>
      </c>
      <c r="B1554" s="1" t="n">
        <v>45425.96429398148</v>
      </c>
      <c r="C1554" s="1" t="n">
        <v>45891</v>
      </c>
      <c r="D1554" t="inlineStr">
        <is>
          <t>JÄMTLANDS LÄN</t>
        </is>
      </c>
      <c r="E1554" t="inlineStr">
        <is>
          <t>BRÄCKE</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13668-2024</t>
        </is>
      </c>
      <c r="B1555" s="1" t="n">
        <v>45387</v>
      </c>
      <c r="C1555" s="1" t="n">
        <v>45891</v>
      </c>
      <c r="D1555" t="inlineStr">
        <is>
          <t>JÄMTLANDS LÄN</t>
        </is>
      </c>
      <c r="E1555" t="inlineStr">
        <is>
          <t>BRÄCKE</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31521-2022</t>
        </is>
      </c>
      <c r="B1556" s="1" t="n">
        <v>44774.949375</v>
      </c>
      <c r="C1556" s="1" t="n">
        <v>45891</v>
      </c>
      <c r="D1556" t="inlineStr">
        <is>
          <t>JÄMTLANDS LÄN</t>
        </is>
      </c>
      <c r="E1556" t="inlineStr">
        <is>
          <t>BRÄCKE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11371-2025</t>
        </is>
      </c>
      <c r="B1557" s="1" t="n">
        <v>45726.55258101852</v>
      </c>
      <c r="C1557" s="1" t="n">
        <v>45891</v>
      </c>
      <c r="D1557" t="inlineStr">
        <is>
          <t>JÄMTLANDS LÄN</t>
        </is>
      </c>
      <c r="E1557" t="inlineStr">
        <is>
          <t>BRÄCKE</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13525-2022</t>
        </is>
      </c>
      <c r="B1558" s="1" t="n">
        <v>44648</v>
      </c>
      <c r="C1558" s="1" t="n">
        <v>45891</v>
      </c>
      <c r="D1558" t="inlineStr">
        <is>
          <t>JÄMTLANDS LÄN</t>
        </is>
      </c>
      <c r="E1558" t="inlineStr">
        <is>
          <t>BRÄCKE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24010-2024</t>
        </is>
      </c>
      <c r="B1559" s="1" t="n">
        <v>45456.40370370371</v>
      </c>
      <c r="C1559" s="1" t="n">
        <v>45891</v>
      </c>
      <c r="D1559" t="inlineStr">
        <is>
          <t>JÄMTLANDS LÄN</t>
        </is>
      </c>
      <c r="E1559" t="inlineStr">
        <is>
          <t>BRÄCKE</t>
        </is>
      </c>
      <c r="F1559" t="inlineStr">
        <is>
          <t>Övriga Aktiebolag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59774-2024</t>
        </is>
      </c>
      <c r="B1560" s="1" t="n">
        <v>45639.56954861111</v>
      </c>
      <c r="C1560" s="1" t="n">
        <v>45891</v>
      </c>
      <c r="D1560" t="inlineStr">
        <is>
          <t>JÄMTLANDS LÄN</t>
        </is>
      </c>
      <c r="E1560" t="inlineStr">
        <is>
          <t>BRÄCKE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17606-2025</t>
        </is>
      </c>
      <c r="B1561" s="1" t="n">
        <v>45757.73796296296</v>
      </c>
      <c r="C1561" s="1" t="n">
        <v>45891</v>
      </c>
      <c r="D1561" t="inlineStr">
        <is>
          <t>JÄMTLANDS LÄN</t>
        </is>
      </c>
      <c r="E1561" t="inlineStr">
        <is>
          <t>BRÄCKE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19088-2021</t>
        </is>
      </c>
      <c r="B1562" s="1" t="n">
        <v>44308</v>
      </c>
      <c r="C1562" s="1" t="n">
        <v>45891</v>
      </c>
      <c r="D1562" t="inlineStr">
        <is>
          <t>JÄMTLANDS LÄN</t>
        </is>
      </c>
      <c r="E1562" t="inlineStr">
        <is>
          <t>BRÄCKE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35506-2023</t>
        </is>
      </c>
      <c r="B1563" s="1" t="n">
        <v>45146</v>
      </c>
      <c r="C1563" s="1" t="n">
        <v>45891</v>
      </c>
      <c r="D1563" t="inlineStr">
        <is>
          <t>JÄMTLANDS LÄN</t>
        </is>
      </c>
      <c r="E1563" t="inlineStr">
        <is>
          <t>BRÄCKE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31692-2024</t>
        </is>
      </c>
      <c r="B1564" s="1" t="n">
        <v>45507.95684027778</v>
      </c>
      <c r="C1564" s="1" t="n">
        <v>45891</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31713-2024</t>
        </is>
      </c>
      <c r="B1565" s="1" t="n">
        <v>45508.95126157408</v>
      </c>
      <c r="C1565" s="1" t="n">
        <v>45891</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57066-2024</t>
        </is>
      </c>
      <c r="B1566" s="1" t="n">
        <v>45629.35359953704</v>
      </c>
      <c r="C1566" s="1" t="n">
        <v>45891</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57069-2024</t>
        </is>
      </c>
      <c r="B1567" s="1" t="n">
        <v>45629.35391203704</v>
      </c>
      <c r="C1567" s="1" t="n">
        <v>45891</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51558-2022</t>
        </is>
      </c>
      <c r="B1568" s="1" t="n">
        <v>44869.9497337963</v>
      </c>
      <c r="C1568" s="1" t="n">
        <v>45891</v>
      </c>
      <c r="D1568" t="inlineStr">
        <is>
          <t>JÄMTLANDS LÄN</t>
        </is>
      </c>
      <c r="E1568" t="inlineStr">
        <is>
          <t>BRÄCKE</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24053-2022</t>
        </is>
      </c>
      <c r="B1569" s="1" t="n">
        <v>44724.93731481482</v>
      </c>
      <c r="C1569" s="1" t="n">
        <v>45891</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58547-2022</t>
        </is>
      </c>
      <c r="B1570" s="1" t="n">
        <v>44894</v>
      </c>
      <c r="C1570" s="1" t="n">
        <v>45891</v>
      </c>
      <c r="D1570" t="inlineStr">
        <is>
          <t>JÄMTLANDS LÄN</t>
        </is>
      </c>
      <c r="E1570" t="inlineStr">
        <is>
          <t>BRÄCKE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19486-2023</t>
        </is>
      </c>
      <c r="B1571" s="1" t="n">
        <v>45049</v>
      </c>
      <c r="C1571" s="1" t="n">
        <v>45891</v>
      </c>
      <c r="D1571" t="inlineStr">
        <is>
          <t>JÄMTLANDS LÄN</t>
        </is>
      </c>
      <c r="E1571" t="inlineStr">
        <is>
          <t>BRÄCKE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32636-2024</t>
        </is>
      </c>
      <c r="B1572" s="1" t="n">
        <v>45513.96137731482</v>
      </c>
      <c r="C1572" s="1" t="n">
        <v>45891</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58767-2023</t>
        </is>
      </c>
      <c r="B1573" s="1" t="n">
        <v>45251.96665509259</v>
      </c>
      <c r="C1573" s="1" t="n">
        <v>45891</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23064-2024</t>
        </is>
      </c>
      <c r="B1574" s="1" t="n">
        <v>45450.44827546296</v>
      </c>
      <c r="C1574" s="1" t="n">
        <v>45891</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c r="A1575" t="inlineStr">
        <is>
          <t>A 18600-2024</t>
        </is>
      </c>
      <c r="B1575" s="1" t="n">
        <v>45425.92462962963</v>
      </c>
      <c r="C1575" s="1" t="n">
        <v>45891</v>
      </c>
      <c r="D1575" t="inlineStr">
        <is>
          <t>JÄMTLANDS LÄN</t>
        </is>
      </c>
      <c r="E1575" t="inlineStr">
        <is>
          <t>BRÄCKE</t>
        </is>
      </c>
      <c r="G1575" t="n">
        <v>0.9</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2025-08-22T08:31:13Z</dcterms:created>
  <dcterms:modified xmlns:dcterms="http://purl.org/dc/terms/" xmlns:xsi="http://www.w3.org/2001/XMLSchema-instance" xsi:type="dcterms:W3CDTF">2025-08-22T08:31:15Z</dcterms:modified>
</cp:coreProperties>
</file>