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45901</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45901</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45901</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45901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45901</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30780-2024</t>
        </is>
      </c>
      <c r="B7" s="1" t="n">
        <v>45496.95030092593</v>
      </c>
      <c r="C7" s="1" t="n">
        <v>45901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50503-2023</t>
        </is>
      </c>
      <c r="B8" s="1" t="n">
        <v>45216</v>
      </c>
      <c r="C8" s="1" t="n">
        <v>45901</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36183-2025</t>
        </is>
      </c>
      <c r="B9" s="1" t="n">
        <v>45867.41709490741</v>
      </c>
      <c r="C9" s="1" t="n">
        <v>45901</v>
      </c>
      <c r="D9" t="inlineStr">
        <is>
          <t>JÄMTLANDS LÄN</t>
        </is>
      </c>
      <c r="E9" t="inlineStr">
        <is>
          <t>BRÄCKE</t>
        </is>
      </c>
      <c r="G9" t="n">
        <v>28.8</v>
      </c>
      <c r="H9" t="n">
        <v>10</v>
      </c>
      <c r="I9" t="n">
        <v>10</v>
      </c>
      <c r="J9" t="n">
        <v>7</v>
      </c>
      <c r="K9" t="n">
        <v>2</v>
      </c>
      <c r="L9" t="n">
        <v>0</v>
      </c>
      <c r="M9" t="n">
        <v>0</v>
      </c>
      <c r="N9" t="n">
        <v>0</v>
      </c>
      <c r="O9" t="n">
        <v>9</v>
      </c>
      <c r="P9" t="n">
        <v>2</v>
      </c>
      <c r="Q9" t="n">
        <v>23</v>
      </c>
      <c r="R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9">
        <f>HYPERLINK("https://klasma.github.io/Logging_2305/artfynd/A 36183-2025 artfynd.xlsx", "A 36183-2025")</f>
        <v/>
      </c>
      <c r="T9">
        <f>HYPERLINK("https://klasma.github.io/Logging_2305/kartor/A 36183-2025 karta.png", "A 36183-2025")</f>
        <v/>
      </c>
      <c r="U9">
        <f>HYPERLINK("https://klasma.github.io/Logging_2305/knärot/A 36183-2025 karta knärot.png", "A 36183-2025")</f>
        <v/>
      </c>
      <c r="V9">
        <f>HYPERLINK("https://klasma.github.io/Logging_2305/klagomål/A 36183-2025 FSC-klagomål.docx", "A 36183-2025")</f>
        <v/>
      </c>
      <c r="W9">
        <f>HYPERLINK("https://klasma.github.io/Logging_2305/klagomålsmail/A 36183-2025 FSC-klagomål mail.docx", "A 36183-2025")</f>
        <v/>
      </c>
      <c r="X9">
        <f>HYPERLINK("https://klasma.github.io/Logging_2305/tillsyn/A 36183-2025 tillsynsbegäran.docx", "A 36183-2025")</f>
        <v/>
      </c>
      <c r="Y9">
        <f>HYPERLINK("https://klasma.github.io/Logging_2305/tillsynsmail/A 36183-2025 tillsynsbegäran mail.docx", "A 36183-2025")</f>
        <v/>
      </c>
      <c r="Z9">
        <f>HYPERLINK("https://klasma.github.io/Logging_2305/fåglar/A 36183-2025 prioriterade fågelarter.docx", "A 36183-2025")</f>
        <v/>
      </c>
    </row>
    <row r="10" ht="15" customHeight="1">
      <c r="A10" t="inlineStr">
        <is>
          <t>A 34927-2023</t>
        </is>
      </c>
      <c r="B10" s="1" t="n">
        <v>45142</v>
      </c>
      <c r="C10" s="1" t="n">
        <v>45901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45901</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45901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45901</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54050-2023</t>
        </is>
      </c>
      <c r="B14" s="1" t="n">
        <v>45231</v>
      </c>
      <c r="C14" s="1" t="n">
        <v>45901</v>
      </c>
      <c r="D14" t="inlineStr">
        <is>
          <t>JÄMTLANDS LÄN</t>
        </is>
      </c>
      <c r="E14" t="inlineStr">
        <is>
          <t>BRÄCKE</t>
        </is>
      </c>
      <c r="F14" t="inlineStr">
        <is>
          <t>SCA</t>
        </is>
      </c>
      <c r="G14" t="n">
        <v>11.3</v>
      </c>
      <c r="H14" t="n">
        <v>1</v>
      </c>
      <c r="I14" t="n">
        <v>3</v>
      </c>
      <c r="J14" t="n">
        <v>13</v>
      </c>
      <c r="K14" t="n">
        <v>1</v>
      </c>
      <c r="L14" t="n">
        <v>0</v>
      </c>
      <c r="M14" t="n">
        <v>0</v>
      </c>
      <c r="N14" t="n">
        <v>0</v>
      </c>
      <c r="O14" t="n">
        <v>14</v>
      </c>
      <c r="P14" t="n">
        <v>1</v>
      </c>
      <c r="Q14" t="n">
        <v>17</v>
      </c>
      <c r="R1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50826-2023</t>
        </is>
      </c>
      <c r="B15" s="1" t="n">
        <v>45217</v>
      </c>
      <c r="C15" s="1" t="n">
        <v>45901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22929-2025</t>
        </is>
      </c>
      <c r="B16" s="1" t="n">
        <v>45790.4484375</v>
      </c>
      <c r="C16" s="1" t="n">
        <v>45901</v>
      </c>
      <c r="D16" t="inlineStr">
        <is>
          <t>JÄMTLANDS LÄN</t>
        </is>
      </c>
      <c r="E16" t="inlineStr">
        <is>
          <t>BRÄCKE</t>
        </is>
      </c>
      <c r="F16" t="inlineStr">
        <is>
          <t>SCA</t>
        </is>
      </c>
      <c r="G16" t="n">
        <v>14.5</v>
      </c>
      <c r="H16" t="n">
        <v>1</v>
      </c>
      <c r="I16" t="n">
        <v>7</v>
      </c>
      <c r="J16" t="n">
        <v>8</v>
      </c>
      <c r="K16" t="n">
        <v>1</v>
      </c>
      <c r="L16" t="n">
        <v>0</v>
      </c>
      <c r="M16" t="n">
        <v>0</v>
      </c>
      <c r="N16" t="n">
        <v>0</v>
      </c>
      <c r="O16" t="n">
        <v>9</v>
      </c>
      <c r="P16" t="n">
        <v>1</v>
      </c>
      <c r="Q16" t="n">
        <v>16</v>
      </c>
      <c r="R16" s="2" t="inlineStr">
        <is>
          <t>Knärot
Doftskinn
Granticka
Kolflarnlav
Lunglav
Mörk kolflarnlav
Ullticka
Vedskivlav
Vedtrappmossa
Bårdlav
Dropptaggsvamp
Gytterlav
Luddlav
Mörk husmossa
Stuplav
Vedticka</t>
        </is>
      </c>
      <c r="S16">
        <f>HYPERLINK("https://klasma.github.io/Logging_2305/artfynd/A 22929-2025 artfynd.xlsx", "A 22929-2025")</f>
        <v/>
      </c>
      <c r="T16">
        <f>HYPERLINK("https://klasma.github.io/Logging_2305/kartor/A 22929-2025 karta.png", "A 22929-2025")</f>
        <v/>
      </c>
      <c r="U16">
        <f>HYPERLINK("https://klasma.github.io/Logging_2305/knärot/A 22929-2025 karta knärot.png", "A 22929-2025")</f>
        <v/>
      </c>
      <c r="V16">
        <f>HYPERLINK("https://klasma.github.io/Logging_2305/klagomål/A 22929-2025 FSC-klagomål.docx", "A 22929-2025")</f>
        <v/>
      </c>
      <c r="W16">
        <f>HYPERLINK("https://klasma.github.io/Logging_2305/klagomålsmail/A 22929-2025 FSC-klagomål mail.docx", "A 22929-2025")</f>
        <v/>
      </c>
      <c r="X16">
        <f>HYPERLINK("https://klasma.github.io/Logging_2305/tillsyn/A 22929-2025 tillsynsbegäran.docx", "A 22929-2025")</f>
        <v/>
      </c>
      <c r="Y16">
        <f>HYPERLINK("https://klasma.github.io/Logging_2305/tillsynsmail/A 22929-2025 tillsynsbegäran mail.docx", "A 22929-2025")</f>
        <v/>
      </c>
    </row>
    <row r="17" ht="15" customHeight="1">
      <c r="A17" t="inlineStr">
        <is>
          <t>A 46328-2022</t>
        </is>
      </c>
      <c r="B17" s="1" t="n">
        <v>44847</v>
      </c>
      <c r="C17" s="1" t="n">
        <v>45901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29467-2025</t>
        </is>
      </c>
      <c r="B18" s="1" t="n">
        <v>45824.69877314815</v>
      </c>
      <c r="C18" s="1" t="n">
        <v>45901</v>
      </c>
      <c r="D18" t="inlineStr">
        <is>
          <t>JÄMTLANDS LÄN</t>
        </is>
      </c>
      <c r="E18" t="inlineStr">
        <is>
          <t>BRÄCKE</t>
        </is>
      </c>
      <c r="F18" t="inlineStr">
        <is>
          <t>SCA</t>
        </is>
      </c>
      <c r="G18" t="n">
        <v>9.9</v>
      </c>
      <c r="H18" t="n">
        <v>0</v>
      </c>
      <c r="I18" t="n">
        <v>4</v>
      </c>
      <c r="J18" t="n">
        <v>10</v>
      </c>
      <c r="K18" t="n">
        <v>1</v>
      </c>
      <c r="L18" t="n">
        <v>0</v>
      </c>
      <c r="M18" t="n">
        <v>0</v>
      </c>
      <c r="N18" t="n">
        <v>0</v>
      </c>
      <c r="O18" t="n">
        <v>12</v>
      </c>
      <c r="P18" t="n">
        <v>1</v>
      </c>
      <c r="Q18" t="n">
        <v>16</v>
      </c>
      <c r="R18" s="2" t="inlineStr">
        <is>
          <t>Spadskinn
Blanksvart spiklav
Blå taggsvamp
Dvärgbägarlav
Garnlav
Granticka
Svartvit taggsvamp
Ullticka
Vaddporing
Vedflamlav
Vitplätt
Oljeporing
Bollvitmossa
Dropptaggsvamp
Grönpyrola
Skarp dropptaggsvamp</t>
        </is>
      </c>
      <c r="S18">
        <f>HYPERLINK("https://klasma.github.io/Logging_2305/artfynd/A 29467-2025 artfynd.xlsx", "A 29467-2025")</f>
        <v/>
      </c>
      <c r="T18">
        <f>HYPERLINK("https://klasma.github.io/Logging_2305/kartor/A 29467-2025 karta.png", "A 29467-2025")</f>
        <v/>
      </c>
      <c r="V18">
        <f>HYPERLINK("https://klasma.github.io/Logging_2305/klagomål/A 29467-2025 FSC-klagomål.docx", "A 29467-2025")</f>
        <v/>
      </c>
      <c r="W18">
        <f>HYPERLINK("https://klasma.github.io/Logging_2305/klagomålsmail/A 29467-2025 FSC-klagomål mail.docx", "A 29467-2025")</f>
        <v/>
      </c>
      <c r="X18">
        <f>HYPERLINK("https://klasma.github.io/Logging_2305/tillsyn/A 29467-2025 tillsynsbegäran.docx", "A 29467-2025")</f>
        <v/>
      </c>
      <c r="Y18">
        <f>HYPERLINK("https://klasma.github.io/Logging_2305/tillsynsmail/A 29467-2025 tillsynsbegäran mail.docx", "A 29467-2025")</f>
        <v/>
      </c>
    </row>
    <row r="19" ht="15" customHeight="1">
      <c r="A19" t="inlineStr">
        <is>
          <t>A 31470-2024</t>
        </is>
      </c>
      <c r="B19" s="1" t="n">
        <v>45505</v>
      </c>
      <c r="C19" s="1" t="n">
        <v>45901</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30779-2024</t>
        </is>
      </c>
      <c r="B20" s="1" t="n">
        <v>45496.95019675926</v>
      </c>
      <c r="C20" s="1" t="n">
        <v>45901</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29103-2024</t>
        </is>
      </c>
      <c r="B21" s="1" t="n">
        <v>45481.95140046296</v>
      </c>
      <c r="C21" s="1" t="n">
        <v>45901</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8515-2025</t>
        </is>
      </c>
      <c r="B22" s="1" t="n">
        <v>45709.55239583334</v>
      </c>
      <c r="C22" s="1" t="n">
        <v>45901</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23037-2021</t>
        </is>
      </c>
      <c r="B23" s="1" t="n">
        <v>44328</v>
      </c>
      <c r="C23" s="1" t="n">
        <v>45901</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58085-2024</t>
        </is>
      </c>
      <c r="B24" s="1" t="n">
        <v>45632</v>
      </c>
      <c r="C24" s="1" t="n">
        <v>45901</v>
      </c>
      <c r="D24" t="inlineStr">
        <is>
          <t>JÄMTLANDS LÄN</t>
        </is>
      </c>
      <c r="E24" t="inlineStr">
        <is>
          <t>BRÄCKE</t>
        </is>
      </c>
      <c r="F24" t="inlineStr">
        <is>
          <t>SCA</t>
        </is>
      </c>
      <c r="G24" t="n">
        <v>12.3</v>
      </c>
      <c r="H24" t="n">
        <v>3</v>
      </c>
      <c r="I24" t="n">
        <v>5</v>
      </c>
      <c r="J24" t="n">
        <v>6</v>
      </c>
      <c r="K24" t="n">
        <v>1</v>
      </c>
      <c r="L24" t="n">
        <v>0</v>
      </c>
      <c r="M24" t="n">
        <v>0</v>
      </c>
      <c r="N24" t="n">
        <v>0</v>
      </c>
      <c r="O24" t="n">
        <v>7</v>
      </c>
      <c r="P24" t="n">
        <v>1</v>
      </c>
      <c r="Q24" t="n">
        <v>13</v>
      </c>
      <c r="R24" s="2" t="inlineStr">
        <is>
          <t>Knärot
Garnlav
Granticka
Lunglav
Tretåig hackspett
Ullticka
Vitgrynig nållav
Barkkornlav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22983-2024</t>
        </is>
      </c>
      <c r="B25" s="1" t="n">
        <v>45449.94489583333</v>
      </c>
      <c r="C25" s="1" t="n">
        <v>45901</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45901</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29244-2024</t>
        </is>
      </c>
      <c r="B27" s="1" t="n">
        <v>45482</v>
      </c>
      <c r="C27" s="1" t="n">
        <v>45901</v>
      </c>
      <c r="D27" t="inlineStr">
        <is>
          <t>JÄMTLANDS LÄN</t>
        </is>
      </c>
      <c r="E27" t="inlineStr">
        <is>
          <t>BRÄCKE</t>
        </is>
      </c>
      <c r="F27" t="inlineStr">
        <is>
          <t>SCA</t>
        </is>
      </c>
      <c r="G27" t="n">
        <v>7.5</v>
      </c>
      <c r="H27" t="n">
        <v>2</v>
      </c>
      <c r="I27" t="n">
        <v>2</v>
      </c>
      <c r="J27" t="n">
        <v>9</v>
      </c>
      <c r="K27" t="n">
        <v>1</v>
      </c>
      <c r="L27" t="n">
        <v>0</v>
      </c>
      <c r="M27" t="n">
        <v>0</v>
      </c>
      <c r="N27" t="n">
        <v>0</v>
      </c>
      <c r="O27" t="n">
        <v>10</v>
      </c>
      <c r="P27" t="n">
        <v>1</v>
      </c>
      <c r="Q27" t="n">
        <v>12</v>
      </c>
      <c r="R27" s="2" t="inlineStr">
        <is>
          <t>Knärot
Garnlav
Kolflarnlav
Lunglav
Mörk kolflarnlav
Orange taggsvamp
Svart taggsvamp
Tretåig hackspett
Ullticka
Vedskivlav
Dropptaggsvamp
Korallblylav</t>
        </is>
      </c>
      <c r="S27">
        <f>HYPERLINK("https://klasma.github.io/Logging_2305/artfynd/A 29244-2024 artfynd.xlsx", "A 29244-2024")</f>
        <v/>
      </c>
      <c r="T27">
        <f>HYPERLINK("https://klasma.github.io/Logging_2305/kartor/A 29244-2024 karta.png", "A 29244-2024")</f>
        <v/>
      </c>
      <c r="U27">
        <f>HYPERLINK("https://klasma.github.io/Logging_2305/knärot/A 29244-2024 karta knärot.png", "A 29244-2024")</f>
        <v/>
      </c>
      <c r="V27">
        <f>HYPERLINK("https://klasma.github.io/Logging_2305/klagomål/A 29244-2024 FSC-klagomål.docx", "A 29244-2024")</f>
        <v/>
      </c>
      <c r="W27">
        <f>HYPERLINK("https://klasma.github.io/Logging_2305/klagomålsmail/A 29244-2024 FSC-klagomål mail.docx", "A 29244-2024")</f>
        <v/>
      </c>
      <c r="X27">
        <f>HYPERLINK("https://klasma.github.io/Logging_2305/tillsyn/A 29244-2024 tillsynsbegäran.docx", "A 29244-2024")</f>
        <v/>
      </c>
      <c r="Y27">
        <f>HYPERLINK("https://klasma.github.io/Logging_2305/tillsynsmail/A 29244-2024 tillsynsbegäran mail.docx", "A 29244-2024")</f>
        <v/>
      </c>
      <c r="Z27">
        <f>HYPERLINK("https://klasma.github.io/Logging_2305/fåglar/A 29244-2024 prioriterade fågelarter.docx", "A 29244-2024")</f>
        <v/>
      </c>
    </row>
    <row r="28" ht="15" customHeight="1">
      <c r="A28" t="inlineStr">
        <is>
          <t>A 29102-2024</t>
        </is>
      </c>
      <c r="B28" s="1" t="n">
        <v>45481.95128472222</v>
      </c>
      <c r="C28" s="1" t="n">
        <v>45901</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41701-2024</t>
        </is>
      </c>
      <c r="B29" s="1" t="n">
        <v>45560.69207175926</v>
      </c>
      <c r="C29" s="1" t="n">
        <v>45901</v>
      </c>
      <c r="D29" t="inlineStr">
        <is>
          <t>JÄMTLANDS LÄN</t>
        </is>
      </c>
      <c r="E29" t="inlineStr">
        <is>
          <t>BRÄCKE</t>
        </is>
      </c>
      <c r="G29" t="n">
        <v>17.6</v>
      </c>
      <c r="H29" t="n">
        <v>4</v>
      </c>
      <c r="I29" t="n">
        <v>5</v>
      </c>
      <c r="J29" t="n">
        <v>5</v>
      </c>
      <c r="K29" t="n">
        <v>1</v>
      </c>
      <c r="L29" t="n">
        <v>0</v>
      </c>
      <c r="M29" t="n">
        <v>0</v>
      </c>
      <c r="N29" t="n">
        <v>0</v>
      </c>
      <c r="O29" t="n">
        <v>6</v>
      </c>
      <c r="P29" t="n">
        <v>1</v>
      </c>
      <c r="Q29" t="n">
        <v>12</v>
      </c>
      <c r="R29" s="2" t="inlineStr">
        <is>
          <t>Knärot
Garnlav
Lunglav
Skrovellav
Ullticka
Vedtrappmossa
Dropptaggsvamp
Plattlummer
Skinnlav
Spindelblomster
Stor aspticka
Fläcknycklar</t>
        </is>
      </c>
      <c r="S29">
        <f>HYPERLINK("https://klasma.github.io/Logging_2305/artfynd/A 41701-2024 artfynd.xlsx", "A 41701-2024")</f>
        <v/>
      </c>
      <c r="T29">
        <f>HYPERLINK("https://klasma.github.io/Logging_2305/kartor/A 41701-2024 karta.png", "A 41701-2024")</f>
        <v/>
      </c>
      <c r="U29">
        <f>HYPERLINK("https://klasma.github.io/Logging_2305/knärot/A 41701-2024 karta knärot.png", "A 41701-2024")</f>
        <v/>
      </c>
      <c r="V29">
        <f>HYPERLINK("https://klasma.github.io/Logging_2305/klagomål/A 41701-2024 FSC-klagomål.docx", "A 41701-2024")</f>
        <v/>
      </c>
      <c r="W29">
        <f>HYPERLINK("https://klasma.github.io/Logging_2305/klagomålsmail/A 41701-2024 FSC-klagomål mail.docx", "A 41701-2024")</f>
        <v/>
      </c>
      <c r="X29">
        <f>HYPERLINK("https://klasma.github.io/Logging_2305/tillsyn/A 41701-2024 tillsynsbegäran.docx", "A 41701-2024")</f>
        <v/>
      </c>
      <c r="Y29">
        <f>HYPERLINK("https://klasma.github.io/Logging_2305/tillsynsmail/A 41701-2024 tillsynsbegäran mail.docx", "A 41701-2024")</f>
        <v/>
      </c>
    </row>
    <row r="30" ht="15" customHeight="1">
      <c r="A30" t="inlineStr">
        <is>
          <t>A 67343-2021</t>
        </is>
      </c>
      <c r="B30" s="1" t="n">
        <v>44523.72125</v>
      </c>
      <c r="C30" s="1" t="n">
        <v>45901</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23506-2025</t>
        </is>
      </c>
      <c r="B31" s="1" t="n">
        <v>45792.49002314815</v>
      </c>
      <c r="C31" s="1" t="n">
        <v>45901</v>
      </c>
      <c r="D31" t="inlineStr">
        <is>
          <t>JÄMTLANDS LÄN</t>
        </is>
      </c>
      <c r="E31" t="inlineStr">
        <is>
          <t>BRÄCKE</t>
        </is>
      </c>
      <c r="F31" t="inlineStr">
        <is>
          <t>SCA</t>
        </is>
      </c>
      <c r="G31" t="n">
        <v>9.6</v>
      </c>
      <c r="H31" t="n">
        <v>2</v>
      </c>
      <c r="I31" t="n">
        <v>4</v>
      </c>
      <c r="J31" t="n">
        <v>6</v>
      </c>
      <c r="K31" t="n">
        <v>1</v>
      </c>
      <c r="L31" t="n">
        <v>0</v>
      </c>
      <c r="M31" t="n">
        <v>0</v>
      </c>
      <c r="N31" t="n">
        <v>0</v>
      </c>
      <c r="O31" t="n">
        <v>7</v>
      </c>
      <c r="P31" t="n">
        <v>1</v>
      </c>
      <c r="Q31" t="n">
        <v>11</v>
      </c>
      <c r="R31" s="2" t="inlineStr">
        <is>
          <t>Knärot
Blå taggsvamp
Dvärgbägarlav
Garnlav
Lunglav
Tretåig hackspett
Vedskivlav
Barkticka
Dropptaggsvamp
Norrlandslav
Skinnlav</t>
        </is>
      </c>
      <c r="S31">
        <f>HYPERLINK("https://klasma.github.io/Logging_2305/artfynd/A 23506-2025 artfynd.xlsx", "A 23506-2025")</f>
        <v/>
      </c>
      <c r="T31">
        <f>HYPERLINK("https://klasma.github.io/Logging_2305/kartor/A 23506-2025 karta.png", "A 23506-2025")</f>
        <v/>
      </c>
      <c r="U31">
        <f>HYPERLINK("https://klasma.github.io/Logging_2305/knärot/A 23506-2025 karta knärot.png", "A 23506-2025")</f>
        <v/>
      </c>
      <c r="V31">
        <f>HYPERLINK("https://klasma.github.io/Logging_2305/klagomål/A 23506-2025 FSC-klagomål.docx", "A 23506-2025")</f>
        <v/>
      </c>
      <c r="W31">
        <f>HYPERLINK("https://klasma.github.io/Logging_2305/klagomålsmail/A 23506-2025 FSC-klagomål mail.docx", "A 23506-2025")</f>
        <v/>
      </c>
      <c r="X31">
        <f>HYPERLINK("https://klasma.github.io/Logging_2305/tillsyn/A 23506-2025 tillsynsbegäran.docx", "A 23506-2025")</f>
        <v/>
      </c>
      <c r="Y31">
        <f>HYPERLINK("https://klasma.github.io/Logging_2305/tillsynsmail/A 23506-2025 tillsynsbegäran mail.docx", "A 23506-2025")</f>
        <v/>
      </c>
      <c r="Z31">
        <f>HYPERLINK("https://klasma.github.io/Logging_2305/fåglar/A 23506-2025 prioriterade fågelarter.docx", "A 23506-2025")</f>
        <v/>
      </c>
    </row>
    <row r="32" ht="15" customHeight="1">
      <c r="A32" t="inlineStr">
        <is>
          <t>A 19337-2024</t>
        </is>
      </c>
      <c r="B32" s="1" t="n">
        <v>45428.97097222223</v>
      </c>
      <c r="C32" s="1" t="n">
        <v>45901</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31469-2024</t>
        </is>
      </c>
      <c r="B33" s="1" t="n">
        <v>45505</v>
      </c>
      <c r="C33" s="1" t="n">
        <v>45901</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58080-2023</t>
        </is>
      </c>
      <c r="B34" s="1" t="n">
        <v>45247.9652199074</v>
      </c>
      <c r="C34" s="1" t="n">
        <v>45901</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28599-2021</t>
        </is>
      </c>
      <c r="B35" s="1" t="n">
        <v>44356</v>
      </c>
      <c r="C35" s="1" t="n">
        <v>45901</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36371-2022</t>
        </is>
      </c>
      <c r="B36" s="1" t="n">
        <v>44803</v>
      </c>
      <c r="C36" s="1" t="n">
        <v>45901</v>
      </c>
      <c r="D36" t="inlineStr">
        <is>
          <t>JÄMTLANDS LÄN</t>
        </is>
      </c>
      <c r="E36" t="inlineStr">
        <is>
          <t>BRÄCKE</t>
        </is>
      </c>
      <c r="F36" t="inlineStr">
        <is>
          <t>SCA</t>
        </is>
      </c>
      <c r="G36" t="n">
        <v>33.6</v>
      </c>
      <c r="H36" t="n">
        <v>2</v>
      </c>
      <c r="I36" t="n">
        <v>2</v>
      </c>
      <c r="J36" t="n">
        <v>5</v>
      </c>
      <c r="K36" t="n">
        <v>3</v>
      </c>
      <c r="L36" t="n">
        <v>0</v>
      </c>
      <c r="M36" t="n">
        <v>0</v>
      </c>
      <c r="N36" t="n">
        <v>0</v>
      </c>
      <c r="O36" t="n">
        <v>8</v>
      </c>
      <c r="P36" t="n">
        <v>3</v>
      </c>
      <c r="Q36" t="n">
        <v>10</v>
      </c>
      <c r="R36" s="2" t="inlineStr">
        <is>
          <t>Borsttagging
Knärot
Rynkskinn
Kolflarnlav
Lunglav
Rosenticka
Talltita
Ullticka
Stor aspticka
Vedticka</t>
        </is>
      </c>
      <c r="S36">
        <f>HYPERLINK("https://klasma.github.io/Logging_2305/artfynd/A 36371-2022 artfynd.xlsx", "A 36371-2022")</f>
        <v/>
      </c>
      <c r="T36">
        <f>HYPERLINK("https://klasma.github.io/Logging_2305/kartor/A 36371-2022 karta.png", "A 36371-2022")</f>
        <v/>
      </c>
      <c r="U36">
        <f>HYPERLINK("https://klasma.github.io/Logging_2305/knärot/A 36371-2022 karta knärot.png", "A 36371-2022")</f>
        <v/>
      </c>
      <c r="V36">
        <f>HYPERLINK("https://klasma.github.io/Logging_2305/klagomål/A 36371-2022 FSC-klagomål.docx", "A 36371-2022")</f>
        <v/>
      </c>
      <c r="W36">
        <f>HYPERLINK("https://klasma.github.io/Logging_2305/klagomålsmail/A 36371-2022 FSC-klagomål mail.docx", "A 36371-2022")</f>
        <v/>
      </c>
      <c r="X36">
        <f>HYPERLINK("https://klasma.github.io/Logging_2305/tillsyn/A 36371-2022 tillsynsbegäran.docx", "A 36371-2022")</f>
        <v/>
      </c>
      <c r="Y36">
        <f>HYPERLINK("https://klasma.github.io/Logging_2305/tillsynsmail/A 36371-2022 tillsynsbegäran mail.docx", "A 36371-2022")</f>
        <v/>
      </c>
      <c r="Z36">
        <f>HYPERLINK("https://klasma.github.io/Logging_2305/fåglar/A 36371-2022 prioriterade fågelarter.docx", "A 36371-2022")</f>
        <v/>
      </c>
    </row>
    <row r="37" ht="15" customHeight="1">
      <c r="A37" t="inlineStr">
        <is>
          <t>A 7435-2022</t>
        </is>
      </c>
      <c r="B37" s="1" t="n">
        <v>44606</v>
      </c>
      <c r="C37" s="1" t="n">
        <v>45901</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38594-2025</t>
        </is>
      </c>
      <c r="B38" s="1" t="n">
        <v>45884.49010416667</v>
      </c>
      <c r="C38" s="1" t="n">
        <v>45901</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13486-2025</t>
        </is>
      </c>
      <c r="B39" s="1" t="n">
        <v>45736.42762731481</v>
      </c>
      <c r="C39" s="1" t="n">
        <v>45901</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34747-2025</t>
        </is>
      </c>
      <c r="B40" s="1" t="n">
        <v>45848.61520833334</v>
      </c>
      <c r="C40" s="1" t="n">
        <v>45901</v>
      </c>
      <c r="D40" t="inlineStr">
        <is>
          <t>JÄMTLANDS LÄN</t>
        </is>
      </c>
      <c r="E40" t="inlineStr">
        <is>
          <t>BRÄCKE</t>
        </is>
      </c>
      <c r="G40" t="n">
        <v>2</v>
      </c>
      <c r="H40" t="n">
        <v>1</v>
      </c>
      <c r="I40" t="n">
        <v>1</v>
      </c>
      <c r="J40" t="n">
        <v>7</v>
      </c>
      <c r="K40" t="n">
        <v>1</v>
      </c>
      <c r="L40" t="n">
        <v>0</v>
      </c>
      <c r="M40" t="n">
        <v>0</v>
      </c>
      <c r="N40" t="n">
        <v>0</v>
      </c>
      <c r="O40" t="n">
        <v>8</v>
      </c>
      <c r="P40" t="n">
        <v>1</v>
      </c>
      <c r="Q40" t="n">
        <v>9</v>
      </c>
      <c r="R40" s="2" t="inlineStr">
        <is>
          <t>Gräddporing
Dvärgbägarlav
Garnlav
Lunglav
Orange taggsvamp
Skrovellav
Talltita
Vedflamlav
Dropptaggsvamp</t>
        </is>
      </c>
      <c r="S40">
        <f>HYPERLINK("https://klasma.github.io/Logging_2305/artfynd/A 34747-2025 artfynd.xlsx", "A 34747-2025")</f>
        <v/>
      </c>
      <c r="T40">
        <f>HYPERLINK("https://klasma.github.io/Logging_2305/kartor/A 34747-2025 karta.png", "A 34747-2025")</f>
        <v/>
      </c>
      <c r="V40">
        <f>HYPERLINK("https://klasma.github.io/Logging_2305/klagomål/A 34747-2025 FSC-klagomål.docx", "A 34747-2025")</f>
        <v/>
      </c>
      <c r="W40">
        <f>HYPERLINK("https://klasma.github.io/Logging_2305/klagomålsmail/A 34747-2025 FSC-klagomål mail.docx", "A 34747-2025")</f>
        <v/>
      </c>
      <c r="X40">
        <f>HYPERLINK("https://klasma.github.io/Logging_2305/tillsyn/A 34747-2025 tillsynsbegäran.docx", "A 34747-2025")</f>
        <v/>
      </c>
      <c r="Y40">
        <f>HYPERLINK("https://klasma.github.io/Logging_2305/tillsynsmail/A 34747-2025 tillsynsbegäran mail.docx", "A 34747-2025")</f>
        <v/>
      </c>
      <c r="Z40">
        <f>HYPERLINK("https://klasma.github.io/Logging_2305/fåglar/A 34747-2025 prioriterade fågelarter.docx", "A 34747-2025")</f>
        <v/>
      </c>
    </row>
    <row r="41" ht="15" customHeight="1">
      <c r="A41" t="inlineStr">
        <is>
          <t>A 23587-2025</t>
        </is>
      </c>
      <c r="B41" s="1" t="n">
        <v>45792.63597222222</v>
      </c>
      <c r="C41" s="1" t="n">
        <v>45901</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11982-2024</t>
        </is>
      </c>
      <c r="B42" s="1" t="n">
        <v>45376.95240740741</v>
      </c>
      <c r="C42" s="1" t="n">
        <v>45901</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45901</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51819-2023</t>
        </is>
      </c>
      <c r="B44" s="1" t="n">
        <v>45222</v>
      </c>
      <c r="C44" s="1" t="n">
        <v>45901</v>
      </c>
      <c r="D44" t="inlineStr">
        <is>
          <t>JÄMTLANDS LÄN</t>
        </is>
      </c>
      <c r="E44" t="inlineStr">
        <is>
          <t>BRÄCKE</t>
        </is>
      </c>
      <c r="F44" t="inlineStr">
        <is>
          <t>SCA</t>
        </is>
      </c>
      <c r="G44" t="n">
        <v>3.9</v>
      </c>
      <c r="H44" t="n">
        <v>0</v>
      </c>
      <c r="I44" t="n">
        <v>4</v>
      </c>
      <c r="J44" t="n">
        <v>3</v>
      </c>
      <c r="K44" t="n">
        <v>1</v>
      </c>
      <c r="L44" t="n">
        <v>0</v>
      </c>
      <c r="M44" t="n">
        <v>0</v>
      </c>
      <c r="N44" t="n">
        <v>0</v>
      </c>
      <c r="O44" t="n">
        <v>4</v>
      </c>
      <c r="P44" t="n">
        <v>1</v>
      </c>
      <c r="Q44" t="n">
        <v>8</v>
      </c>
      <c r="R44" s="2" t="inlineStr">
        <is>
          <t>Smalskaftslav
Lunglav
Skrovellav
Ullticka
Bårdlav
Korallblylav
Luddlav
Stuplav</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51037-2023</t>
        </is>
      </c>
      <c r="B45" s="1" t="n">
        <v>45218</v>
      </c>
      <c r="C45" s="1" t="n">
        <v>45901</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51820-2023</t>
        </is>
      </c>
      <c r="B46" s="1" t="n">
        <v>45222</v>
      </c>
      <c r="C46" s="1" t="n">
        <v>45901</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45901</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32565-2025</t>
        </is>
      </c>
      <c r="B48" s="1" t="n">
        <v>45838.57340277778</v>
      </c>
      <c r="C48" s="1" t="n">
        <v>45901</v>
      </c>
      <c r="D48" t="inlineStr">
        <is>
          <t>JÄMTLANDS LÄN</t>
        </is>
      </c>
      <c r="E48" t="inlineStr">
        <is>
          <t>BRÄCKE</t>
        </is>
      </c>
      <c r="F48" t="inlineStr">
        <is>
          <t>SCA</t>
        </is>
      </c>
      <c r="G48" t="n">
        <v>32.6</v>
      </c>
      <c r="H48" t="n">
        <v>3</v>
      </c>
      <c r="I48" t="n">
        <v>4</v>
      </c>
      <c r="J48" t="n">
        <v>3</v>
      </c>
      <c r="K48" t="n">
        <v>0</v>
      </c>
      <c r="L48" t="n">
        <v>0</v>
      </c>
      <c r="M48" t="n">
        <v>0</v>
      </c>
      <c r="N48" t="n">
        <v>0</v>
      </c>
      <c r="O48" t="n">
        <v>3</v>
      </c>
      <c r="P48" t="n">
        <v>0</v>
      </c>
      <c r="Q48" t="n">
        <v>8</v>
      </c>
      <c r="R48" s="2" t="inlineStr">
        <is>
          <t>Lunglav
Skrovellav
Talltita
Bårdlav
Plattlummer
Stor aspticka
Stuplav
Revlummer</t>
        </is>
      </c>
      <c r="S48">
        <f>HYPERLINK("https://klasma.github.io/Logging_2305/artfynd/A 32565-2025 artfynd.xlsx", "A 32565-2025")</f>
        <v/>
      </c>
      <c r="T48">
        <f>HYPERLINK("https://klasma.github.io/Logging_2305/kartor/A 32565-2025 karta.png", "A 32565-2025")</f>
        <v/>
      </c>
      <c r="V48">
        <f>HYPERLINK("https://klasma.github.io/Logging_2305/klagomål/A 32565-2025 FSC-klagomål.docx", "A 32565-2025")</f>
        <v/>
      </c>
      <c r="W48">
        <f>HYPERLINK("https://klasma.github.io/Logging_2305/klagomålsmail/A 32565-2025 FSC-klagomål mail.docx", "A 32565-2025")</f>
        <v/>
      </c>
      <c r="X48">
        <f>HYPERLINK("https://klasma.github.io/Logging_2305/tillsyn/A 32565-2025 tillsynsbegäran.docx", "A 32565-2025")</f>
        <v/>
      </c>
      <c r="Y48">
        <f>HYPERLINK("https://klasma.github.io/Logging_2305/tillsynsmail/A 32565-2025 tillsynsbegäran mail.docx", "A 32565-2025")</f>
        <v/>
      </c>
      <c r="Z48">
        <f>HYPERLINK("https://klasma.github.io/Logging_2305/fåglar/A 32565-2025 prioriterade fågelarter.docx", "A 32565-2025")</f>
        <v/>
      </c>
    </row>
    <row r="49" ht="15" customHeight="1">
      <c r="A49" t="inlineStr">
        <is>
          <t>A 38525-2025</t>
        </is>
      </c>
      <c r="B49" s="1" t="n">
        <v>45884.40674768519</v>
      </c>
      <c r="C49" s="1" t="n">
        <v>45901</v>
      </c>
      <c r="D49" t="inlineStr">
        <is>
          <t>JÄMTLANDS LÄN</t>
        </is>
      </c>
      <c r="E49" t="inlineStr">
        <is>
          <t>BRÄCKE</t>
        </is>
      </c>
      <c r="F49" t="inlineStr">
        <is>
          <t>SCA</t>
        </is>
      </c>
      <c r="G49" t="n">
        <v>3.9</v>
      </c>
      <c r="H49" t="n">
        <v>2</v>
      </c>
      <c r="I49" t="n">
        <v>2</v>
      </c>
      <c r="J49" t="n">
        <v>5</v>
      </c>
      <c r="K49" t="n">
        <v>1</v>
      </c>
      <c r="L49" t="n">
        <v>0</v>
      </c>
      <c r="M49" t="n">
        <v>0</v>
      </c>
      <c r="N49" t="n">
        <v>0</v>
      </c>
      <c r="O49" t="n">
        <v>6</v>
      </c>
      <c r="P49" t="n">
        <v>1</v>
      </c>
      <c r="Q49" t="n">
        <v>8</v>
      </c>
      <c r="R49" s="2" t="inlineStr">
        <is>
          <t>Knärot
Blanksvart spiklav
Granticka
Tretåig hackspett
Vitgrynig nållav
Vitskaftad svartspik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33388-2025</t>
        </is>
      </c>
      <c r="B50" s="1" t="n">
        <v>45841</v>
      </c>
      <c r="C50" s="1" t="n">
        <v>45901</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49336-2023</t>
        </is>
      </c>
      <c r="B51" s="1" t="n">
        <v>45210</v>
      </c>
      <c r="C51" s="1" t="n">
        <v>45901</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8707-2025</t>
        </is>
      </c>
      <c r="B52" s="1" t="n">
        <v>45712.49047453704</v>
      </c>
      <c r="C52" s="1" t="n">
        <v>45901</v>
      </c>
      <c r="D52" t="inlineStr">
        <is>
          <t>JÄMTLANDS LÄN</t>
        </is>
      </c>
      <c r="E52" t="inlineStr">
        <is>
          <t>BRÄCKE</t>
        </is>
      </c>
      <c r="F52" t="inlineStr">
        <is>
          <t>SCA</t>
        </is>
      </c>
      <c r="G52" t="n">
        <v>1.7</v>
      </c>
      <c r="H52" t="n">
        <v>2</v>
      </c>
      <c r="I52" t="n">
        <v>1</v>
      </c>
      <c r="J52" t="n">
        <v>6</v>
      </c>
      <c r="K52" t="n">
        <v>1</v>
      </c>
      <c r="L52" t="n">
        <v>0</v>
      </c>
      <c r="M52" t="n">
        <v>0</v>
      </c>
      <c r="N52" t="n">
        <v>0</v>
      </c>
      <c r="O52" t="n">
        <v>7</v>
      </c>
      <c r="P52" t="n">
        <v>1</v>
      </c>
      <c r="Q52" t="n">
        <v>8</v>
      </c>
      <c r="R52" s="2" t="inlineStr">
        <is>
          <t>Knärot
Garnlav
Kandelabersvamp
Kolflarnlav
Kortskaftad ärgspik
Mörk kolflarnlav
Ullticka
Grönkulla</t>
        </is>
      </c>
      <c r="S52">
        <f>HYPERLINK("https://klasma.github.io/Logging_2305/artfynd/A 8707-2025 artfynd.xlsx", "A 8707-2025")</f>
        <v/>
      </c>
      <c r="T52">
        <f>HYPERLINK("https://klasma.github.io/Logging_2305/kartor/A 8707-2025 karta.png", "A 8707-2025")</f>
        <v/>
      </c>
      <c r="U52">
        <f>HYPERLINK("https://klasma.github.io/Logging_2305/knärot/A 8707-2025 karta knärot.png", "A 8707-2025")</f>
        <v/>
      </c>
      <c r="V52">
        <f>HYPERLINK("https://klasma.github.io/Logging_2305/klagomål/A 8707-2025 FSC-klagomål.docx", "A 8707-2025")</f>
        <v/>
      </c>
      <c r="W52">
        <f>HYPERLINK("https://klasma.github.io/Logging_2305/klagomålsmail/A 8707-2025 FSC-klagomål mail.docx", "A 8707-2025")</f>
        <v/>
      </c>
      <c r="X52">
        <f>HYPERLINK("https://klasma.github.io/Logging_2305/tillsyn/A 8707-2025 tillsynsbegäran.docx", "A 8707-2025")</f>
        <v/>
      </c>
      <c r="Y52">
        <f>HYPERLINK("https://klasma.github.io/Logging_2305/tillsynsmail/A 8707-2025 tillsynsbegäran mail.docx", "A 8707-2025")</f>
        <v/>
      </c>
    </row>
    <row r="53" ht="15" customHeight="1">
      <c r="A53" t="inlineStr">
        <is>
          <t>A 23588-2025</t>
        </is>
      </c>
      <c r="B53" s="1" t="n">
        <v>45792.63607638889</v>
      </c>
      <c r="C53" s="1" t="n">
        <v>45901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20087-2025</t>
        </is>
      </c>
      <c r="B54" s="1" t="n">
        <v>45772.45626157407</v>
      </c>
      <c r="C54" s="1" t="n">
        <v>45901</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44514-2024</t>
        </is>
      </c>
      <c r="B55" s="1" t="n">
        <v>45574.42746527777</v>
      </c>
      <c r="C55" s="1" t="n">
        <v>45901</v>
      </c>
      <c r="D55" t="inlineStr">
        <is>
          <t>JÄMTLANDS LÄN</t>
        </is>
      </c>
      <c r="E55" t="inlineStr">
        <is>
          <t>BRÄCKE</t>
        </is>
      </c>
      <c r="F55" t="inlineStr">
        <is>
          <t>SCA</t>
        </is>
      </c>
      <c r="G55" t="n">
        <v>12.8</v>
      </c>
      <c r="H55" t="n">
        <v>0</v>
      </c>
      <c r="I55" t="n">
        <v>3</v>
      </c>
      <c r="J55" t="n">
        <v>4</v>
      </c>
      <c r="K55" t="n">
        <v>0</v>
      </c>
      <c r="L55" t="n">
        <v>0</v>
      </c>
      <c r="M55" t="n">
        <v>0</v>
      </c>
      <c r="N55" t="n">
        <v>0</v>
      </c>
      <c r="O55" t="n">
        <v>4</v>
      </c>
      <c r="P55" t="n">
        <v>0</v>
      </c>
      <c r="Q55" t="n">
        <v>7</v>
      </c>
      <c r="R55" s="2" t="inlineStr">
        <is>
          <t>Dvärgbägarlav
Kolflarnlav
Lunglav
Skrovellav
Bårdlav
Skinnlav
Stuplav</t>
        </is>
      </c>
      <c r="S55">
        <f>HYPERLINK("https://klasma.github.io/Logging_2305/artfynd/A 44514-2024 artfynd.xlsx", "A 44514-2024")</f>
        <v/>
      </c>
      <c r="T55">
        <f>HYPERLINK("https://klasma.github.io/Logging_2305/kartor/A 44514-2024 karta.png", "A 44514-2024")</f>
        <v/>
      </c>
      <c r="V55">
        <f>HYPERLINK("https://klasma.github.io/Logging_2305/klagomål/A 44514-2024 FSC-klagomål.docx", "A 44514-2024")</f>
        <v/>
      </c>
      <c r="W55">
        <f>HYPERLINK("https://klasma.github.io/Logging_2305/klagomålsmail/A 44514-2024 FSC-klagomål mail.docx", "A 44514-2024")</f>
        <v/>
      </c>
      <c r="X55">
        <f>HYPERLINK("https://klasma.github.io/Logging_2305/tillsyn/A 44514-2024 tillsynsbegäran.docx", "A 44514-2024")</f>
        <v/>
      </c>
      <c r="Y55">
        <f>HYPERLINK("https://klasma.github.io/Logging_2305/tillsynsmail/A 44514-2024 tillsynsbegäran mail.docx", "A 44514-2024")</f>
        <v/>
      </c>
    </row>
    <row r="56" ht="15" customHeight="1">
      <c r="A56" t="inlineStr">
        <is>
          <t>A 21452-2025</t>
        </is>
      </c>
      <c r="B56" s="1" t="n">
        <v>45782.55300925926</v>
      </c>
      <c r="C56" s="1" t="n">
        <v>45901</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26956-2024</t>
        </is>
      </c>
      <c r="B57" s="1" t="n">
        <v>45470.97053240741</v>
      </c>
      <c r="C57" s="1" t="n">
        <v>45901</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18898-2025</t>
        </is>
      </c>
      <c r="B58" s="1" t="n">
        <v>45764.44885416667</v>
      </c>
      <c r="C58" s="1" t="n">
        <v>45901</v>
      </c>
      <c r="D58" t="inlineStr">
        <is>
          <t>JÄMTLANDS LÄN</t>
        </is>
      </c>
      <c r="E58" t="inlineStr">
        <is>
          <t>BRÄCKE</t>
        </is>
      </c>
      <c r="F58" t="inlineStr">
        <is>
          <t>SCA</t>
        </is>
      </c>
      <c r="G58" t="n">
        <v>3.6</v>
      </c>
      <c r="H58" t="n">
        <v>3</v>
      </c>
      <c r="I58" t="n">
        <v>3</v>
      </c>
      <c r="J58" t="n">
        <v>2</v>
      </c>
      <c r="K58" t="n">
        <v>1</v>
      </c>
      <c r="L58" t="n">
        <v>0</v>
      </c>
      <c r="M58" t="n">
        <v>0</v>
      </c>
      <c r="N58" t="n">
        <v>0</v>
      </c>
      <c r="O58" t="n">
        <v>3</v>
      </c>
      <c r="P58" t="n">
        <v>1</v>
      </c>
      <c r="Q58" t="n">
        <v>7</v>
      </c>
      <c r="R58" s="2" t="inlineStr">
        <is>
          <t>Knärot
Granticka
Lunglav
Korallblylav
Plattlummer
Skinnlav
Kungsfågel</t>
        </is>
      </c>
      <c r="S58">
        <f>HYPERLINK("https://klasma.github.io/Logging_2305/artfynd/A 18898-2025 artfynd.xlsx", "A 18898-2025")</f>
        <v/>
      </c>
      <c r="T58">
        <f>HYPERLINK("https://klasma.github.io/Logging_2305/kartor/A 18898-2025 karta.png", "A 18898-2025")</f>
        <v/>
      </c>
      <c r="U58">
        <f>HYPERLINK("https://klasma.github.io/Logging_2305/knärot/A 18898-2025 karta knärot.png", "A 18898-2025")</f>
        <v/>
      </c>
      <c r="V58">
        <f>HYPERLINK("https://klasma.github.io/Logging_2305/klagomål/A 18898-2025 FSC-klagomål.docx", "A 18898-2025")</f>
        <v/>
      </c>
      <c r="W58">
        <f>HYPERLINK("https://klasma.github.io/Logging_2305/klagomålsmail/A 18898-2025 FSC-klagomål mail.docx", "A 18898-2025")</f>
        <v/>
      </c>
      <c r="X58">
        <f>HYPERLINK("https://klasma.github.io/Logging_2305/tillsyn/A 18898-2025 tillsynsbegäran.docx", "A 18898-2025")</f>
        <v/>
      </c>
      <c r="Y58">
        <f>HYPERLINK("https://klasma.github.io/Logging_2305/tillsynsmail/A 18898-2025 tillsynsbegäran mail.docx", "A 18898-2025")</f>
        <v/>
      </c>
      <c r="Z58">
        <f>HYPERLINK("https://klasma.github.io/Logging_2305/fåglar/A 18898-2025 prioriterade fågelarter.docx", "A 18898-2025")</f>
        <v/>
      </c>
    </row>
    <row r="59" ht="15" customHeight="1">
      <c r="A59" t="inlineStr">
        <is>
          <t>A 41199-2025</t>
        </is>
      </c>
      <c r="B59" s="1" t="n">
        <v>45898.57366898148</v>
      </c>
      <c r="C59" s="1" t="n">
        <v>45901</v>
      </c>
      <c r="D59" t="inlineStr">
        <is>
          <t>JÄMTLANDS LÄN</t>
        </is>
      </c>
      <c r="E59" t="inlineStr">
        <is>
          <t>BRÄCKE</t>
        </is>
      </c>
      <c r="F59" t="inlineStr">
        <is>
          <t>SCA</t>
        </is>
      </c>
      <c r="G59" t="n">
        <v>5.4</v>
      </c>
      <c r="H59" t="n">
        <v>0</v>
      </c>
      <c r="I59" t="n">
        <v>2</v>
      </c>
      <c r="J59" t="n">
        <v>5</v>
      </c>
      <c r="K59" t="n">
        <v>0</v>
      </c>
      <c r="L59" t="n">
        <v>0</v>
      </c>
      <c r="M59" t="n">
        <v>0</v>
      </c>
      <c r="N59" t="n">
        <v>0</v>
      </c>
      <c r="O59" t="n">
        <v>5</v>
      </c>
      <c r="P59" t="n">
        <v>0</v>
      </c>
      <c r="Q59" t="n">
        <v>7</v>
      </c>
      <c r="R59" s="2" t="inlineStr">
        <is>
          <t>Garnlav
Granticka
Lunglav
Skrovellav
Tallticka
Luddlav
Svavelriska</t>
        </is>
      </c>
      <c r="S59">
        <f>HYPERLINK("https://klasma.github.io/Logging_2305/artfynd/A 41199-2025 artfynd.xlsx", "A 41199-2025")</f>
        <v/>
      </c>
      <c r="T59">
        <f>HYPERLINK("https://klasma.github.io/Logging_2305/kartor/A 41199-2025 karta.png", "A 41199-2025")</f>
        <v/>
      </c>
      <c r="V59">
        <f>HYPERLINK("https://klasma.github.io/Logging_2305/klagomål/A 41199-2025 FSC-klagomål.docx", "A 41199-2025")</f>
        <v/>
      </c>
      <c r="W59">
        <f>HYPERLINK("https://klasma.github.io/Logging_2305/klagomålsmail/A 41199-2025 FSC-klagomål mail.docx", "A 41199-2025")</f>
        <v/>
      </c>
      <c r="X59">
        <f>HYPERLINK("https://klasma.github.io/Logging_2305/tillsyn/A 41199-2025 tillsynsbegäran.docx", "A 41199-2025")</f>
        <v/>
      </c>
      <c r="Y59">
        <f>HYPERLINK("https://klasma.github.io/Logging_2305/tillsynsmail/A 41199-2025 tillsynsbegäran mail.docx", "A 41199-2025")</f>
        <v/>
      </c>
    </row>
    <row r="60" ht="15" customHeight="1">
      <c r="A60" t="inlineStr">
        <is>
          <t>A 32725-2023</t>
        </is>
      </c>
      <c r="B60" s="1" t="n">
        <v>45121</v>
      </c>
      <c r="C60" s="1" t="n">
        <v>45901</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45109-2024</t>
        </is>
      </c>
      <c r="B61" s="1" t="n">
        <v>45575.59435185185</v>
      </c>
      <c r="C61" s="1" t="n">
        <v>45901</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35419-2024</t>
        </is>
      </c>
      <c r="B62" s="1" t="n">
        <v>45531.40895833333</v>
      </c>
      <c r="C62" s="1" t="n">
        <v>45901</v>
      </c>
      <c r="D62" t="inlineStr">
        <is>
          <t>JÄMTLANDS LÄN</t>
        </is>
      </c>
      <c r="E62" t="inlineStr">
        <is>
          <t>BRÄCKE</t>
        </is>
      </c>
      <c r="F62" t="inlineStr">
        <is>
          <t>SCA</t>
        </is>
      </c>
      <c r="G62" t="n">
        <v>3.6</v>
      </c>
      <c r="H62" t="n">
        <v>3</v>
      </c>
      <c r="I62" t="n">
        <v>1</v>
      </c>
      <c r="J62" t="n">
        <v>3</v>
      </c>
      <c r="K62" t="n">
        <v>0</v>
      </c>
      <c r="L62" t="n">
        <v>0</v>
      </c>
      <c r="M62" t="n">
        <v>0</v>
      </c>
      <c r="N62" t="n">
        <v>0</v>
      </c>
      <c r="O62" t="n">
        <v>3</v>
      </c>
      <c r="P62" t="n">
        <v>0</v>
      </c>
      <c r="Q62" t="n">
        <v>6</v>
      </c>
      <c r="R62" s="2" t="inlineStr">
        <is>
          <t>Lunglav
Skrovellav
Talltita
Stuplav
Kungsfågel
Nattviol</t>
        </is>
      </c>
      <c r="S62">
        <f>HYPERLINK("https://klasma.github.io/Logging_2305/artfynd/A 35419-2024 artfynd.xlsx", "A 35419-2024")</f>
        <v/>
      </c>
      <c r="T62">
        <f>HYPERLINK("https://klasma.github.io/Logging_2305/kartor/A 35419-2024 karta.png", "A 35419-2024")</f>
        <v/>
      </c>
      <c r="V62">
        <f>HYPERLINK("https://klasma.github.io/Logging_2305/klagomål/A 35419-2024 FSC-klagomål.docx", "A 35419-2024")</f>
        <v/>
      </c>
      <c r="W62">
        <f>HYPERLINK("https://klasma.github.io/Logging_2305/klagomålsmail/A 35419-2024 FSC-klagomål mail.docx", "A 35419-2024")</f>
        <v/>
      </c>
      <c r="X62">
        <f>HYPERLINK("https://klasma.github.io/Logging_2305/tillsyn/A 35419-2024 tillsynsbegäran.docx", "A 35419-2024")</f>
        <v/>
      </c>
      <c r="Y62">
        <f>HYPERLINK("https://klasma.github.io/Logging_2305/tillsynsmail/A 35419-2024 tillsynsbegäran mail.docx", "A 35419-2024")</f>
        <v/>
      </c>
      <c r="Z62">
        <f>HYPERLINK("https://klasma.github.io/Logging_2305/fåglar/A 35419-2024 prioriterade fågelarter.docx", "A 35419-2024")</f>
        <v/>
      </c>
    </row>
    <row r="63" ht="15" customHeight="1">
      <c r="A63" t="inlineStr">
        <is>
          <t>A 29464-2024</t>
        </is>
      </c>
      <c r="B63" s="1" t="n">
        <v>45483.97010416666</v>
      </c>
      <c r="C63" s="1" t="n">
        <v>45901</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59719-2024</t>
        </is>
      </c>
      <c r="B64" s="1" t="n">
        <v>45639.47033564815</v>
      </c>
      <c r="C64" s="1" t="n">
        <v>45901</v>
      </c>
      <c r="D64" t="inlineStr">
        <is>
          <t>JÄMTLANDS LÄN</t>
        </is>
      </c>
      <c r="E64" t="inlineStr">
        <is>
          <t>BRÄCKE</t>
        </is>
      </c>
      <c r="F64" t="inlineStr">
        <is>
          <t>SCA</t>
        </is>
      </c>
      <c r="G64" t="n">
        <v>1.8</v>
      </c>
      <c r="H64" t="n">
        <v>1</v>
      </c>
      <c r="I64" t="n">
        <v>2</v>
      </c>
      <c r="J64" t="n">
        <v>4</v>
      </c>
      <c r="K64" t="n">
        <v>0</v>
      </c>
      <c r="L64" t="n">
        <v>0</v>
      </c>
      <c r="M64" t="n">
        <v>0</v>
      </c>
      <c r="N64" t="n">
        <v>0</v>
      </c>
      <c r="O64" t="n">
        <v>4</v>
      </c>
      <c r="P64" t="n">
        <v>0</v>
      </c>
      <c r="Q64" t="n">
        <v>6</v>
      </c>
      <c r="R64" s="2" t="inlineStr">
        <is>
          <t>Granticka
Lunglav
Tretåig hackspett
Ullticka
Trådticka
Vedticka</t>
        </is>
      </c>
      <c r="S64">
        <f>HYPERLINK("https://klasma.github.io/Logging_2305/artfynd/A 59719-2024 artfynd.xlsx", "A 59719-2024")</f>
        <v/>
      </c>
      <c r="T64">
        <f>HYPERLINK("https://klasma.github.io/Logging_2305/kartor/A 59719-2024 karta.png", "A 59719-2024")</f>
        <v/>
      </c>
      <c r="V64">
        <f>HYPERLINK("https://klasma.github.io/Logging_2305/klagomål/A 59719-2024 FSC-klagomål.docx", "A 59719-2024")</f>
        <v/>
      </c>
      <c r="W64">
        <f>HYPERLINK("https://klasma.github.io/Logging_2305/klagomålsmail/A 59719-2024 FSC-klagomål mail.docx", "A 59719-2024")</f>
        <v/>
      </c>
      <c r="X64">
        <f>HYPERLINK("https://klasma.github.io/Logging_2305/tillsyn/A 59719-2024 tillsynsbegäran.docx", "A 59719-2024")</f>
        <v/>
      </c>
      <c r="Y64">
        <f>HYPERLINK("https://klasma.github.io/Logging_2305/tillsynsmail/A 59719-2024 tillsynsbegäran mail.docx", "A 59719-2024")</f>
        <v/>
      </c>
      <c r="Z64">
        <f>HYPERLINK("https://klasma.github.io/Logging_2305/fåglar/A 59719-2024 prioriterade fågelarter.docx", "A 59719-2024")</f>
        <v/>
      </c>
    </row>
    <row r="65" ht="15" customHeight="1">
      <c r="A65" t="inlineStr">
        <is>
          <t>A 13548-2024</t>
        </is>
      </c>
      <c r="B65" s="1" t="n">
        <v>45387.95348379629</v>
      </c>
      <c r="C65" s="1" t="n">
        <v>45901</v>
      </c>
      <c r="D65" t="inlineStr">
        <is>
          <t>JÄMTLANDS LÄN</t>
        </is>
      </c>
      <c r="E65" t="inlineStr">
        <is>
          <t>BRÄCKE</t>
        </is>
      </c>
      <c r="F65" t="inlineStr">
        <is>
          <t>SCA</t>
        </is>
      </c>
      <c r="G65" t="n">
        <v>1.3</v>
      </c>
      <c r="H65" t="n">
        <v>0</v>
      </c>
      <c r="I65" t="n">
        <v>2</v>
      </c>
      <c r="J65" t="n">
        <v>4</v>
      </c>
      <c r="K65" t="n">
        <v>0</v>
      </c>
      <c r="L65" t="n">
        <v>0</v>
      </c>
      <c r="M65" t="n">
        <v>0</v>
      </c>
      <c r="N65" t="n">
        <v>0</v>
      </c>
      <c r="O65" t="n">
        <v>4</v>
      </c>
      <c r="P65" t="n">
        <v>0</v>
      </c>
      <c r="Q65" t="n">
        <v>6</v>
      </c>
      <c r="R65" s="2" t="inlineStr">
        <is>
          <t>Blå taggsvamp
Dvärgbägarlav
Kolflarnlav
Motaggsvamp
Skinnlav
Vedticka</t>
        </is>
      </c>
      <c r="S65">
        <f>HYPERLINK("https://klasma.github.io/Logging_2305/artfynd/A 13548-2024 artfynd.xlsx", "A 13548-2024")</f>
        <v/>
      </c>
      <c r="T65">
        <f>HYPERLINK("https://klasma.github.io/Logging_2305/kartor/A 13548-2024 karta.png", "A 13548-2024")</f>
        <v/>
      </c>
      <c r="V65">
        <f>HYPERLINK("https://klasma.github.io/Logging_2305/klagomål/A 13548-2024 FSC-klagomål.docx", "A 13548-2024")</f>
        <v/>
      </c>
      <c r="W65">
        <f>HYPERLINK("https://klasma.github.io/Logging_2305/klagomålsmail/A 13548-2024 FSC-klagomål mail.docx", "A 13548-2024")</f>
        <v/>
      </c>
      <c r="X65">
        <f>HYPERLINK("https://klasma.github.io/Logging_2305/tillsyn/A 13548-2024 tillsynsbegäran.docx", "A 13548-2024")</f>
        <v/>
      </c>
      <c r="Y65">
        <f>HYPERLINK("https://klasma.github.io/Logging_2305/tillsynsmail/A 13548-2024 tillsynsbegäran mail.docx", "A 13548-2024")</f>
        <v/>
      </c>
    </row>
    <row r="66" ht="15" customHeight="1">
      <c r="A66" t="inlineStr">
        <is>
          <t>A 29141-2025</t>
        </is>
      </c>
      <c r="B66" s="1" t="n">
        <v>45821.61508101852</v>
      </c>
      <c r="C66" s="1" t="n">
        <v>45901</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32580-2025</t>
        </is>
      </c>
      <c r="B67" s="1" t="n">
        <v>45838.59434027778</v>
      </c>
      <c r="C67" s="1" t="n">
        <v>45901</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43982-2023</t>
        </is>
      </c>
      <c r="B68" s="1" t="n">
        <v>45187</v>
      </c>
      <c r="C68" s="1" t="n">
        <v>45901</v>
      </c>
      <c r="D68" t="inlineStr">
        <is>
          <t>JÄMTLANDS LÄN</t>
        </is>
      </c>
      <c r="E68" t="inlineStr">
        <is>
          <t>BRÄCKE</t>
        </is>
      </c>
      <c r="F68" t="inlineStr">
        <is>
          <t>SCA</t>
        </is>
      </c>
      <c r="G68" t="n">
        <v>25.6</v>
      </c>
      <c r="H68" t="n">
        <v>4</v>
      </c>
      <c r="I68" t="n">
        <v>2</v>
      </c>
      <c r="J68" t="n">
        <v>3</v>
      </c>
      <c r="K68" t="n">
        <v>1</v>
      </c>
      <c r="L68" t="n">
        <v>0</v>
      </c>
      <c r="M68" t="n">
        <v>0</v>
      </c>
      <c r="N68" t="n">
        <v>0</v>
      </c>
      <c r="O68" t="n">
        <v>4</v>
      </c>
      <c r="P68" t="n">
        <v>1</v>
      </c>
      <c r="Q68" t="n">
        <v>6</v>
      </c>
      <c r="R68" s="2" t="inlineStr">
        <is>
          <t>Knärot
Kolflarnlav
Lunglav
Tretåig hackspett
Korallrot
Spindelblomster</t>
        </is>
      </c>
      <c r="S68">
        <f>HYPERLINK("https://klasma.github.io/Logging_2305/artfynd/A 43982-2023 artfynd.xlsx", "A 43982-2023")</f>
        <v/>
      </c>
      <c r="T68">
        <f>HYPERLINK("https://klasma.github.io/Logging_2305/kartor/A 43982-2023 karta.png", "A 43982-2023")</f>
        <v/>
      </c>
      <c r="U68">
        <f>HYPERLINK("https://klasma.github.io/Logging_2305/knärot/A 43982-2023 karta knärot.png", "A 43982-2023")</f>
        <v/>
      </c>
      <c r="V68">
        <f>HYPERLINK("https://klasma.github.io/Logging_2305/klagomål/A 43982-2023 FSC-klagomål.docx", "A 43982-2023")</f>
        <v/>
      </c>
      <c r="W68">
        <f>HYPERLINK("https://klasma.github.io/Logging_2305/klagomålsmail/A 43982-2023 FSC-klagomål mail.docx", "A 43982-2023")</f>
        <v/>
      </c>
      <c r="X68">
        <f>HYPERLINK("https://klasma.github.io/Logging_2305/tillsyn/A 43982-2023 tillsynsbegäran.docx", "A 43982-2023")</f>
        <v/>
      </c>
      <c r="Y68">
        <f>HYPERLINK("https://klasma.github.io/Logging_2305/tillsynsmail/A 43982-2023 tillsynsbegäran mail.docx", "A 43982-2023")</f>
        <v/>
      </c>
      <c r="Z68">
        <f>HYPERLINK("https://klasma.github.io/Logging_2305/fåglar/A 43982-2023 prioriterade fågelarter.docx", "A 43982-2023")</f>
        <v/>
      </c>
    </row>
    <row r="69" ht="15" customHeight="1">
      <c r="A69" t="inlineStr">
        <is>
          <t>A 43989-2023</t>
        </is>
      </c>
      <c r="B69" s="1" t="n">
        <v>45187</v>
      </c>
      <c r="C69" s="1" t="n">
        <v>45901</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52152-2024</t>
        </is>
      </c>
      <c r="B70" s="1" t="n">
        <v>45608.52387731482</v>
      </c>
      <c r="C70" s="1" t="n">
        <v>45901</v>
      </c>
      <c r="D70" t="inlineStr">
        <is>
          <t>JÄMTLANDS LÄN</t>
        </is>
      </c>
      <c r="E70" t="inlineStr">
        <is>
          <t>BRÄCKE</t>
        </is>
      </c>
      <c r="F70" t="inlineStr">
        <is>
          <t>SCA</t>
        </is>
      </c>
      <c r="G70" t="n">
        <v>3</v>
      </c>
      <c r="H70" t="n">
        <v>0</v>
      </c>
      <c r="I70" t="n">
        <v>1</v>
      </c>
      <c r="J70" t="n">
        <v>4</v>
      </c>
      <c r="K70" t="n">
        <v>1</v>
      </c>
      <c r="L70" t="n">
        <v>0</v>
      </c>
      <c r="M70" t="n">
        <v>0</v>
      </c>
      <c r="N70" t="n">
        <v>0</v>
      </c>
      <c r="O70" t="n">
        <v>5</v>
      </c>
      <c r="P70" t="n">
        <v>1</v>
      </c>
      <c r="Q70" t="n">
        <v>6</v>
      </c>
      <c r="R70" s="2" t="inlineStr">
        <is>
          <t>Rynkskinn
Lunglav
Skrovellav
Vedflikmossa
Vedtrappmossa
Tallfingersvamp</t>
        </is>
      </c>
      <c r="S70">
        <f>HYPERLINK("https://klasma.github.io/Logging_2305/artfynd/A 52152-2024 artfynd.xlsx", "A 52152-2024")</f>
        <v/>
      </c>
      <c r="T70">
        <f>HYPERLINK("https://klasma.github.io/Logging_2305/kartor/A 52152-2024 karta.png", "A 52152-2024")</f>
        <v/>
      </c>
      <c r="U70">
        <f>HYPERLINK("https://klasma.github.io/Logging_2305/knärot/A 52152-2024 karta knärot.png", "A 52152-2024")</f>
        <v/>
      </c>
      <c r="V70">
        <f>HYPERLINK("https://klasma.github.io/Logging_2305/klagomål/A 52152-2024 FSC-klagomål.docx", "A 52152-2024")</f>
        <v/>
      </c>
      <c r="W70">
        <f>HYPERLINK("https://klasma.github.io/Logging_2305/klagomålsmail/A 52152-2024 FSC-klagomål mail.docx", "A 52152-2024")</f>
        <v/>
      </c>
      <c r="X70">
        <f>HYPERLINK("https://klasma.github.io/Logging_2305/tillsyn/A 52152-2024 tillsynsbegäran.docx", "A 52152-2024")</f>
        <v/>
      </c>
      <c r="Y70">
        <f>HYPERLINK("https://klasma.github.io/Logging_2305/tillsynsmail/A 52152-2024 tillsynsbegäran mail.docx", "A 52152-2024")</f>
        <v/>
      </c>
    </row>
    <row r="71" ht="15" customHeight="1">
      <c r="A71" t="inlineStr">
        <is>
          <t>A 29272-2024</t>
        </is>
      </c>
      <c r="B71" s="1" t="n">
        <v>45482.94998842593</v>
      </c>
      <c r="C71" s="1" t="n">
        <v>45901</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49540-2022</t>
        </is>
      </c>
      <c r="B72" s="1" t="n">
        <v>44861</v>
      </c>
      <c r="C72" s="1" t="n">
        <v>45901</v>
      </c>
      <c r="D72" t="inlineStr">
        <is>
          <t>JÄMTLANDS LÄN</t>
        </is>
      </c>
      <c r="E72" t="inlineStr">
        <is>
          <t>BRÄCKE</t>
        </is>
      </c>
      <c r="F72" t="inlineStr">
        <is>
          <t>SCA</t>
        </is>
      </c>
      <c r="G72" t="n">
        <v>10.5</v>
      </c>
      <c r="H72" t="n">
        <v>2</v>
      </c>
      <c r="I72" t="n">
        <v>0</v>
      </c>
      <c r="J72" t="n">
        <v>4</v>
      </c>
      <c r="K72" t="n">
        <v>2</v>
      </c>
      <c r="L72" t="n">
        <v>0</v>
      </c>
      <c r="M72" t="n">
        <v>0</v>
      </c>
      <c r="N72" t="n">
        <v>0</v>
      </c>
      <c r="O72" t="n">
        <v>6</v>
      </c>
      <c r="P72" t="n">
        <v>2</v>
      </c>
      <c r="Q72" t="n">
        <v>6</v>
      </c>
      <c r="R72" s="2" t="inlineStr">
        <is>
          <t>Knärot
Rynkskinn
Rosenticka
Talltita
Ullticka
Äggvaxskivling</t>
        </is>
      </c>
      <c r="S72">
        <f>HYPERLINK("https://klasma.github.io/Logging_2305/artfynd/A 49540-2022 artfynd.xlsx", "A 49540-2022")</f>
        <v/>
      </c>
      <c r="T72">
        <f>HYPERLINK("https://klasma.github.io/Logging_2305/kartor/A 49540-2022 karta.png", "A 49540-2022")</f>
        <v/>
      </c>
      <c r="U72">
        <f>HYPERLINK("https://klasma.github.io/Logging_2305/knärot/A 49540-2022 karta knärot.png", "A 49540-2022")</f>
        <v/>
      </c>
      <c r="V72">
        <f>HYPERLINK("https://klasma.github.io/Logging_2305/klagomål/A 49540-2022 FSC-klagomål.docx", "A 49540-2022")</f>
        <v/>
      </c>
      <c r="W72">
        <f>HYPERLINK("https://klasma.github.io/Logging_2305/klagomålsmail/A 49540-2022 FSC-klagomål mail.docx", "A 49540-2022")</f>
        <v/>
      </c>
      <c r="X72">
        <f>HYPERLINK("https://klasma.github.io/Logging_2305/tillsyn/A 49540-2022 tillsynsbegäran.docx", "A 49540-2022")</f>
        <v/>
      </c>
      <c r="Y72">
        <f>HYPERLINK("https://klasma.github.io/Logging_2305/tillsynsmail/A 49540-2022 tillsynsbegäran mail.docx", "A 49540-2022")</f>
        <v/>
      </c>
      <c r="Z72">
        <f>HYPERLINK("https://klasma.github.io/Logging_2305/fåglar/A 49540-2022 prioriterade fågelarter.docx", "A 49540-2022")</f>
        <v/>
      </c>
    </row>
    <row r="73" ht="15" customHeight="1">
      <c r="A73" t="inlineStr">
        <is>
          <t>A 40376-2024</t>
        </is>
      </c>
      <c r="B73" s="1" t="n">
        <v>45555.4065162037</v>
      </c>
      <c r="C73" s="1" t="n">
        <v>45901</v>
      </c>
      <c r="D73" t="inlineStr">
        <is>
          <t>JÄMTLANDS LÄN</t>
        </is>
      </c>
      <c r="E73" t="inlineStr">
        <is>
          <t>BRÄCKE</t>
        </is>
      </c>
      <c r="F73" t="inlineStr">
        <is>
          <t>Naturvårdsverket</t>
        </is>
      </c>
      <c r="G73" t="n">
        <v>2.9</v>
      </c>
      <c r="H73" t="n">
        <v>0</v>
      </c>
      <c r="I73" t="n">
        <v>1</v>
      </c>
      <c r="J73" t="n">
        <v>5</v>
      </c>
      <c r="K73" t="n">
        <v>0</v>
      </c>
      <c r="L73" t="n">
        <v>0</v>
      </c>
      <c r="M73" t="n">
        <v>0</v>
      </c>
      <c r="N73" t="n">
        <v>0</v>
      </c>
      <c r="O73" t="n">
        <v>5</v>
      </c>
      <c r="P73" t="n">
        <v>0</v>
      </c>
      <c r="Q73" t="n">
        <v>6</v>
      </c>
      <c r="R73" s="2" t="inlineStr">
        <is>
          <t>Dvärgbägarlav
Kolflarnlav
Mörk kolflarnlav
Vedflamlav
Vedskivlav
Dropptaggsvamp</t>
        </is>
      </c>
      <c r="S73">
        <f>HYPERLINK("https://klasma.github.io/Logging_2305/artfynd/A 40376-2024 artfynd.xlsx", "A 40376-2024")</f>
        <v/>
      </c>
      <c r="T73">
        <f>HYPERLINK("https://klasma.github.io/Logging_2305/kartor/A 40376-2024 karta.png", "A 40376-2024")</f>
        <v/>
      </c>
      <c r="U73">
        <f>HYPERLINK("https://klasma.github.io/Logging_2305/knärot/A 40376-2024 karta knärot.png", "A 40376-2024")</f>
        <v/>
      </c>
      <c r="V73">
        <f>HYPERLINK("https://klasma.github.io/Logging_2305/klagomål/A 40376-2024 FSC-klagomål.docx", "A 40376-2024")</f>
        <v/>
      </c>
      <c r="W73">
        <f>HYPERLINK("https://klasma.github.io/Logging_2305/klagomålsmail/A 40376-2024 FSC-klagomål mail.docx", "A 40376-2024")</f>
        <v/>
      </c>
      <c r="X73">
        <f>HYPERLINK("https://klasma.github.io/Logging_2305/tillsyn/A 40376-2024 tillsynsbegäran.docx", "A 40376-2024")</f>
        <v/>
      </c>
      <c r="Y73">
        <f>HYPERLINK("https://klasma.github.io/Logging_2305/tillsynsmail/A 40376-2024 tillsynsbegäran mail.docx", "A 40376-2024")</f>
        <v/>
      </c>
    </row>
    <row r="74" ht="15" customHeight="1">
      <c r="A74" t="inlineStr">
        <is>
          <t>A 14576-2024</t>
        </is>
      </c>
      <c r="B74" s="1" t="n">
        <v>45394.95033564815</v>
      </c>
      <c r="C74" s="1" t="n">
        <v>45901</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47560-2024</t>
        </is>
      </c>
      <c r="B75" s="1" t="n">
        <v>45587.6758449074</v>
      </c>
      <c r="C75" s="1" t="n">
        <v>45901</v>
      </c>
      <c r="D75" t="inlineStr">
        <is>
          <t>JÄMTLANDS LÄN</t>
        </is>
      </c>
      <c r="E75" t="inlineStr">
        <is>
          <t>BRÄCKE</t>
        </is>
      </c>
      <c r="G75" t="n">
        <v>4.3</v>
      </c>
      <c r="H75" t="n">
        <v>1</v>
      </c>
      <c r="I75" t="n">
        <v>0</v>
      </c>
      <c r="J75" t="n">
        <v>4</v>
      </c>
      <c r="K75" t="n">
        <v>1</v>
      </c>
      <c r="L75" t="n">
        <v>0</v>
      </c>
      <c r="M75" t="n">
        <v>0</v>
      </c>
      <c r="N75" t="n">
        <v>0</v>
      </c>
      <c r="O75" t="n">
        <v>5</v>
      </c>
      <c r="P75" t="n">
        <v>1</v>
      </c>
      <c r="Q75" t="n">
        <v>5</v>
      </c>
      <c r="R75" s="2" t="inlineStr">
        <is>
          <t>Knärot
Garnlav
Granticka
Lunglav
Ullticka</t>
        </is>
      </c>
      <c r="S75">
        <f>HYPERLINK("https://klasma.github.io/Logging_2305/artfynd/A 47560-2024 artfynd.xlsx", "A 47560-2024")</f>
        <v/>
      </c>
      <c r="T75">
        <f>HYPERLINK("https://klasma.github.io/Logging_2305/kartor/A 47560-2024 karta.png", "A 47560-2024")</f>
        <v/>
      </c>
      <c r="U75">
        <f>HYPERLINK("https://klasma.github.io/Logging_2305/knärot/A 47560-2024 karta knärot.png", "A 47560-2024")</f>
        <v/>
      </c>
      <c r="V75">
        <f>HYPERLINK("https://klasma.github.io/Logging_2305/klagomål/A 47560-2024 FSC-klagomål.docx", "A 47560-2024")</f>
        <v/>
      </c>
      <c r="W75">
        <f>HYPERLINK("https://klasma.github.io/Logging_2305/klagomålsmail/A 47560-2024 FSC-klagomål mail.docx", "A 47560-2024")</f>
        <v/>
      </c>
      <c r="X75">
        <f>HYPERLINK("https://klasma.github.io/Logging_2305/tillsyn/A 47560-2024 tillsynsbegäran.docx", "A 47560-2024")</f>
        <v/>
      </c>
      <c r="Y75">
        <f>HYPERLINK("https://klasma.github.io/Logging_2305/tillsynsmail/A 47560-2024 tillsynsbegäran mail.docx", "A 47560-2024")</f>
        <v/>
      </c>
    </row>
    <row r="76" ht="15" customHeight="1">
      <c r="A76" t="inlineStr">
        <is>
          <t>A 23729-2024</t>
        </is>
      </c>
      <c r="B76" s="1" t="n">
        <v>45454.95868055556</v>
      </c>
      <c r="C76" s="1" t="n">
        <v>45901</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22143-2025</t>
        </is>
      </c>
      <c r="B77" s="1" t="n">
        <v>45785.55251157407</v>
      </c>
      <c r="C77" s="1" t="n">
        <v>45901</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45901</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30620-2025</t>
        </is>
      </c>
      <c r="B79" s="1" t="n">
        <v>45831.46936342592</v>
      </c>
      <c r="C79" s="1" t="n">
        <v>45901</v>
      </c>
      <c r="D79" t="inlineStr">
        <is>
          <t>JÄMTLANDS LÄN</t>
        </is>
      </c>
      <c r="E79" t="inlineStr">
        <is>
          <t>BRÄCKE</t>
        </is>
      </c>
      <c r="G79" t="n">
        <v>4</v>
      </c>
      <c r="H79" t="n">
        <v>0</v>
      </c>
      <c r="I79" t="n">
        <v>1</v>
      </c>
      <c r="J79" t="n">
        <v>4</v>
      </c>
      <c r="K79" t="n">
        <v>0</v>
      </c>
      <c r="L79" t="n">
        <v>0</v>
      </c>
      <c r="M79" t="n">
        <v>0</v>
      </c>
      <c r="N79" t="n">
        <v>0</v>
      </c>
      <c r="O79" t="n">
        <v>4</v>
      </c>
      <c r="P79" t="n">
        <v>0</v>
      </c>
      <c r="Q79" t="n">
        <v>5</v>
      </c>
      <c r="R79" s="2" t="inlineStr">
        <is>
          <t>Garnlav
Granticka
Lunglav
Ullticka
Rödgul trumpetsvamp</t>
        </is>
      </c>
      <c r="S79">
        <f>HYPERLINK("https://klasma.github.io/Logging_2305/artfynd/A 30620-2025 artfynd.xlsx", "A 30620-2025")</f>
        <v/>
      </c>
      <c r="T79">
        <f>HYPERLINK("https://klasma.github.io/Logging_2305/kartor/A 30620-2025 karta.png", "A 30620-2025")</f>
        <v/>
      </c>
      <c r="V79">
        <f>HYPERLINK("https://klasma.github.io/Logging_2305/klagomål/A 30620-2025 FSC-klagomål.docx", "A 30620-2025")</f>
        <v/>
      </c>
      <c r="W79">
        <f>HYPERLINK("https://klasma.github.io/Logging_2305/klagomålsmail/A 30620-2025 FSC-klagomål mail.docx", "A 30620-2025")</f>
        <v/>
      </c>
      <c r="X79">
        <f>HYPERLINK("https://klasma.github.io/Logging_2305/tillsyn/A 30620-2025 tillsynsbegäran.docx", "A 30620-2025")</f>
        <v/>
      </c>
      <c r="Y79">
        <f>HYPERLINK("https://klasma.github.io/Logging_2305/tillsynsmail/A 30620-2025 tillsynsbegäran mail.docx", "A 30620-2025")</f>
        <v/>
      </c>
    </row>
    <row r="80" ht="15" customHeight="1">
      <c r="A80" t="inlineStr">
        <is>
          <t>A 31592-2025</t>
        </is>
      </c>
      <c r="B80" s="1" t="n">
        <v>45833.69836805556</v>
      </c>
      <c r="C80" s="1" t="n">
        <v>45901</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Grantaggsvamp
Lunglav
Rosenticka
Ullticka
Kryddspindling</t>
        </is>
      </c>
      <c r="S80">
        <f>HYPERLINK("https://klasma.github.io/Logging_2305/artfynd/A 31592-2025 artfynd.xlsx", "A 31592-2025")</f>
        <v/>
      </c>
      <c r="T80">
        <f>HYPERLINK("https://klasma.github.io/Logging_2305/kartor/A 31592-2025 karta.png", "A 31592-2025")</f>
        <v/>
      </c>
      <c r="V80">
        <f>HYPERLINK("https://klasma.github.io/Logging_2305/klagomål/A 31592-2025 FSC-klagomål.docx", "A 31592-2025")</f>
        <v/>
      </c>
      <c r="W80">
        <f>HYPERLINK("https://klasma.github.io/Logging_2305/klagomålsmail/A 31592-2025 FSC-klagomål mail.docx", "A 31592-2025")</f>
        <v/>
      </c>
      <c r="X80">
        <f>HYPERLINK("https://klasma.github.io/Logging_2305/tillsyn/A 31592-2025 tillsynsbegäran.docx", "A 31592-2025")</f>
        <v/>
      </c>
      <c r="Y80">
        <f>HYPERLINK("https://klasma.github.io/Logging_2305/tillsynsmail/A 31592-2025 tillsynsbegäran mail.docx", "A 31592-2025")</f>
        <v/>
      </c>
    </row>
    <row r="81" ht="15" customHeight="1">
      <c r="A81" t="inlineStr">
        <is>
          <t>A 31378-2025</t>
        </is>
      </c>
      <c r="B81" s="1" t="n">
        <v>45833.44834490741</v>
      </c>
      <c r="C81" s="1" t="n">
        <v>45901</v>
      </c>
      <c r="D81" t="inlineStr">
        <is>
          <t>JÄMTLANDS LÄN</t>
        </is>
      </c>
      <c r="E81" t="inlineStr">
        <is>
          <t>BRÄCKE</t>
        </is>
      </c>
      <c r="F81" t="inlineStr">
        <is>
          <t>SCA</t>
        </is>
      </c>
      <c r="G81" t="n">
        <v>1.6</v>
      </c>
      <c r="H81" t="n">
        <v>1</v>
      </c>
      <c r="I81" t="n">
        <v>1</v>
      </c>
      <c r="J81" t="n">
        <v>3</v>
      </c>
      <c r="K81" t="n">
        <v>1</v>
      </c>
      <c r="L81" t="n">
        <v>0</v>
      </c>
      <c r="M81" t="n">
        <v>0</v>
      </c>
      <c r="N81" t="n">
        <v>0</v>
      </c>
      <c r="O81" t="n">
        <v>4</v>
      </c>
      <c r="P81" t="n">
        <v>1</v>
      </c>
      <c r="Q81" t="n">
        <v>5</v>
      </c>
      <c r="R81" s="2" t="inlineStr">
        <is>
          <t>Knärot
Granticka
Gränsticka
Lunglav
Stuplav</t>
        </is>
      </c>
      <c r="S81">
        <f>HYPERLINK("https://klasma.github.io/Logging_2305/artfynd/A 31378-2025 artfynd.xlsx", "A 31378-2025")</f>
        <v/>
      </c>
      <c r="T81">
        <f>HYPERLINK("https://klasma.github.io/Logging_2305/kartor/A 31378-2025 karta.png", "A 31378-2025")</f>
        <v/>
      </c>
      <c r="U81">
        <f>HYPERLINK("https://klasma.github.io/Logging_2305/knärot/A 31378-2025 karta knärot.png", "A 31378-2025")</f>
        <v/>
      </c>
      <c r="V81">
        <f>HYPERLINK("https://klasma.github.io/Logging_2305/klagomål/A 31378-2025 FSC-klagomål.docx", "A 31378-2025")</f>
        <v/>
      </c>
      <c r="W81">
        <f>HYPERLINK("https://klasma.github.io/Logging_2305/klagomålsmail/A 31378-2025 FSC-klagomål mail.docx", "A 31378-2025")</f>
        <v/>
      </c>
      <c r="X81">
        <f>HYPERLINK("https://klasma.github.io/Logging_2305/tillsyn/A 31378-2025 tillsynsbegäran.docx", "A 31378-2025")</f>
        <v/>
      </c>
      <c r="Y81">
        <f>HYPERLINK("https://klasma.github.io/Logging_2305/tillsynsmail/A 31378-2025 tillsynsbegäran mail.docx", "A 31378-2025")</f>
        <v/>
      </c>
    </row>
    <row r="82" ht="15" customHeight="1">
      <c r="A82" t="inlineStr">
        <is>
          <t>A 18634-2025</t>
        </is>
      </c>
      <c r="B82" s="1" t="n">
        <v>45763.55266203704</v>
      </c>
      <c r="C82" s="1" t="n">
        <v>45901</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31731-2025</t>
        </is>
      </c>
      <c r="B83" s="1" t="n">
        <v>45834.46990740741</v>
      </c>
      <c r="C83" s="1" t="n">
        <v>45901</v>
      </c>
      <c r="D83" t="inlineStr">
        <is>
          <t>JÄMTLANDS LÄN</t>
        </is>
      </c>
      <c r="E83" t="inlineStr">
        <is>
          <t>BRÄCKE</t>
        </is>
      </c>
      <c r="F83" t="inlineStr">
        <is>
          <t>SCA</t>
        </is>
      </c>
      <c r="G83" t="n">
        <v>9.1</v>
      </c>
      <c r="H83" t="n">
        <v>0</v>
      </c>
      <c r="I83" t="n">
        <v>0</v>
      </c>
      <c r="J83" t="n">
        <v>5</v>
      </c>
      <c r="K83" t="n">
        <v>0</v>
      </c>
      <c r="L83" t="n">
        <v>0</v>
      </c>
      <c r="M83" t="n">
        <v>0</v>
      </c>
      <c r="N83" t="n">
        <v>0</v>
      </c>
      <c r="O83" t="n">
        <v>5</v>
      </c>
      <c r="P83" t="n">
        <v>0</v>
      </c>
      <c r="Q83" t="n">
        <v>5</v>
      </c>
      <c r="R83" s="2" t="inlineStr">
        <is>
          <t>Doftskinn
Gammelgransskål
Lunglav
Nordtagging
Skrovellav</t>
        </is>
      </c>
      <c r="S83">
        <f>HYPERLINK("https://klasma.github.io/Logging_2305/artfynd/A 31731-2025 artfynd.xlsx", "A 31731-2025")</f>
        <v/>
      </c>
      <c r="T83">
        <f>HYPERLINK("https://klasma.github.io/Logging_2305/kartor/A 31731-2025 karta.png", "A 31731-2025")</f>
        <v/>
      </c>
      <c r="V83">
        <f>HYPERLINK("https://klasma.github.io/Logging_2305/klagomål/A 31731-2025 FSC-klagomål.docx", "A 31731-2025")</f>
        <v/>
      </c>
      <c r="W83">
        <f>HYPERLINK("https://klasma.github.io/Logging_2305/klagomålsmail/A 31731-2025 FSC-klagomål mail.docx", "A 31731-2025")</f>
        <v/>
      </c>
      <c r="X83">
        <f>HYPERLINK("https://klasma.github.io/Logging_2305/tillsyn/A 31731-2025 tillsynsbegäran.docx", "A 31731-2025")</f>
        <v/>
      </c>
      <c r="Y83">
        <f>HYPERLINK("https://klasma.github.io/Logging_2305/tillsynsmail/A 31731-2025 tillsynsbegäran mail.docx", "A 31731-2025")</f>
        <v/>
      </c>
    </row>
    <row r="84" ht="15" customHeight="1">
      <c r="A84" t="inlineStr">
        <is>
          <t>A 6748-2024</t>
        </is>
      </c>
      <c r="B84" s="1" t="n">
        <v>45342</v>
      </c>
      <c r="C84" s="1" t="n">
        <v>45901</v>
      </c>
      <c r="D84" t="inlineStr">
        <is>
          <t>JÄMTLANDS LÄN</t>
        </is>
      </c>
      <c r="E84" t="inlineStr">
        <is>
          <t>BRÄCKE</t>
        </is>
      </c>
      <c r="G84" t="n">
        <v>4.1</v>
      </c>
      <c r="H84" t="n">
        <v>1</v>
      </c>
      <c r="I84" t="n">
        <v>0</v>
      </c>
      <c r="J84" t="n">
        <v>4</v>
      </c>
      <c r="K84" t="n">
        <v>1</v>
      </c>
      <c r="L84" t="n">
        <v>0</v>
      </c>
      <c r="M84" t="n">
        <v>0</v>
      </c>
      <c r="N84" t="n">
        <v>0</v>
      </c>
      <c r="O84" t="n">
        <v>5</v>
      </c>
      <c r="P84" t="n">
        <v>1</v>
      </c>
      <c r="Q84" t="n">
        <v>5</v>
      </c>
      <c r="R84" s="2" t="inlineStr">
        <is>
          <t>Knärot
Garnlav
Lunglav
Skrovellav
Ullticka</t>
        </is>
      </c>
      <c r="S84">
        <f>HYPERLINK("https://klasma.github.io/Logging_2305/artfynd/A 6748-2024 artfynd.xlsx", "A 6748-2024")</f>
        <v/>
      </c>
      <c r="T84">
        <f>HYPERLINK("https://klasma.github.io/Logging_2305/kartor/A 6748-2024 karta.png", "A 6748-2024")</f>
        <v/>
      </c>
      <c r="U84">
        <f>HYPERLINK("https://klasma.github.io/Logging_2305/knärot/A 6748-2024 karta knärot.png", "A 6748-2024")</f>
        <v/>
      </c>
      <c r="V84">
        <f>HYPERLINK("https://klasma.github.io/Logging_2305/klagomål/A 6748-2024 FSC-klagomål.docx", "A 6748-2024")</f>
        <v/>
      </c>
      <c r="W84">
        <f>HYPERLINK("https://klasma.github.io/Logging_2305/klagomålsmail/A 6748-2024 FSC-klagomål mail.docx", "A 6748-2024")</f>
        <v/>
      </c>
      <c r="X84">
        <f>HYPERLINK("https://klasma.github.io/Logging_2305/tillsyn/A 6748-2024 tillsynsbegäran.docx", "A 6748-2024")</f>
        <v/>
      </c>
      <c r="Y84">
        <f>HYPERLINK("https://klasma.github.io/Logging_2305/tillsynsmail/A 6748-2024 tillsynsbegäran mail.docx", "A 6748-2024")</f>
        <v/>
      </c>
    </row>
    <row r="85" ht="15" customHeight="1">
      <c r="A85" t="inlineStr">
        <is>
          <t>A 38527-2025</t>
        </is>
      </c>
      <c r="B85" s="1" t="n">
        <v>45884.40715277778</v>
      </c>
      <c r="C85" s="1" t="n">
        <v>45901</v>
      </c>
      <c r="D85" t="inlineStr">
        <is>
          <t>JÄMTLANDS LÄN</t>
        </is>
      </c>
      <c r="E85" t="inlineStr">
        <is>
          <t>BRÄCKE</t>
        </is>
      </c>
      <c r="F85" t="inlineStr">
        <is>
          <t>SCA</t>
        </is>
      </c>
      <c r="G85" t="n">
        <v>1.8</v>
      </c>
      <c r="H85" t="n">
        <v>1</v>
      </c>
      <c r="I85" t="n">
        <v>1</v>
      </c>
      <c r="J85" t="n">
        <v>3</v>
      </c>
      <c r="K85" t="n">
        <v>0</v>
      </c>
      <c r="L85" t="n">
        <v>0</v>
      </c>
      <c r="M85" t="n">
        <v>0</v>
      </c>
      <c r="N85" t="n">
        <v>0</v>
      </c>
      <c r="O85" t="n">
        <v>3</v>
      </c>
      <c r="P85" t="n">
        <v>0</v>
      </c>
      <c r="Q85" t="n">
        <v>5</v>
      </c>
      <c r="R85" s="2" t="inlineStr">
        <is>
          <t>Gammelgransskål
Lunglav
Ullticka
Luddlav
Revlummer</t>
        </is>
      </c>
      <c r="S85">
        <f>HYPERLINK("https://klasma.github.io/Logging_2305/artfynd/A 38527-2025 artfynd.xlsx", "A 38527-2025")</f>
        <v/>
      </c>
      <c r="T85">
        <f>HYPERLINK("https://klasma.github.io/Logging_2305/kartor/A 38527-2025 karta.png", "A 38527-2025")</f>
        <v/>
      </c>
      <c r="V85">
        <f>HYPERLINK("https://klasma.github.io/Logging_2305/klagomål/A 38527-2025 FSC-klagomål.docx", "A 38527-2025")</f>
        <v/>
      </c>
      <c r="W85">
        <f>HYPERLINK("https://klasma.github.io/Logging_2305/klagomålsmail/A 38527-2025 FSC-klagomål mail.docx", "A 38527-2025")</f>
        <v/>
      </c>
      <c r="X85">
        <f>HYPERLINK("https://klasma.github.io/Logging_2305/tillsyn/A 38527-2025 tillsynsbegäran.docx", "A 38527-2025")</f>
        <v/>
      </c>
      <c r="Y85">
        <f>HYPERLINK("https://klasma.github.io/Logging_2305/tillsynsmail/A 38527-2025 tillsynsbegäran mail.docx", "A 38527-2025")</f>
        <v/>
      </c>
    </row>
    <row r="86" ht="15" customHeight="1">
      <c r="A86" t="inlineStr">
        <is>
          <t>A 34748-2025</t>
        </is>
      </c>
      <c r="B86" s="1" t="n">
        <v>45848.6153587963</v>
      </c>
      <c r="C86" s="1" t="n">
        <v>45901</v>
      </c>
      <c r="D86" t="inlineStr">
        <is>
          <t>JÄMTLANDS LÄN</t>
        </is>
      </c>
      <c r="E86" t="inlineStr">
        <is>
          <t>BRÄCKE</t>
        </is>
      </c>
      <c r="F86" t="inlineStr">
        <is>
          <t>SCA</t>
        </is>
      </c>
      <c r="G86" t="n">
        <v>7.1</v>
      </c>
      <c r="H86" t="n">
        <v>0</v>
      </c>
      <c r="I86" t="n">
        <v>2</v>
      </c>
      <c r="J86" t="n">
        <v>3</v>
      </c>
      <c r="K86" t="n">
        <v>0</v>
      </c>
      <c r="L86" t="n">
        <v>0</v>
      </c>
      <c r="M86" t="n">
        <v>0</v>
      </c>
      <c r="N86" t="n">
        <v>0</v>
      </c>
      <c r="O86" t="n">
        <v>3</v>
      </c>
      <c r="P86" t="n">
        <v>0</v>
      </c>
      <c r="Q86" t="n">
        <v>5</v>
      </c>
      <c r="R86" s="2" t="inlineStr">
        <is>
          <t>Lunglav
Skrovellav
Ullticka
Bårdlav
Stuplav</t>
        </is>
      </c>
      <c r="S86">
        <f>HYPERLINK("https://klasma.github.io/Logging_2305/artfynd/A 34748-2025 artfynd.xlsx", "A 34748-2025")</f>
        <v/>
      </c>
      <c r="T86">
        <f>HYPERLINK("https://klasma.github.io/Logging_2305/kartor/A 34748-2025 karta.png", "A 34748-2025")</f>
        <v/>
      </c>
      <c r="V86">
        <f>HYPERLINK("https://klasma.github.io/Logging_2305/klagomål/A 34748-2025 FSC-klagomål.docx", "A 34748-2025")</f>
        <v/>
      </c>
      <c r="W86">
        <f>HYPERLINK("https://klasma.github.io/Logging_2305/klagomålsmail/A 34748-2025 FSC-klagomål mail.docx", "A 34748-2025")</f>
        <v/>
      </c>
      <c r="X86">
        <f>HYPERLINK("https://klasma.github.io/Logging_2305/tillsyn/A 34748-2025 tillsynsbegäran.docx", "A 34748-2025")</f>
        <v/>
      </c>
      <c r="Y86">
        <f>HYPERLINK("https://klasma.github.io/Logging_2305/tillsynsmail/A 34748-2025 tillsynsbegäran mail.docx", "A 34748-2025")</f>
        <v/>
      </c>
    </row>
    <row r="87" ht="15" customHeight="1">
      <c r="A87" t="inlineStr">
        <is>
          <t>A 53280-2022</t>
        </is>
      </c>
      <c r="B87" s="1" t="n">
        <v>44876</v>
      </c>
      <c r="C87" s="1" t="n">
        <v>45901</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30991-2024</t>
        </is>
      </c>
      <c r="B88" s="1" t="n">
        <v>45499.55119212963</v>
      </c>
      <c r="C88" s="1" t="n">
        <v>45901</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62113-2023</t>
        </is>
      </c>
      <c r="B89" s="1" t="n">
        <v>45266</v>
      </c>
      <c r="C89" s="1" t="n">
        <v>45901</v>
      </c>
      <c r="D89" t="inlineStr">
        <is>
          <t>JÄMTLANDS LÄN</t>
        </is>
      </c>
      <c r="E89" t="inlineStr">
        <is>
          <t>BRÄCKE</t>
        </is>
      </c>
      <c r="F89" t="inlineStr">
        <is>
          <t>Naturvårdsverket</t>
        </is>
      </c>
      <c r="G89" t="n">
        <v>4.5</v>
      </c>
      <c r="H89" t="n">
        <v>0</v>
      </c>
      <c r="I89" t="n">
        <v>1</v>
      </c>
      <c r="J89" t="n">
        <v>3</v>
      </c>
      <c r="K89" t="n">
        <v>1</v>
      </c>
      <c r="L89" t="n">
        <v>0</v>
      </c>
      <c r="M89" t="n">
        <v>0</v>
      </c>
      <c r="N89" t="n">
        <v>0</v>
      </c>
      <c r="O89" t="n">
        <v>4</v>
      </c>
      <c r="P89" t="n">
        <v>1</v>
      </c>
      <c r="Q89" t="n">
        <v>5</v>
      </c>
      <c r="R89" s="2" t="inlineStr">
        <is>
          <t>Smalfotad taggsvamp
Blå taggsvamp
Orange taggsvamp
Skrovlig taggsvamp
Skarp dropptaggsvamp</t>
        </is>
      </c>
      <c r="S89">
        <f>HYPERLINK("https://klasma.github.io/Logging_2305/artfynd/A 62113-2023 artfynd.xlsx", "A 62113-2023")</f>
        <v/>
      </c>
      <c r="T89">
        <f>HYPERLINK("https://klasma.github.io/Logging_2305/kartor/A 62113-2023 karta.png", "A 62113-2023")</f>
        <v/>
      </c>
      <c r="V89">
        <f>HYPERLINK("https://klasma.github.io/Logging_2305/klagomål/A 62113-2023 FSC-klagomål.docx", "A 62113-2023")</f>
        <v/>
      </c>
      <c r="W89">
        <f>HYPERLINK("https://klasma.github.io/Logging_2305/klagomålsmail/A 62113-2023 FSC-klagomål mail.docx", "A 62113-2023")</f>
        <v/>
      </c>
      <c r="X89">
        <f>HYPERLINK("https://klasma.github.io/Logging_2305/tillsyn/A 62113-2023 tillsynsbegäran.docx", "A 62113-2023")</f>
        <v/>
      </c>
      <c r="Y89">
        <f>HYPERLINK("https://klasma.github.io/Logging_2305/tillsynsmail/A 62113-2023 tillsynsbegäran mail.docx", "A 62113-2023")</f>
        <v/>
      </c>
    </row>
    <row r="90" ht="15" customHeight="1">
      <c r="A90" t="inlineStr">
        <is>
          <t>A 28601-2021</t>
        </is>
      </c>
      <c r="B90" s="1" t="n">
        <v>44356</v>
      </c>
      <c r="C90" s="1" t="n">
        <v>45901</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36820-2021</t>
        </is>
      </c>
      <c r="B91" s="1" t="n">
        <v>44392</v>
      </c>
      <c r="C91" s="1" t="n">
        <v>45901</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45901</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10543-2022</t>
        </is>
      </c>
      <c r="B93" s="1" t="n">
        <v>44623</v>
      </c>
      <c r="C93" s="1" t="n">
        <v>45901</v>
      </c>
      <c r="D93" t="inlineStr">
        <is>
          <t>JÄMTLANDS LÄN</t>
        </is>
      </c>
      <c r="E93" t="inlineStr">
        <is>
          <t>BRÄCKE</t>
        </is>
      </c>
      <c r="G93" t="n">
        <v>9.199999999999999</v>
      </c>
      <c r="H93" t="n">
        <v>4</v>
      </c>
      <c r="I93" t="n">
        <v>0</v>
      </c>
      <c r="J93" t="n">
        <v>2</v>
      </c>
      <c r="K93" t="n">
        <v>1</v>
      </c>
      <c r="L93" t="n">
        <v>0</v>
      </c>
      <c r="M93" t="n">
        <v>0</v>
      </c>
      <c r="N93" t="n">
        <v>0</v>
      </c>
      <c r="O93" t="n">
        <v>3</v>
      </c>
      <c r="P93" t="n">
        <v>1</v>
      </c>
      <c r="Q93" t="n">
        <v>4</v>
      </c>
      <c r="R93" s="2" t="inlineStr">
        <is>
          <t>Knärot
Järpe
Tretåig hackspett
Nattviol</t>
        </is>
      </c>
      <c r="S93">
        <f>HYPERLINK("https://klasma.github.io/Logging_2305/artfynd/A 10543-2022 artfynd.xlsx", "A 10543-2022")</f>
        <v/>
      </c>
      <c r="T93">
        <f>HYPERLINK("https://klasma.github.io/Logging_2305/kartor/A 10543-2022 karta.png", "A 10543-2022")</f>
        <v/>
      </c>
      <c r="U93">
        <f>HYPERLINK("https://klasma.github.io/Logging_2305/knärot/A 10543-2022 karta knärot.png", "A 10543-2022")</f>
        <v/>
      </c>
      <c r="V93">
        <f>HYPERLINK("https://klasma.github.io/Logging_2305/klagomål/A 10543-2022 FSC-klagomål.docx", "A 10543-2022")</f>
        <v/>
      </c>
      <c r="W93">
        <f>HYPERLINK("https://klasma.github.io/Logging_2305/klagomålsmail/A 10543-2022 FSC-klagomål mail.docx", "A 10543-2022")</f>
        <v/>
      </c>
      <c r="X93">
        <f>HYPERLINK("https://klasma.github.io/Logging_2305/tillsyn/A 10543-2022 tillsynsbegäran.docx", "A 10543-2022")</f>
        <v/>
      </c>
      <c r="Y93">
        <f>HYPERLINK("https://klasma.github.io/Logging_2305/tillsynsmail/A 10543-2022 tillsynsbegäran mail.docx", "A 10543-2022")</f>
        <v/>
      </c>
      <c r="Z93">
        <f>HYPERLINK("https://klasma.github.io/Logging_2305/fåglar/A 10543-2022 prioriterade fågelarter.docx", "A 10543-2022")</f>
        <v/>
      </c>
    </row>
    <row r="94" ht="15" customHeight="1">
      <c r="A94" t="inlineStr">
        <is>
          <t>A 12863-2024</t>
        </is>
      </c>
      <c r="B94" s="1" t="n">
        <v>45384.94145833333</v>
      </c>
      <c r="C94" s="1" t="n">
        <v>45901</v>
      </c>
      <c r="D94" t="inlineStr">
        <is>
          <t>JÄMTLANDS LÄN</t>
        </is>
      </c>
      <c r="E94" t="inlineStr">
        <is>
          <t>BRÄCKE</t>
        </is>
      </c>
      <c r="F94" t="inlineStr">
        <is>
          <t>SCA</t>
        </is>
      </c>
      <c r="G94" t="n">
        <v>10.2</v>
      </c>
      <c r="H94" t="n">
        <v>0</v>
      </c>
      <c r="I94" t="n">
        <v>1</v>
      </c>
      <c r="J94" t="n">
        <v>2</v>
      </c>
      <c r="K94" t="n">
        <v>1</v>
      </c>
      <c r="L94" t="n">
        <v>0</v>
      </c>
      <c r="M94" t="n">
        <v>0</v>
      </c>
      <c r="N94" t="n">
        <v>0</v>
      </c>
      <c r="O94" t="n">
        <v>3</v>
      </c>
      <c r="P94" t="n">
        <v>1</v>
      </c>
      <c r="Q94" t="n">
        <v>4</v>
      </c>
      <c r="R94" s="2" t="inlineStr">
        <is>
          <t>Gräddporing
Dvärgbägarlav
Skrovellav
Dropptaggsvamp</t>
        </is>
      </c>
      <c r="S94">
        <f>HYPERLINK("https://klasma.github.io/Logging_2305/artfynd/A 12863-2024 artfynd.xlsx", "A 12863-2024")</f>
        <v/>
      </c>
      <c r="T94">
        <f>HYPERLINK("https://klasma.github.io/Logging_2305/kartor/A 12863-2024 karta.png", "A 12863-2024")</f>
        <v/>
      </c>
      <c r="V94">
        <f>HYPERLINK("https://klasma.github.io/Logging_2305/klagomål/A 12863-2024 FSC-klagomål.docx", "A 12863-2024")</f>
        <v/>
      </c>
      <c r="W94">
        <f>HYPERLINK("https://klasma.github.io/Logging_2305/klagomålsmail/A 12863-2024 FSC-klagomål mail.docx", "A 12863-2024")</f>
        <v/>
      </c>
      <c r="X94">
        <f>HYPERLINK("https://klasma.github.io/Logging_2305/tillsyn/A 12863-2024 tillsynsbegäran.docx", "A 12863-2024")</f>
        <v/>
      </c>
      <c r="Y94">
        <f>HYPERLINK("https://klasma.github.io/Logging_2305/tillsynsmail/A 12863-2024 tillsynsbegäran mail.docx", "A 12863-2024")</f>
        <v/>
      </c>
    </row>
    <row r="95" ht="15" customHeight="1">
      <c r="A95" t="inlineStr">
        <is>
          <t>A 48431-2023</t>
        </is>
      </c>
      <c r="B95" s="1" t="n">
        <v>45205</v>
      </c>
      <c r="C95" s="1" t="n">
        <v>45901</v>
      </c>
      <c r="D95" t="inlineStr">
        <is>
          <t>JÄMTLANDS LÄN</t>
        </is>
      </c>
      <c r="E95" t="inlineStr">
        <is>
          <t>BRÄCKE</t>
        </is>
      </c>
      <c r="F95" t="inlineStr">
        <is>
          <t>SCA</t>
        </is>
      </c>
      <c r="G95" t="n">
        <v>8.1</v>
      </c>
      <c r="H95" t="n">
        <v>0</v>
      </c>
      <c r="I95" t="n">
        <v>3</v>
      </c>
      <c r="J95" t="n">
        <v>1</v>
      </c>
      <c r="K95" t="n">
        <v>0</v>
      </c>
      <c r="L95" t="n">
        <v>0</v>
      </c>
      <c r="M95" t="n">
        <v>0</v>
      </c>
      <c r="N95" t="n">
        <v>0</v>
      </c>
      <c r="O95" t="n">
        <v>1</v>
      </c>
      <c r="P95" t="n">
        <v>0</v>
      </c>
      <c r="Q95" t="n">
        <v>4</v>
      </c>
      <c r="R95" s="2" t="inlineStr">
        <is>
          <t>Tallticka
Gytterlav
Korallblylav
Stuplav</t>
        </is>
      </c>
      <c r="S95">
        <f>HYPERLINK("https://klasma.github.io/Logging_2305/artfynd/A 48431-2023 artfynd.xlsx", "A 48431-2023")</f>
        <v/>
      </c>
      <c r="T95">
        <f>HYPERLINK("https://klasma.github.io/Logging_2305/kartor/A 48431-2023 karta.png", "A 48431-2023")</f>
        <v/>
      </c>
      <c r="V95">
        <f>HYPERLINK("https://klasma.github.io/Logging_2305/klagomål/A 48431-2023 FSC-klagomål.docx", "A 48431-2023")</f>
        <v/>
      </c>
      <c r="W95">
        <f>HYPERLINK("https://klasma.github.io/Logging_2305/klagomålsmail/A 48431-2023 FSC-klagomål mail.docx", "A 48431-2023")</f>
        <v/>
      </c>
      <c r="X95">
        <f>HYPERLINK("https://klasma.github.io/Logging_2305/tillsyn/A 48431-2023 tillsynsbegäran.docx", "A 48431-2023")</f>
        <v/>
      </c>
      <c r="Y95">
        <f>HYPERLINK("https://klasma.github.io/Logging_2305/tillsynsmail/A 48431-2023 tillsynsbegäran mail.docx", "A 48431-2023")</f>
        <v/>
      </c>
    </row>
    <row r="96" ht="15" customHeight="1">
      <c r="A96" t="inlineStr">
        <is>
          <t>A 14978-2025</t>
        </is>
      </c>
      <c r="B96" s="1" t="n">
        <v>45743.59503472222</v>
      </c>
      <c r="C96" s="1" t="n">
        <v>45901</v>
      </c>
      <c r="D96" t="inlineStr">
        <is>
          <t>JÄMTLANDS LÄN</t>
        </is>
      </c>
      <c r="E96" t="inlineStr">
        <is>
          <t>BRÄCKE</t>
        </is>
      </c>
      <c r="F96" t="inlineStr">
        <is>
          <t>SCA</t>
        </is>
      </c>
      <c r="G96" t="n">
        <v>4.2</v>
      </c>
      <c r="H96" t="n">
        <v>1</v>
      </c>
      <c r="I96" t="n">
        <v>0</v>
      </c>
      <c r="J96" t="n">
        <v>4</v>
      </c>
      <c r="K96" t="n">
        <v>0</v>
      </c>
      <c r="L96" t="n">
        <v>0</v>
      </c>
      <c r="M96" t="n">
        <v>0</v>
      </c>
      <c r="N96" t="n">
        <v>0</v>
      </c>
      <c r="O96" t="n">
        <v>4</v>
      </c>
      <c r="P96" t="n">
        <v>0</v>
      </c>
      <c r="Q96" t="n">
        <v>4</v>
      </c>
      <c r="R96" s="2" t="inlineStr">
        <is>
          <t>Granticka
Lunglav
Tretåig hackspett
Vitgrynig nållav</t>
        </is>
      </c>
      <c r="S96">
        <f>HYPERLINK("https://klasma.github.io/Logging_2305/artfynd/A 14978-2025 artfynd.xlsx", "A 14978-2025")</f>
        <v/>
      </c>
      <c r="T96">
        <f>HYPERLINK("https://klasma.github.io/Logging_2305/kartor/A 14978-2025 karta.png", "A 14978-2025")</f>
        <v/>
      </c>
      <c r="V96">
        <f>HYPERLINK("https://klasma.github.io/Logging_2305/klagomål/A 14978-2025 FSC-klagomål.docx", "A 14978-2025")</f>
        <v/>
      </c>
      <c r="W96">
        <f>HYPERLINK("https://klasma.github.io/Logging_2305/klagomålsmail/A 14978-2025 FSC-klagomål mail.docx", "A 14978-2025")</f>
        <v/>
      </c>
      <c r="X96">
        <f>HYPERLINK("https://klasma.github.io/Logging_2305/tillsyn/A 14978-2025 tillsynsbegäran.docx", "A 14978-2025")</f>
        <v/>
      </c>
      <c r="Y96">
        <f>HYPERLINK("https://klasma.github.io/Logging_2305/tillsynsmail/A 14978-2025 tillsynsbegäran mail.docx", "A 14978-2025")</f>
        <v/>
      </c>
      <c r="Z96">
        <f>HYPERLINK("https://klasma.github.io/Logging_2305/fåglar/A 14978-2025 prioriterade fågelarter.docx", "A 14978-2025")</f>
        <v/>
      </c>
    </row>
    <row r="97" ht="15" customHeight="1">
      <c r="A97" t="inlineStr">
        <is>
          <t>A 21412-2025</t>
        </is>
      </c>
      <c r="B97" s="1" t="n">
        <v>45782.49100694444</v>
      </c>
      <c r="C97" s="1" t="n">
        <v>45901</v>
      </c>
      <c r="D97" t="inlineStr">
        <is>
          <t>JÄMTLANDS LÄN</t>
        </is>
      </c>
      <c r="E97" t="inlineStr">
        <is>
          <t>BRÄCKE</t>
        </is>
      </c>
      <c r="F97" t="inlineStr">
        <is>
          <t>SCA</t>
        </is>
      </c>
      <c r="G97" t="n">
        <v>1.7</v>
      </c>
      <c r="H97" t="n">
        <v>1</v>
      </c>
      <c r="I97" t="n">
        <v>2</v>
      </c>
      <c r="J97" t="n">
        <v>1</v>
      </c>
      <c r="K97" t="n">
        <v>0</v>
      </c>
      <c r="L97" t="n">
        <v>0</v>
      </c>
      <c r="M97" t="n">
        <v>0</v>
      </c>
      <c r="N97" t="n">
        <v>0</v>
      </c>
      <c r="O97" t="n">
        <v>1</v>
      </c>
      <c r="P97" t="n">
        <v>0</v>
      </c>
      <c r="Q97" t="n">
        <v>4</v>
      </c>
      <c r="R97" s="2" t="inlineStr">
        <is>
          <t>Lunglav
Kransrams
Svart trolldruva
Fläcknycklar</t>
        </is>
      </c>
      <c r="S97">
        <f>HYPERLINK("https://klasma.github.io/Logging_2305/artfynd/A 21412-2025 artfynd.xlsx", "A 21412-2025")</f>
        <v/>
      </c>
      <c r="T97">
        <f>HYPERLINK("https://klasma.github.io/Logging_2305/kartor/A 21412-2025 karta.png", "A 21412-2025")</f>
        <v/>
      </c>
      <c r="V97">
        <f>HYPERLINK("https://klasma.github.io/Logging_2305/klagomål/A 21412-2025 FSC-klagomål.docx", "A 21412-2025")</f>
        <v/>
      </c>
      <c r="W97">
        <f>HYPERLINK("https://klasma.github.io/Logging_2305/klagomålsmail/A 21412-2025 FSC-klagomål mail.docx", "A 21412-2025")</f>
        <v/>
      </c>
      <c r="X97">
        <f>HYPERLINK("https://klasma.github.io/Logging_2305/tillsyn/A 21412-2025 tillsynsbegäran.docx", "A 21412-2025")</f>
        <v/>
      </c>
      <c r="Y97">
        <f>HYPERLINK("https://klasma.github.io/Logging_2305/tillsynsmail/A 21412-2025 tillsynsbegäran mail.docx", "A 21412-2025")</f>
        <v/>
      </c>
    </row>
    <row r="98" ht="15" customHeight="1">
      <c r="A98" t="inlineStr">
        <is>
          <t>A 21441-2025</t>
        </is>
      </c>
      <c r="B98" s="1" t="n">
        <v>45782.53157407408</v>
      </c>
      <c r="C98" s="1" t="n">
        <v>45901</v>
      </c>
      <c r="D98" t="inlineStr">
        <is>
          <t>JÄMTLANDS LÄN</t>
        </is>
      </c>
      <c r="E98" t="inlineStr">
        <is>
          <t>BRÄCKE</t>
        </is>
      </c>
      <c r="F98" t="inlineStr">
        <is>
          <t>SCA</t>
        </is>
      </c>
      <c r="G98" t="n">
        <v>5.5</v>
      </c>
      <c r="H98" t="n">
        <v>2</v>
      </c>
      <c r="I98" t="n">
        <v>1</v>
      </c>
      <c r="J98" t="n">
        <v>3</v>
      </c>
      <c r="K98" t="n">
        <v>0</v>
      </c>
      <c r="L98" t="n">
        <v>0</v>
      </c>
      <c r="M98" t="n">
        <v>0</v>
      </c>
      <c r="N98" t="n">
        <v>0</v>
      </c>
      <c r="O98" t="n">
        <v>3</v>
      </c>
      <c r="P98" t="n">
        <v>0</v>
      </c>
      <c r="Q98" t="n">
        <v>4</v>
      </c>
      <c r="R98" s="2" t="inlineStr">
        <is>
          <t>Garnlav
Lunglav
Tretåig hackspett
Spindelblomster</t>
        </is>
      </c>
      <c r="S98">
        <f>HYPERLINK("https://klasma.github.io/Logging_2305/artfynd/A 21441-2025 artfynd.xlsx", "A 21441-2025")</f>
        <v/>
      </c>
      <c r="T98">
        <f>HYPERLINK("https://klasma.github.io/Logging_2305/kartor/A 21441-2025 karta.png", "A 21441-2025")</f>
        <v/>
      </c>
      <c r="V98">
        <f>HYPERLINK("https://klasma.github.io/Logging_2305/klagomål/A 21441-2025 FSC-klagomål.docx", "A 21441-2025")</f>
        <v/>
      </c>
      <c r="W98">
        <f>HYPERLINK("https://klasma.github.io/Logging_2305/klagomålsmail/A 21441-2025 FSC-klagomål mail.docx", "A 21441-2025")</f>
        <v/>
      </c>
      <c r="X98">
        <f>HYPERLINK("https://klasma.github.io/Logging_2305/tillsyn/A 21441-2025 tillsynsbegäran.docx", "A 21441-2025")</f>
        <v/>
      </c>
      <c r="Y98">
        <f>HYPERLINK("https://klasma.github.io/Logging_2305/tillsynsmail/A 21441-2025 tillsynsbegäran mail.docx", "A 21441-2025")</f>
        <v/>
      </c>
      <c r="Z98">
        <f>HYPERLINK("https://klasma.github.io/Logging_2305/fåglar/A 21441-2025 prioriterade fågelarter.docx", "A 21441-2025")</f>
        <v/>
      </c>
    </row>
    <row r="99" ht="15" customHeight="1">
      <c r="A99" t="inlineStr">
        <is>
          <t>A 46649-2022</t>
        </is>
      </c>
      <c r="B99" s="1" t="n">
        <v>44849</v>
      </c>
      <c r="C99" s="1" t="n">
        <v>45901</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45420-2022</t>
        </is>
      </c>
      <c r="B100" s="1" t="n">
        <v>44844</v>
      </c>
      <c r="C100" s="1" t="n">
        <v>45901</v>
      </c>
      <c r="D100" t="inlineStr">
        <is>
          <t>JÄMTLANDS LÄN</t>
        </is>
      </c>
      <c r="E100" t="inlineStr">
        <is>
          <t>BRÄCKE</t>
        </is>
      </c>
      <c r="F100" t="inlineStr">
        <is>
          <t>SCA</t>
        </is>
      </c>
      <c r="G100" t="n">
        <v>1.6</v>
      </c>
      <c r="H100" t="n">
        <v>1</v>
      </c>
      <c r="I100" t="n">
        <v>2</v>
      </c>
      <c r="J100" t="n">
        <v>2</v>
      </c>
      <c r="K100" t="n">
        <v>0</v>
      </c>
      <c r="L100" t="n">
        <v>0</v>
      </c>
      <c r="M100" t="n">
        <v>0</v>
      </c>
      <c r="N100" t="n">
        <v>0</v>
      </c>
      <c r="O100" t="n">
        <v>2</v>
      </c>
      <c r="P100" t="n">
        <v>0</v>
      </c>
      <c r="Q100" t="n">
        <v>4</v>
      </c>
      <c r="R100" s="2" t="inlineStr">
        <is>
          <t>Talltita
Vitgrynig nållav
Rödgul trumpetsvamp
Svavelriska</t>
        </is>
      </c>
      <c r="S100">
        <f>HYPERLINK("https://klasma.github.io/Logging_2305/artfynd/A 45420-2022 artfynd.xlsx", "A 45420-2022")</f>
        <v/>
      </c>
      <c r="T100">
        <f>HYPERLINK("https://klasma.github.io/Logging_2305/kartor/A 45420-2022 karta.png", "A 45420-2022")</f>
        <v/>
      </c>
      <c r="V100">
        <f>HYPERLINK("https://klasma.github.io/Logging_2305/klagomål/A 45420-2022 FSC-klagomål.docx", "A 45420-2022")</f>
        <v/>
      </c>
      <c r="W100">
        <f>HYPERLINK("https://klasma.github.io/Logging_2305/klagomålsmail/A 45420-2022 FSC-klagomål mail.docx", "A 45420-2022")</f>
        <v/>
      </c>
      <c r="X100">
        <f>HYPERLINK("https://klasma.github.io/Logging_2305/tillsyn/A 45420-2022 tillsynsbegäran.docx", "A 45420-2022")</f>
        <v/>
      </c>
      <c r="Y100">
        <f>HYPERLINK("https://klasma.github.io/Logging_2305/tillsynsmail/A 45420-2022 tillsynsbegäran mail.docx", "A 45420-2022")</f>
        <v/>
      </c>
      <c r="Z100">
        <f>HYPERLINK("https://klasma.github.io/Logging_2305/fåglar/A 45420-2022 prioriterade fågelarter.docx", "A 45420-2022")</f>
        <v/>
      </c>
    </row>
    <row r="101" ht="15" customHeight="1">
      <c r="A101" t="inlineStr">
        <is>
          <t>A 28553-2024</t>
        </is>
      </c>
      <c r="B101" s="1" t="n">
        <v>45478</v>
      </c>
      <c r="C101" s="1" t="n">
        <v>45901</v>
      </c>
      <c r="D101" t="inlineStr">
        <is>
          <t>JÄMTLANDS LÄN</t>
        </is>
      </c>
      <c r="E101" t="inlineStr">
        <is>
          <t>BRÄCKE</t>
        </is>
      </c>
      <c r="G101" t="n">
        <v>14.5</v>
      </c>
      <c r="H101" t="n">
        <v>2</v>
      </c>
      <c r="I101" t="n">
        <v>0</v>
      </c>
      <c r="J101" t="n">
        <v>3</v>
      </c>
      <c r="K101" t="n">
        <v>1</v>
      </c>
      <c r="L101" t="n">
        <v>0</v>
      </c>
      <c r="M101" t="n">
        <v>0</v>
      </c>
      <c r="N101" t="n">
        <v>0</v>
      </c>
      <c r="O101" t="n">
        <v>4</v>
      </c>
      <c r="P101" t="n">
        <v>1</v>
      </c>
      <c r="Q101" t="n">
        <v>4</v>
      </c>
      <c r="R101" s="2" t="inlineStr">
        <is>
          <t>Knärot
Granticka
Lunglav
Tretåig hackspett</t>
        </is>
      </c>
      <c r="S101">
        <f>HYPERLINK("https://klasma.github.io/Logging_2305/artfynd/A 28553-2024 artfynd.xlsx", "A 28553-2024")</f>
        <v/>
      </c>
      <c r="T101">
        <f>HYPERLINK("https://klasma.github.io/Logging_2305/kartor/A 28553-2024 karta.png", "A 28553-2024")</f>
        <v/>
      </c>
      <c r="U101">
        <f>HYPERLINK("https://klasma.github.io/Logging_2305/knärot/A 28553-2024 karta knärot.png", "A 28553-2024")</f>
        <v/>
      </c>
      <c r="V101">
        <f>HYPERLINK("https://klasma.github.io/Logging_2305/klagomål/A 28553-2024 FSC-klagomål.docx", "A 28553-2024")</f>
        <v/>
      </c>
      <c r="W101">
        <f>HYPERLINK("https://klasma.github.io/Logging_2305/klagomålsmail/A 28553-2024 FSC-klagomål mail.docx", "A 28553-2024")</f>
        <v/>
      </c>
      <c r="X101">
        <f>HYPERLINK("https://klasma.github.io/Logging_2305/tillsyn/A 28553-2024 tillsynsbegäran.docx", "A 28553-2024")</f>
        <v/>
      </c>
      <c r="Y101">
        <f>HYPERLINK("https://klasma.github.io/Logging_2305/tillsynsmail/A 28553-2024 tillsynsbegäran mail.docx", "A 28553-2024")</f>
        <v/>
      </c>
      <c r="Z101">
        <f>HYPERLINK("https://klasma.github.io/Logging_2305/fåglar/A 28553-2024 prioriterade fågelarter.docx", "A 28553-2024")</f>
        <v/>
      </c>
    </row>
    <row r="102" ht="15" customHeight="1">
      <c r="A102" t="inlineStr">
        <is>
          <t>A 49375-2024</t>
        </is>
      </c>
      <c r="B102" s="1" t="n">
        <v>45595.64222222222</v>
      </c>
      <c r="C102" s="1" t="n">
        <v>45901</v>
      </c>
      <c r="D102" t="inlineStr">
        <is>
          <t>JÄMTLANDS LÄN</t>
        </is>
      </c>
      <c r="E102" t="inlineStr">
        <is>
          <t>BRÄCKE</t>
        </is>
      </c>
      <c r="F102" t="inlineStr">
        <is>
          <t>SCA</t>
        </is>
      </c>
      <c r="G102" t="n">
        <v>8.5</v>
      </c>
      <c r="H102" t="n">
        <v>0</v>
      </c>
      <c r="I102" t="n">
        <v>0</v>
      </c>
      <c r="J102" t="n">
        <v>4</v>
      </c>
      <c r="K102" t="n">
        <v>0</v>
      </c>
      <c r="L102" t="n">
        <v>0</v>
      </c>
      <c r="M102" t="n">
        <v>0</v>
      </c>
      <c r="N102" t="n">
        <v>0</v>
      </c>
      <c r="O102" t="n">
        <v>4</v>
      </c>
      <c r="P102" t="n">
        <v>0</v>
      </c>
      <c r="Q102" t="n">
        <v>4</v>
      </c>
      <c r="R102" s="2" t="inlineStr">
        <is>
          <t>Doftskinn
Granticka
Lunglav
Skrovellav</t>
        </is>
      </c>
      <c r="S102">
        <f>HYPERLINK("https://klasma.github.io/Logging_2305/artfynd/A 49375-2024 artfynd.xlsx", "A 49375-2024")</f>
        <v/>
      </c>
      <c r="T102">
        <f>HYPERLINK("https://klasma.github.io/Logging_2305/kartor/A 49375-2024 karta.png", "A 49375-2024")</f>
        <v/>
      </c>
      <c r="V102">
        <f>HYPERLINK("https://klasma.github.io/Logging_2305/klagomål/A 49375-2024 FSC-klagomål.docx", "A 49375-2024")</f>
        <v/>
      </c>
      <c r="W102">
        <f>HYPERLINK("https://klasma.github.io/Logging_2305/klagomålsmail/A 49375-2024 FSC-klagomål mail.docx", "A 49375-2024")</f>
        <v/>
      </c>
      <c r="X102">
        <f>HYPERLINK("https://klasma.github.io/Logging_2305/tillsyn/A 49375-2024 tillsynsbegäran.docx", "A 49375-2024")</f>
        <v/>
      </c>
      <c r="Y102">
        <f>HYPERLINK("https://klasma.github.io/Logging_2305/tillsynsmail/A 49375-2024 tillsynsbegäran mail.docx", "A 49375-2024")</f>
        <v/>
      </c>
    </row>
    <row r="103" ht="15" customHeight="1">
      <c r="A103" t="inlineStr">
        <is>
          <t>A 57076-2024</t>
        </is>
      </c>
      <c r="B103" s="1" t="n">
        <v>45629.35486111111</v>
      </c>
      <c r="C103" s="1" t="n">
        <v>45901</v>
      </c>
      <c r="D103" t="inlineStr">
        <is>
          <t>JÄMTLANDS LÄN</t>
        </is>
      </c>
      <c r="E103" t="inlineStr">
        <is>
          <t>BRÄCKE</t>
        </is>
      </c>
      <c r="F103" t="inlineStr">
        <is>
          <t>SCA</t>
        </is>
      </c>
      <c r="G103" t="n">
        <v>1.3</v>
      </c>
      <c r="H103" t="n">
        <v>1</v>
      </c>
      <c r="I103" t="n">
        <v>2</v>
      </c>
      <c r="J103" t="n">
        <v>1</v>
      </c>
      <c r="K103" t="n">
        <v>1</v>
      </c>
      <c r="L103" t="n">
        <v>0</v>
      </c>
      <c r="M103" t="n">
        <v>0</v>
      </c>
      <c r="N103" t="n">
        <v>0</v>
      </c>
      <c r="O103" t="n">
        <v>2</v>
      </c>
      <c r="P103" t="n">
        <v>1</v>
      </c>
      <c r="Q103" t="n">
        <v>4</v>
      </c>
      <c r="R103" s="2" t="inlineStr">
        <is>
          <t>Knärot
Lunglav
Luddlav
Vedticka</t>
        </is>
      </c>
      <c r="S103">
        <f>HYPERLINK("https://klasma.github.io/Logging_2305/artfynd/A 57076-2024 artfynd.xlsx", "A 57076-2024")</f>
        <v/>
      </c>
      <c r="T103">
        <f>HYPERLINK("https://klasma.github.io/Logging_2305/kartor/A 57076-2024 karta.png", "A 57076-2024")</f>
        <v/>
      </c>
      <c r="U103">
        <f>HYPERLINK("https://klasma.github.io/Logging_2305/knärot/A 57076-2024 karta knärot.png", "A 57076-2024")</f>
        <v/>
      </c>
      <c r="V103">
        <f>HYPERLINK("https://klasma.github.io/Logging_2305/klagomål/A 57076-2024 FSC-klagomål.docx", "A 57076-2024")</f>
        <v/>
      </c>
      <c r="W103">
        <f>HYPERLINK("https://klasma.github.io/Logging_2305/klagomålsmail/A 57076-2024 FSC-klagomål mail.docx", "A 57076-2024")</f>
        <v/>
      </c>
      <c r="X103">
        <f>HYPERLINK("https://klasma.github.io/Logging_2305/tillsyn/A 57076-2024 tillsynsbegäran.docx", "A 57076-2024")</f>
        <v/>
      </c>
      <c r="Y103">
        <f>HYPERLINK("https://klasma.github.io/Logging_2305/tillsynsmail/A 57076-2024 tillsynsbegäran mail.docx", "A 57076-2024")</f>
        <v/>
      </c>
    </row>
    <row r="104" ht="15" customHeight="1">
      <c r="A104" t="inlineStr">
        <is>
          <t>A 33928-2022</t>
        </is>
      </c>
      <c r="B104" s="1" t="n">
        <v>44790</v>
      </c>
      <c r="C104" s="1" t="n">
        <v>45901</v>
      </c>
      <c r="D104" t="inlineStr">
        <is>
          <t>JÄMTLANDS LÄN</t>
        </is>
      </c>
      <c r="E104" t="inlineStr">
        <is>
          <t>BRÄCKE</t>
        </is>
      </c>
      <c r="G104" t="n">
        <v>5.3</v>
      </c>
      <c r="H104" t="n">
        <v>3</v>
      </c>
      <c r="I104" t="n">
        <v>3</v>
      </c>
      <c r="J104" t="n">
        <v>0</v>
      </c>
      <c r="K104" t="n">
        <v>0</v>
      </c>
      <c r="L104" t="n">
        <v>0</v>
      </c>
      <c r="M104" t="n">
        <v>0</v>
      </c>
      <c r="N104" t="n">
        <v>0</v>
      </c>
      <c r="O104" t="n">
        <v>0</v>
      </c>
      <c r="P104" t="n">
        <v>0</v>
      </c>
      <c r="Q104" t="n">
        <v>4</v>
      </c>
      <c r="R104" s="2" t="inlineStr">
        <is>
          <t>Gräsull
Korallrot
Tvåblad
Dactylorhiza incarnata subsp. incarnata</t>
        </is>
      </c>
      <c r="S104">
        <f>HYPERLINK("https://klasma.github.io/Logging_2305/artfynd/A 33928-2022 artfynd.xlsx", "A 33928-2022")</f>
        <v/>
      </c>
      <c r="T104">
        <f>HYPERLINK("https://klasma.github.io/Logging_2305/kartor/A 33928-2022 karta.png", "A 33928-2022")</f>
        <v/>
      </c>
      <c r="V104">
        <f>HYPERLINK("https://klasma.github.io/Logging_2305/klagomål/A 33928-2022 FSC-klagomål.docx", "A 33928-2022")</f>
        <v/>
      </c>
      <c r="W104">
        <f>HYPERLINK("https://klasma.github.io/Logging_2305/klagomålsmail/A 33928-2022 FSC-klagomål mail.docx", "A 33928-2022")</f>
        <v/>
      </c>
      <c r="X104">
        <f>HYPERLINK("https://klasma.github.io/Logging_2305/tillsyn/A 33928-2022 tillsynsbegäran.docx", "A 33928-2022")</f>
        <v/>
      </c>
      <c r="Y104">
        <f>HYPERLINK("https://klasma.github.io/Logging_2305/tillsynsmail/A 33928-2022 tillsynsbegäran mail.docx", "A 33928-2022")</f>
        <v/>
      </c>
    </row>
    <row r="105" ht="15" customHeight="1">
      <c r="A105" t="inlineStr">
        <is>
          <t>A 32260-2024</t>
        </is>
      </c>
      <c r="B105" s="1" t="n">
        <v>45511.95291666667</v>
      </c>
      <c r="C105" s="1" t="n">
        <v>45901</v>
      </c>
      <c r="D105" t="inlineStr">
        <is>
          <t>JÄMTLANDS LÄN</t>
        </is>
      </c>
      <c r="E105" t="inlineStr">
        <is>
          <t>BRÄCKE</t>
        </is>
      </c>
      <c r="F105" t="inlineStr">
        <is>
          <t>SCA</t>
        </is>
      </c>
      <c r="G105" t="n">
        <v>3.7</v>
      </c>
      <c r="H105" t="n">
        <v>0</v>
      </c>
      <c r="I105" t="n">
        <v>1</v>
      </c>
      <c r="J105" t="n">
        <v>3</v>
      </c>
      <c r="K105" t="n">
        <v>0</v>
      </c>
      <c r="L105" t="n">
        <v>0</v>
      </c>
      <c r="M105" t="n">
        <v>0</v>
      </c>
      <c r="N105" t="n">
        <v>0</v>
      </c>
      <c r="O105" t="n">
        <v>3</v>
      </c>
      <c r="P105" t="n">
        <v>0</v>
      </c>
      <c r="Q105" t="n">
        <v>4</v>
      </c>
      <c r="R105" s="2" t="inlineStr">
        <is>
          <t>Garnlav
Lunglav
Skrovellav
Luddlav</t>
        </is>
      </c>
      <c r="S105">
        <f>HYPERLINK("https://klasma.github.io/Logging_2305/artfynd/A 32260-2024 artfynd.xlsx", "A 32260-2024")</f>
        <v/>
      </c>
      <c r="T105">
        <f>HYPERLINK("https://klasma.github.io/Logging_2305/kartor/A 32260-2024 karta.png", "A 32260-2024")</f>
        <v/>
      </c>
      <c r="V105">
        <f>HYPERLINK("https://klasma.github.io/Logging_2305/klagomål/A 32260-2024 FSC-klagomål.docx", "A 32260-2024")</f>
        <v/>
      </c>
      <c r="W105">
        <f>HYPERLINK("https://klasma.github.io/Logging_2305/klagomålsmail/A 32260-2024 FSC-klagomål mail.docx", "A 32260-2024")</f>
        <v/>
      </c>
      <c r="X105">
        <f>HYPERLINK("https://klasma.github.io/Logging_2305/tillsyn/A 32260-2024 tillsynsbegäran.docx", "A 32260-2024")</f>
        <v/>
      </c>
      <c r="Y105">
        <f>HYPERLINK("https://klasma.github.io/Logging_2305/tillsynsmail/A 32260-2024 tillsynsbegäran mail.docx", "A 32260-2024")</f>
        <v/>
      </c>
    </row>
    <row r="106" ht="15" customHeight="1">
      <c r="A106" t="inlineStr">
        <is>
          <t>A 48479-2023</t>
        </is>
      </c>
      <c r="B106" s="1" t="n">
        <v>45206</v>
      </c>
      <c r="C106" s="1" t="n">
        <v>45901</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5269-2024</t>
        </is>
      </c>
      <c r="B107" s="1" t="n">
        <v>45330</v>
      </c>
      <c r="C107" s="1" t="n">
        <v>45901</v>
      </c>
      <c r="D107" t="inlineStr">
        <is>
          <t>JÄMTLANDS LÄN</t>
        </is>
      </c>
      <c r="E107" t="inlineStr">
        <is>
          <t>BRÄCKE</t>
        </is>
      </c>
      <c r="F107" t="inlineStr">
        <is>
          <t>SCA</t>
        </is>
      </c>
      <c r="G107" t="n">
        <v>8.300000000000001</v>
      </c>
      <c r="H107" t="n">
        <v>1</v>
      </c>
      <c r="I107" t="n">
        <v>0</v>
      </c>
      <c r="J107" t="n">
        <v>4</v>
      </c>
      <c r="K107" t="n">
        <v>0</v>
      </c>
      <c r="L107" t="n">
        <v>0</v>
      </c>
      <c r="M107" t="n">
        <v>0</v>
      </c>
      <c r="N107" t="n">
        <v>0</v>
      </c>
      <c r="O107" t="n">
        <v>4</v>
      </c>
      <c r="P107" t="n">
        <v>0</v>
      </c>
      <c r="Q107" t="n">
        <v>4</v>
      </c>
      <c r="R107" s="2" t="inlineStr">
        <is>
          <t>Granticka
Lunglav
Skogshare
Tretåig hackspett</t>
        </is>
      </c>
      <c r="S107">
        <f>HYPERLINK("https://klasma.github.io/Logging_2305/artfynd/A 5269-2024 artfynd.xlsx", "A 5269-2024")</f>
        <v/>
      </c>
      <c r="T107">
        <f>HYPERLINK("https://klasma.github.io/Logging_2305/kartor/A 5269-2024 karta.png", "A 5269-2024")</f>
        <v/>
      </c>
      <c r="V107">
        <f>HYPERLINK("https://klasma.github.io/Logging_2305/klagomål/A 5269-2024 FSC-klagomål.docx", "A 5269-2024")</f>
        <v/>
      </c>
      <c r="W107">
        <f>HYPERLINK("https://klasma.github.io/Logging_2305/klagomålsmail/A 5269-2024 FSC-klagomål mail.docx", "A 5269-2024")</f>
        <v/>
      </c>
      <c r="X107">
        <f>HYPERLINK("https://klasma.github.io/Logging_2305/tillsyn/A 5269-2024 tillsynsbegäran.docx", "A 5269-2024")</f>
        <v/>
      </c>
      <c r="Y107">
        <f>HYPERLINK("https://klasma.github.io/Logging_2305/tillsynsmail/A 5269-2024 tillsynsbegäran mail.docx", "A 5269-2024")</f>
        <v/>
      </c>
      <c r="Z107">
        <f>HYPERLINK("https://klasma.github.io/Logging_2305/fåglar/A 5269-2024 prioriterade fågelarter.docx", "A 5269-2024")</f>
        <v/>
      </c>
    </row>
    <row r="108" ht="15" customHeight="1">
      <c r="A108" t="inlineStr">
        <is>
          <t>A 57079-2023</t>
        </is>
      </c>
      <c r="B108" s="1" t="n">
        <v>45244</v>
      </c>
      <c r="C108" s="1" t="n">
        <v>45901</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47499-2023</t>
        </is>
      </c>
      <c r="B109" s="1" t="n">
        <v>45202</v>
      </c>
      <c r="C109" s="1" t="n">
        <v>45901</v>
      </c>
      <c r="D109" t="inlineStr">
        <is>
          <t>JÄMTLANDS LÄN</t>
        </is>
      </c>
      <c r="E109" t="inlineStr">
        <is>
          <t>BRÄCKE</t>
        </is>
      </c>
      <c r="F109" t="inlineStr">
        <is>
          <t>SCA</t>
        </is>
      </c>
      <c r="G109" t="n">
        <v>8.1</v>
      </c>
      <c r="H109" t="n">
        <v>2</v>
      </c>
      <c r="I109" t="n">
        <v>2</v>
      </c>
      <c r="J109" t="n">
        <v>2</v>
      </c>
      <c r="K109" t="n">
        <v>0</v>
      </c>
      <c r="L109" t="n">
        <v>0</v>
      </c>
      <c r="M109" t="n">
        <v>0</v>
      </c>
      <c r="N109" t="n">
        <v>0</v>
      </c>
      <c r="O109" t="n">
        <v>2</v>
      </c>
      <c r="P109" t="n">
        <v>0</v>
      </c>
      <c r="Q109" t="n">
        <v>4</v>
      </c>
      <c r="R109" s="2" t="inlineStr">
        <is>
          <t>Garnlav
Lunglav
Korallrot
Lappranunkel</t>
        </is>
      </c>
      <c r="S109">
        <f>HYPERLINK("https://klasma.github.io/Logging_2305/artfynd/A 47499-2023 artfynd.xlsx", "A 47499-2023")</f>
        <v/>
      </c>
      <c r="T109">
        <f>HYPERLINK("https://klasma.github.io/Logging_2305/kartor/A 47499-2023 karta.png", "A 47499-2023")</f>
        <v/>
      </c>
      <c r="V109">
        <f>HYPERLINK("https://klasma.github.io/Logging_2305/klagomål/A 47499-2023 FSC-klagomål.docx", "A 47499-2023")</f>
        <v/>
      </c>
      <c r="W109">
        <f>HYPERLINK("https://klasma.github.io/Logging_2305/klagomålsmail/A 47499-2023 FSC-klagomål mail.docx", "A 47499-2023")</f>
        <v/>
      </c>
      <c r="X109">
        <f>HYPERLINK("https://klasma.github.io/Logging_2305/tillsyn/A 47499-2023 tillsynsbegäran.docx", "A 47499-2023")</f>
        <v/>
      </c>
      <c r="Y109">
        <f>HYPERLINK("https://klasma.github.io/Logging_2305/tillsynsmail/A 47499-2023 tillsynsbegäran mail.docx", "A 47499-2023")</f>
        <v/>
      </c>
    </row>
    <row r="110" ht="15" customHeight="1">
      <c r="A110" t="inlineStr">
        <is>
          <t>A 32654-2024</t>
        </is>
      </c>
      <c r="B110" s="1" t="n">
        <v>45513.96465277778</v>
      </c>
      <c r="C110" s="1" t="n">
        <v>45901</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34540-2025</t>
        </is>
      </c>
      <c r="B111" s="1" t="n">
        <v>45847.53170138889</v>
      </c>
      <c r="C111" s="1" t="n">
        <v>45901</v>
      </c>
      <c r="D111" t="inlineStr">
        <is>
          <t>JÄMTLANDS LÄN</t>
        </is>
      </c>
      <c r="E111" t="inlineStr">
        <is>
          <t>BRÄCKE</t>
        </is>
      </c>
      <c r="F111" t="inlineStr">
        <is>
          <t>SCA</t>
        </is>
      </c>
      <c r="G111" t="n">
        <v>1.5</v>
      </c>
      <c r="H111" t="n">
        <v>0</v>
      </c>
      <c r="I111" t="n">
        <v>1</v>
      </c>
      <c r="J111" t="n">
        <v>2</v>
      </c>
      <c r="K111" t="n">
        <v>1</v>
      </c>
      <c r="L111" t="n">
        <v>0</v>
      </c>
      <c r="M111" t="n">
        <v>0</v>
      </c>
      <c r="N111" t="n">
        <v>0</v>
      </c>
      <c r="O111" t="n">
        <v>3</v>
      </c>
      <c r="P111" t="n">
        <v>1</v>
      </c>
      <c r="Q111" t="n">
        <v>4</v>
      </c>
      <c r="R111" s="2" t="inlineStr">
        <is>
          <t>Tallgråticka
Skrovlig taggsvamp
Tallriska
Skarp dropptaggsvamp</t>
        </is>
      </c>
      <c r="S111">
        <f>HYPERLINK("https://klasma.github.io/Logging_2305/artfynd/A 34540-2025 artfynd.xlsx", "A 34540-2025")</f>
        <v/>
      </c>
      <c r="T111">
        <f>HYPERLINK("https://klasma.github.io/Logging_2305/kartor/A 34540-2025 karta.png", "A 34540-2025")</f>
        <v/>
      </c>
      <c r="V111">
        <f>HYPERLINK("https://klasma.github.io/Logging_2305/klagomål/A 34540-2025 FSC-klagomål.docx", "A 34540-2025")</f>
        <v/>
      </c>
      <c r="W111">
        <f>HYPERLINK("https://klasma.github.io/Logging_2305/klagomålsmail/A 34540-2025 FSC-klagomål mail.docx", "A 34540-2025")</f>
        <v/>
      </c>
      <c r="X111">
        <f>HYPERLINK("https://klasma.github.io/Logging_2305/tillsyn/A 34540-2025 tillsynsbegäran.docx", "A 34540-2025")</f>
        <v/>
      </c>
      <c r="Y111">
        <f>HYPERLINK("https://klasma.github.io/Logging_2305/tillsynsmail/A 34540-2025 tillsynsbegäran mail.docx", "A 34540-2025")</f>
        <v/>
      </c>
    </row>
    <row r="112" ht="15" customHeight="1">
      <c r="A112" t="inlineStr">
        <is>
          <t>A 30881-2025</t>
        </is>
      </c>
      <c r="B112" s="1" t="n">
        <v>45832.34538194445</v>
      </c>
      <c r="C112" s="1" t="n">
        <v>45901</v>
      </c>
      <c r="D112" t="inlineStr">
        <is>
          <t>JÄMTLANDS LÄN</t>
        </is>
      </c>
      <c r="E112" t="inlineStr">
        <is>
          <t>BRÄCKE</t>
        </is>
      </c>
      <c r="F112" t="inlineStr">
        <is>
          <t>SCA</t>
        </is>
      </c>
      <c r="G112" t="n">
        <v>3.3</v>
      </c>
      <c r="H112" t="n">
        <v>2</v>
      </c>
      <c r="I112" t="n">
        <v>0</v>
      </c>
      <c r="J112" t="n">
        <v>2</v>
      </c>
      <c r="K112" t="n">
        <v>2</v>
      </c>
      <c r="L112" t="n">
        <v>0</v>
      </c>
      <c r="M112" t="n">
        <v>0</v>
      </c>
      <c r="N112" t="n">
        <v>0</v>
      </c>
      <c r="O112" t="n">
        <v>4</v>
      </c>
      <c r="P112" t="n">
        <v>2</v>
      </c>
      <c r="Q112" t="n">
        <v>4</v>
      </c>
      <c r="R112" s="2" t="inlineStr">
        <is>
          <t>Knärot
Lappticka
Rosenticka
Talltita</t>
        </is>
      </c>
      <c r="S112">
        <f>HYPERLINK("https://klasma.github.io/Logging_2305/artfynd/A 30881-2025 artfynd.xlsx", "A 30881-2025")</f>
        <v/>
      </c>
      <c r="T112">
        <f>HYPERLINK("https://klasma.github.io/Logging_2305/kartor/A 30881-2025 karta.png", "A 30881-2025")</f>
        <v/>
      </c>
      <c r="U112">
        <f>HYPERLINK("https://klasma.github.io/Logging_2305/knärot/A 30881-2025 karta knärot.png", "A 30881-2025")</f>
        <v/>
      </c>
      <c r="V112">
        <f>HYPERLINK("https://klasma.github.io/Logging_2305/klagomål/A 30881-2025 FSC-klagomål.docx", "A 30881-2025")</f>
        <v/>
      </c>
      <c r="W112">
        <f>HYPERLINK("https://klasma.github.io/Logging_2305/klagomålsmail/A 30881-2025 FSC-klagomål mail.docx", "A 30881-2025")</f>
        <v/>
      </c>
      <c r="X112">
        <f>HYPERLINK("https://klasma.github.io/Logging_2305/tillsyn/A 30881-2025 tillsynsbegäran.docx", "A 30881-2025")</f>
        <v/>
      </c>
      <c r="Y112">
        <f>HYPERLINK("https://klasma.github.io/Logging_2305/tillsynsmail/A 30881-2025 tillsynsbegäran mail.docx", "A 30881-2025")</f>
        <v/>
      </c>
      <c r="Z112">
        <f>HYPERLINK("https://klasma.github.io/Logging_2305/fåglar/A 30881-2025 prioriterade fågelarter.docx", "A 30881-2025")</f>
        <v/>
      </c>
    </row>
    <row r="113" ht="15" customHeight="1">
      <c r="A113" t="inlineStr">
        <is>
          <t>A 7445-2025</t>
        </is>
      </c>
      <c r="B113" s="1" t="n">
        <v>45705.40694444445</v>
      </c>
      <c r="C113" s="1" t="n">
        <v>45901</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45901</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20496-2025</t>
        </is>
      </c>
      <c r="B115" s="1" t="n">
        <v>45775.57347222222</v>
      </c>
      <c r="C115" s="1" t="n">
        <v>45901</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43620-2023</t>
        </is>
      </c>
      <c r="B116" s="1" t="n">
        <v>45184</v>
      </c>
      <c r="C116" s="1" t="n">
        <v>45901</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45901</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57606-2024</t>
        </is>
      </c>
      <c r="B118" s="1" t="n">
        <v>45630.53204861111</v>
      </c>
      <c r="C118" s="1" t="n">
        <v>45901</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57606-2024 artfynd.xlsx", "A 57606-2024")</f>
        <v/>
      </c>
      <c r="T118">
        <f>HYPERLINK("https://klasma.github.io/Logging_2305/kartor/A 57606-2024 karta.png", "A 57606-2024")</f>
        <v/>
      </c>
      <c r="U118">
        <f>HYPERLINK("https://klasma.github.io/Logging_2305/knärot/A 57606-2024 karta knärot.png", "A 57606-2024")</f>
        <v/>
      </c>
      <c r="V118">
        <f>HYPERLINK("https://klasma.github.io/Logging_2305/klagomål/A 57606-2024 FSC-klagomål.docx", "A 57606-2024")</f>
        <v/>
      </c>
      <c r="W118">
        <f>HYPERLINK("https://klasma.github.io/Logging_2305/klagomålsmail/A 57606-2024 FSC-klagomål mail.docx", "A 57606-2024")</f>
        <v/>
      </c>
      <c r="X118">
        <f>HYPERLINK("https://klasma.github.io/Logging_2305/tillsyn/A 57606-2024 tillsynsbegäran.docx", "A 57606-2024")</f>
        <v/>
      </c>
      <c r="Y118">
        <f>HYPERLINK("https://klasma.github.io/Logging_2305/tillsynsmail/A 57606-2024 tillsynsbegäran mail.docx", "A 57606-2024")</f>
        <v/>
      </c>
      <c r="Z118">
        <f>HYPERLINK("https://klasma.github.io/Logging_2305/fåglar/A 57606-2024 prioriterade fågelarter.docx", "A 57606-2024")</f>
        <v/>
      </c>
    </row>
    <row r="119" ht="15" customHeight="1">
      <c r="A119" t="inlineStr">
        <is>
          <t>A 15263-2025</t>
        </is>
      </c>
      <c r="B119" s="1" t="n">
        <v>45744.65704861111</v>
      </c>
      <c r="C119" s="1" t="n">
        <v>45901</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56222-2021</t>
        </is>
      </c>
      <c r="B120" s="1" t="n">
        <v>44477</v>
      </c>
      <c r="C120" s="1" t="n">
        <v>45901</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45901</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45901</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22190-2025</t>
        </is>
      </c>
      <c r="B123" s="1" t="n">
        <v>45785</v>
      </c>
      <c r="C123" s="1" t="n">
        <v>45901</v>
      </c>
      <c r="D123" t="inlineStr">
        <is>
          <t>JÄMTLANDS LÄN</t>
        </is>
      </c>
      <c r="E123" t="inlineStr">
        <is>
          <t>BRÄCKE</t>
        </is>
      </c>
      <c r="G123" t="n">
        <v>18.6</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HYPERLINK("https://klasma.github.io/Logging_2305/artfynd/A 22190-2025 artfynd.xlsx", "A 22190-2025")</f>
        <v/>
      </c>
      <c r="T123">
        <f>HYPERLINK("https://klasma.github.io/Logging_2305/kartor/A 22190-2025 karta.png", "A 22190-2025")</f>
        <v/>
      </c>
      <c r="U123">
        <f>HYPERLINK("https://klasma.github.io/Logging_2305/knärot/A 22190-2025 karta knärot.png", "A 22190-2025")</f>
        <v/>
      </c>
      <c r="V123">
        <f>HYPERLINK("https://klasma.github.io/Logging_2305/klagomål/A 22190-2025 FSC-klagomål.docx", "A 22190-2025")</f>
        <v/>
      </c>
      <c r="W123">
        <f>HYPERLINK("https://klasma.github.io/Logging_2305/klagomålsmail/A 22190-2025 FSC-klagomål mail.docx", "A 22190-2025")</f>
        <v/>
      </c>
      <c r="X123">
        <f>HYPERLINK("https://klasma.github.io/Logging_2305/tillsyn/A 22190-2025 tillsynsbegäran.docx", "A 22190-2025")</f>
        <v/>
      </c>
      <c r="Y123">
        <f>HYPERLINK("https://klasma.github.io/Logging_2305/tillsynsmail/A 22190-2025 tillsynsbegäran mail.docx", "A 22190-2025")</f>
        <v/>
      </c>
      <c r="Z123">
        <f>HYPERLINK("https://klasma.github.io/Logging_2305/fåglar/A 22190-2025 prioriterade fågelarter.docx", "A 22190-2025")</f>
        <v/>
      </c>
    </row>
    <row r="124" ht="15" customHeight="1">
      <c r="A124" t="inlineStr">
        <is>
          <t>A 25717-2024</t>
        </is>
      </c>
      <c r="B124" s="1" t="n">
        <v>45463.94459490741</v>
      </c>
      <c r="C124" s="1" t="n">
        <v>45901</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22546-2025</t>
        </is>
      </c>
      <c r="B125" s="1" t="n">
        <v>45788.46329861111</v>
      </c>
      <c r="C125" s="1" t="n">
        <v>45901</v>
      </c>
      <c r="D125" t="inlineStr">
        <is>
          <t>JÄMTLANDS LÄN</t>
        </is>
      </c>
      <c r="E125" t="inlineStr">
        <is>
          <t>BRÄCKE</t>
        </is>
      </c>
      <c r="G125" t="n">
        <v>8.1</v>
      </c>
      <c r="H125" t="n">
        <v>2</v>
      </c>
      <c r="I125" t="n">
        <v>0</v>
      </c>
      <c r="J125" t="n">
        <v>1</v>
      </c>
      <c r="K125" t="n">
        <v>1</v>
      </c>
      <c r="L125" t="n">
        <v>0</v>
      </c>
      <c r="M125" t="n">
        <v>0</v>
      </c>
      <c r="N125" t="n">
        <v>0</v>
      </c>
      <c r="O125" t="n">
        <v>2</v>
      </c>
      <c r="P125" t="n">
        <v>1</v>
      </c>
      <c r="Q125" t="n">
        <v>3</v>
      </c>
      <c r="R125" s="2" t="inlineStr">
        <is>
          <t>Myrstarr
Skogsfru
Fläcknycklar</t>
        </is>
      </c>
      <c r="S125">
        <f>HYPERLINK("https://klasma.github.io/Logging_2305/artfynd/A 22546-2025 artfynd.xlsx", "A 22546-2025")</f>
        <v/>
      </c>
      <c r="T125">
        <f>HYPERLINK("https://klasma.github.io/Logging_2305/kartor/A 22546-2025 karta.png", "A 22546-2025")</f>
        <v/>
      </c>
      <c r="V125">
        <f>HYPERLINK("https://klasma.github.io/Logging_2305/klagomål/A 22546-2025 FSC-klagomål.docx", "A 22546-2025")</f>
        <v/>
      </c>
      <c r="W125">
        <f>HYPERLINK("https://klasma.github.io/Logging_2305/klagomålsmail/A 22546-2025 FSC-klagomål mail.docx", "A 22546-2025")</f>
        <v/>
      </c>
      <c r="X125">
        <f>HYPERLINK("https://klasma.github.io/Logging_2305/tillsyn/A 22546-2025 tillsynsbegäran.docx", "A 22546-2025")</f>
        <v/>
      </c>
      <c r="Y125">
        <f>HYPERLINK("https://klasma.github.io/Logging_2305/tillsynsmail/A 22546-2025 tillsynsbegäran mail.docx", "A 22546-2025")</f>
        <v/>
      </c>
    </row>
    <row r="126" ht="15" customHeight="1">
      <c r="A126" t="inlineStr">
        <is>
          <t>A 58584-2021</t>
        </is>
      </c>
      <c r="B126" s="1" t="n">
        <v>44488</v>
      </c>
      <c r="C126" s="1" t="n">
        <v>45901</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50616-2024</t>
        </is>
      </c>
      <c r="B127" s="1" t="n">
        <v>45601.63574074074</v>
      </c>
      <c r="C127" s="1" t="n">
        <v>45901</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Garnlav
Lunglav
Stuplav</t>
        </is>
      </c>
      <c r="S127">
        <f>HYPERLINK("https://klasma.github.io/Logging_2305/artfynd/A 50616-2024 artfynd.xlsx", "A 50616-2024")</f>
        <v/>
      </c>
      <c r="T127">
        <f>HYPERLINK("https://klasma.github.io/Logging_2305/kartor/A 50616-2024 karta.png", "A 50616-2024")</f>
        <v/>
      </c>
      <c r="V127">
        <f>HYPERLINK("https://klasma.github.io/Logging_2305/klagomål/A 50616-2024 FSC-klagomål.docx", "A 50616-2024")</f>
        <v/>
      </c>
      <c r="W127">
        <f>HYPERLINK("https://klasma.github.io/Logging_2305/klagomålsmail/A 50616-2024 FSC-klagomål mail.docx", "A 50616-2024")</f>
        <v/>
      </c>
      <c r="X127">
        <f>HYPERLINK("https://klasma.github.io/Logging_2305/tillsyn/A 50616-2024 tillsynsbegäran.docx", "A 50616-2024")</f>
        <v/>
      </c>
      <c r="Y127">
        <f>HYPERLINK("https://klasma.github.io/Logging_2305/tillsynsmail/A 50616-2024 tillsynsbegäran mail.docx", "A 50616-2024")</f>
        <v/>
      </c>
    </row>
    <row r="128" ht="15" customHeight="1">
      <c r="A128" t="inlineStr">
        <is>
          <t>A 23592-2025</t>
        </is>
      </c>
      <c r="B128" s="1" t="n">
        <v>45792.63644675926</v>
      </c>
      <c r="C128" s="1" t="n">
        <v>45901</v>
      </c>
      <c r="D128" t="inlineStr">
        <is>
          <t>JÄMTLANDS LÄN</t>
        </is>
      </c>
      <c r="E128" t="inlineStr">
        <is>
          <t>BRÄCKE</t>
        </is>
      </c>
      <c r="F128" t="inlineStr">
        <is>
          <t>SCA</t>
        </is>
      </c>
      <c r="G128" t="n">
        <v>3.6</v>
      </c>
      <c r="H128" t="n">
        <v>1</v>
      </c>
      <c r="I128" t="n">
        <v>0</v>
      </c>
      <c r="J128" t="n">
        <v>2</v>
      </c>
      <c r="K128" t="n">
        <v>1</v>
      </c>
      <c r="L128" t="n">
        <v>0</v>
      </c>
      <c r="M128" t="n">
        <v>0</v>
      </c>
      <c r="N128" t="n">
        <v>0</v>
      </c>
      <c r="O128" t="n">
        <v>3</v>
      </c>
      <c r="P128" t="n">
        <v>1</v>
      </c>
      <c r="Q128" t="n">
        <v>3</v>
      </c>
      <c r="R128" s="2" t="inlineStr">
        <is>
          <t>Knärot
Lunglav
Rosenticka</t>
        </is>
      </c>
      <c r="S128">
        <f>HYPERLINK("https://klasma.github.io/Logging_2305/artfynd/A 23592-2025 artfynd.xlsx", "A 23592-2025")</f>
        <v/>
      </c>
      <c r="T128">
        <f>HYPERLINK("https://klasma.github.io/Logging_2305/kartor/A 23592-2025 karta.png", "A 23592-2025")</f>
        <v/>
      </c>
      <c r="U128">
        <f>HYPERLINK("https://klasma.github.io/Logging_2305/knärot/A 23592-2025 karta knärot.png", "A 23592-2025")</f>
        <v/>
      </c>
      <c r="V128">
        <f>HYPERLINK("https://klasma.github.io/Logging_2305/klagomål/A 23592-2025 FSC-klagomål.docx", "A 23592-2025")</f>
        <v/>
      </c>
      <c r="W128">
        <f>HYPERLINK("https://klasma.github.io/Logging_2305/klagomålsmail/A 23592-2025 FSC-klagomål mail.docx", "A 23592-2025")</f>
        <v/>
      </c>
      <c r="X128">
        <f>HYPERLINK("https://klasma.github.io/Logging_2305/tillsyn/A 23592-2025 tillsynsbegäran.docx", "A 23592-2025")</f>
        <v/>
      </c>
      <c r="Y128">
        <f>HYPERLINK("https://klasma.github.io/Logging_2305/tillsynsmail/A 23592-2025 tillsynsbegäran mail.docx", "A 23592-2025")</f>
        <v/>
      </c>
    </row>
    <row r="129" ht="15" customHeight="1">
      <c r="A129" t="inlineStr">
        <is>
          <t>A 23300-2025</t>
        </is>
      </c>
      <c r="B129" s="1" t="n">
        <v>45791.5946875</v>
      </c>
      <c r="C129" s="1" t="n">
        <v>45901</v>
      </c>
      <c r="D129" t="inlineStr">
        <is>
          <t>JÄMTLANDS LÄN</t>
        </is>
      </c>
      <c r="E129" t="inlineStr">
        <is>
          <t>BRÄCKE</t>
        </is>
      </c>
      <c r="F129" t="inlineStr">
        <is>
          <t>SCA</t>
        </is>
      </c>
      <c r="G129" t="n">
        <v>3.9</v>
      </c>
      <c r="H129" t="n">
        <v>1</v>
      </c>
      <c r="I129" t="n">
        <v>1</v>
      </c>
      <c r="J129" t="n">
        <v>2</v>
      </c>
      <c r="K129" t="n">
        <v>0</v>
      </c>
      <c r="L129" t="n">
        <v>0</v>
      </c>
      <c r="M129" t="n">
        <v>0</v>
      </c>
      <c r="N129" t="n">
        <v>0</v>
      </c>
      <c r="O129" t="n">
        <v>2</v>
      </c>
      <c r="P129" t="n">
        <v>0</v>
      </c>
      <c r="Q129" t="n">
        <v>3</v>
      </c>
      <c r="R129" s="2" t="inlineStr">
        <is>
          <t>Mörk kolflarnlav
Tretåig hackspett
Norrlandslav</t>
        </is>
      </c>
      <c r="S129">
        <f>HYPERLINK("https://klasma.github.io/Logging_2305/artfynd/A 23300-2025 artfynd.xlsx", "A 23300-2025")</f>
        <v/>
      </c>
      <c r="T129">
        <f>HYPERLINK("https://klasma.github.io/Logging_2305/kartor/A 23300-2025 karta.png", "A 23300-2025")</f>
        <v/>
      </c>
      <c r="V129">
        <f>HYPERLINK("https://klasma.github.io/Logging_2305/klagomål/A 23300-2025 FSC-klagomål.docx", "A 23300-2025")</f>
        <v/>
      </c>
      <c r="W129">
        <f>HYPERLINK("https://klasma.github.io/Logging_2305/klagomålsmail/A 23300-2025 FSC-klagomål mail.docx", "A 23300-2025")</f>
        <v/>
      </c>
      <c r="X129">
        <f>HYPERLINK("https://klasma.github.io/Logging_2305/tillsyn/A 23300-2025 tillsynsbegäran.docx", "A 23300-2025")</f>
        <v/>
      </c>
      <c r="Y129">
        <f>HYPERLINK("https://klasma.github.io/Logging_2305/tillsynsmail/A 23300-2025 tillsynsbegäran mail.docx", "A 23300-2025")</f>
        <v/>
      </c>
      <c r="Z129">
        <f>HYPERLINK("https://klasma.github.io/Logging_2305/fåglar/A 23300-2025 prioriterade fågelarter.docx", "A 23300-2025")</f>
        <v/>
      </c>
    </row>
    <row r="130" ht="15" customHeight="1">
      <c r="A130" t="inlineStr">
        <is>
          <t>A 4180-2022</t>
        </is>
      </c>
      <c r="B130" s="1" t="n">
        <v>44588</v>
      </c>
      <c r="C130" s="1" t="n">
        <v>45901</v>
      </c>
      <c r="D130" t="inlineStr">
        <is>
          <t>JÄMTLANDS LÄN</t>
        </is>
      </c>
      <c r="E130" t="inlineStr">
        <is>
          <t>BRÄCKE</t>
        </is>
      </c>
      <c r="G130" t="n">
        <v>6.1</v>
      </c>
      <c r="H130" t="n">
        <v>2</v>
      </c>
      <c r="I130" t="n">
        <v>1</v>
      </c>
      <c r="J130" t="n">
        <v>1</v>
      </c>
      <c r="K130" t="n">
        <v>1</v>
      </c>
      <c r="L130" t="n">
        <v>0</v>
      </c>
      <c r="M130" t="n">
        <v>0</v>
      </c>
      <c r="N130" t="n">
        <v>0</v>
      </c>
      <c r="O130" t="n">
        <v>2</v>
      </c>
      <c r="P130" t="n">
        <v>1</v>
      </c>
      <c r="Q130" t="n">
        <v>3</v>
      </c>
      <c r="R130" s="2" t="inlineStr">
        <is>
          <t>Knärot
Skogsfru
Ögonpyrola</t>
        </is>
      </c>
      <c r="S130">
        <f>HYPERLINK("https://klasma.github.io/Logging_2305/artfynd/A 4180-2022 artfynd.xlsx", "A 4180-2022")</f>
        <v/>
      </c>
      <c r="T130">
        <f>HYPERLINK("https://klasma.github.io/Logging_2305/kartor/A 4180-2022 karta.png", "A 4180-2022")</f>
        <v/>
      </c>
      <c r="U130">
        <f>HYPERLINK("https://klasma.github.io/Logging_2305/knärot/A 4180-2022 karta knärot.png", "A 4180-2022")</f>
        <v/>
      </c>
      <c r="V130">
        <f>HYPERLINK("https://klasma.github.io/Logging_2305/klagomål/A 4180-2022 FSC-klagomål.docx", "A 4180-2022")</f>
        <v/>
      </c>
      <c r="W130">
        <f>HYPERLINK("https://klasma.github.io/Logging_2305/klagomålsmail/A 4180-2022 FSC-klagomål mail.docx", "A 4180-2022")</f>
        <v/>
      </c>
      <c r="X130">
        <f>HYPERLINK("https://klasma.github.io/Logging_2305/tillsyn/A 4180-2022 tillsynsbegäran.docx", "A 4180-2022")</f>
        <v/>
      </c>
      <c r="Y130">
        <f>HYPERLINK("https://klasma.github.io/Logging_2305/tillsynsmail/A 4180-2022 tillsynsbegäran mail.docx", "A 4180-2022")</f>
        <v/>
      </c>
    </row>
    <row r="131" ht="15" customHeight="1">
      <c r="A131" t="inlineStr">
        <is>
          <t>A 23687-2025</t>
        </is>
      </c>
      <c r="B131" s="1" t="n">
        <v>45793.34428240741</v>
      </c>
      <c r="C131" s="1" t="n">
        <v>45901</v>
      </c>
      <c r="D131" t="inlineStr">
        <is>
          <t>JÄMTLANDS LÄN</t>
        </is>
      </c>
      <c r="E131" t="inlineStr">
        <is>
          <t>BRÄCKE</t>
        </is>
      </c>
      <c r="F131" t="inlineStr">
        <is>
          <t>SCA</t>
        </is>
      </c>
      <c r="G131" t="n">
        <v>5.5</v>
      </c>
      <c r="H131" t="n">
        <v>0</v>
      </c>
      <c r="I131" t="n">
        <v>2</v>
      </c>
      <c r="J131" t="n">
        <v>1</v>
      </c>
      <c r="K131" t="n">
        <v>0</v>
      </c>
      <c r="L131" t="n">
        <v>0</v>
      </c>
      <c r="M131" t="n">
        <v>0</v>
      </c>
      <c r="N131" t="n">
        <v>0</v>
      </c>
      <c r="O131" t="n">
        <v>1</v>
      </c>
      <c r="P131" t="n">
        <v>0</v>
      </c>
      <c r="Q131" t="n">
        <v>3</v>
      </c>
      <c r="R131" s="2" t="inlineStr">
        <is>
          <t>Lunglav
Skinnlav
Stuplav</t>
        </is>
      </c>
      <c r="S131">
        <f>HYPERLINK("https://klasma.github.io/Logging_2305/artfynd/A 23687-2025 artfynd.xlsx", "A 23687-2025")</f>
        <v/>
      </c>
      <c r="T131">
        <f>HYPERLINK("https://klasma.github.io/Logging_2305/kartor/A 23687-2025 karta.png", "A 23687-2025")</f>
        <v/>
      </c>
      <c r="V131">
        <f>HYPERLINK("https://klasma.github.io/Logging_2305/klagomål/A 23687-2025 FSC-klagomål.docx", "A 23687-2025")</f>
        <v/>
      </c>
      <c r="W131">
        <f>HYPERLINK("https://klasma.github.io/Logging_2305/klagomålsmail/A 23687-2025 FSC-klagomål mail.docx", "A 23687-2025")</f>
        <v/>
      </c>
      <c r="X131">
        <f>HYPERLINK("https://klasma.github.io/Logging_2305/tillsyn/A 23687-2025 tillsynsbegäran.docx", "A 23687-2025")</f>
        <v/>
      </c>
      <c r="Y131">
        <f>HYPERLINK("https://klasma.github.io/Logging_2305/tillsynsmail/A 23687-2025 tillsynsbegäran mail.docx", "A 23687-2025")</f>
        <v/>
      </c>
    </row>
    <row r="132" ht="15" customHeight="1">
      <c r="A132" t="inlineStr">
        <is>
          <t>A 29689-2024</t>
        </is>
      </c>
      <c r="B132" s="1" t="n">
        <v>45484.94427083333</v>
      </c>
      <c r="C132" s="1" t="n">
        <v>45901</v>
      </c>
      <c r="D132" t="inlineStr">
        <is>
          <t>JÄMTLANDS LÄN</t>
        </is>
      </c>
      <c r="E132" t="inlineStr">
        <is>
          <t>BRÄCKE</t>
        </is>
      </c>
      <c r="F132" t="inlineStr">
        <is>
          <t>SCA</t>
        </is>
      </c>
      <c r="G132" t="n">
        <v>6.3</v>
      </c>
      <c r="H132" t="n">
        <v>0</v>
      </c>
      <c r="I132" t="n">
        <v>1</v>
      </c>
      <c r="J132" t="n">
        <v>2</v>
      </c>
      <c r="K132" t="n">
        <v>0</v>
      </c>
      <c r="L132" t="n">
        <v>0</v>
      </c>
      <c r="M132" t="n">
        <v>0</v>
      </c>
      <c r="N132" t="n">
        <v>0</v>
      </c>
      <c r="O132" t="n">
        <v>2</v>
      </c>
      <c r="P132" t="n">
        <v>0</v>
      </c>
      <c r="Q132" t="n">
        <v>3</v>
      </c>
      <c r="R132" s="2" t="inlineStr">
        <is>
          <t>Garnlav
Granticka
Vedticka</t>
        </is>
      </c>
      <c r="S132">
        <f>HYPERLINK("https://klasma.github.io/Logging_2305/artfynd/A 29689-2024 artfynd.xlsx", "A 29689-2024")</f>
        <v/>
      </c>
      <c r="T132">
        <f>HYPERLINK("https://klasma.github.io/Logging_2305/kartor/A 29689-2024 karta.png", "A 29689-2024")</f>
        <v/>
      </c>
      <c r="V132">
        <f>HYPERLINK("https://klasma.github.io/Logging_2305/klagomål/A 29689-2024 FSC-klagomål.docx", "A 29689-2024")</f>
        <v/>
      </c>
      <c r="W132">
        <f>HYPERLINK("https://klasma.github.io/Logging_2305/klagomålsmail/A 29689-2024 FSC-klagomål mail.docx", "A 29689-2024")</f>
        <v/>
      </c>
      <c r="X132">
        <f>HYPERLINK("https://klasma.github.io/Logging_2305/tillsyn/A 29689-2024 tillsynsbegäran.docx", "A 29689-2024")</f>
        <v/>
      </c>
      <c r="Y132">
        <f>HYPERLINK("https://klasma.github.io/Logging_2305/tillsynsmail/A 29689-2024 tillsynsbegäran mail.docx", "A 29689-2024")</f>
        <v/>
      </c>
    </row>
    <row r="133" ht="15" customHeight="1">
      <c r="A133" t="inlineStr">
        <is>
          <t>A 29455-2024</t>
        </is>
      </c>
      <c r="B133" s="1" t="n">
        <v>45483</v>
      </c>
      <c r="C133" s="1" t="n">
        <v>45901</v>
      </c>
      <c r="D133" t="inlineStr">
        <is>
          <t>JÄMTLANDS LÄN</t>
        </is>
      </c>
      <c r="E133" t="inlineStr">
        <is>
          <t>BRÄCKE</t>
        </is>
      </c>
      <c r="F133" t="inlineStr">
        <is>
          <t>SCA</t>
        </is>
      </c>
      <c r="G133" t="n">
        <v>6</v>
      </c>
      <c r="H133" t="n">
        <v>0</v>
      </c>
      <c r="I133" t="n">
        <v>0</v>
      </c>
      <c r="J133" t="n">
        <v>3</v>
      </c>
      <c r="K133" t="n">
        <v>0</v>
      </c>
      <c r="L133" t="n">
        <v>0</v>
      </c>
      <c r="M133" t="n">
        <v>0</v>
      </c>
      <c r="N133" t="n">
        <v>0</v>
      </c>
      <c r="O133" t="n">
        <v>3</v>
      </c>
      <c r="P133" t="n">
        <v>0</v>
      </c>
      <c r="Q133" t="n">
        <v>3</v>
      </c>
      <c r="R133" s="2" t="inlineStr">
        <is>
          <t>Garnlav
Lunglav
Ullticka</t>
        </is>
      </c>
      <c r="S133">
        <f>HYPERLINK("https://klasma.github.io/Logging_2305/artfynd/A 29455-2024 artfynd.xlsx", "A 29455-2024")</f>
        <v/>
      </c>
      <c r="T133">
        <f>HYPERLINK("https://klasma.github.io/Logging_2305/kartor/A 29455-2024 karta.png", "A 29455-2024")</f>
        <v/>
      </c>
      <c r="V133">
        <f>HYPERLINK("https://klasma.github.io/Logging_2305/klagomål/A 29455-2024 FSC-klagomål.docx", "A 29455-2024")</f>
        <v/>
      </c>
      <c r="W133">
        <f>HYPERLINK("https://klasma.github.io/Logging_2305/klagomålsmail/A 29455-2024 FSC-klagomål mail.docx", "A 29455-2024")</f>
        <v/>
      </c>
      <c r="X133">
        <f>HYPERLINK("https://klasma.github.io/Logging_2305/tillsyn/A 29455-2024 tillsynsbegäran.docx", "A 29455-2024")</f>
        <v/>
      </c>
      <c r="Y133">
        <f>HYPERLINK("https://klasma.github.io/Logging_2305/tillsynsmail/A 29455-2024 tillsynsbegäran mail.docx", "A 29455-2024")</f>
        <v/>
      </c>
    </row>
    <row r="134" ht="15" customHeight="1">
      <c r="A134" t="inlineStr">
        <is>
          <t>A 23854-2025</t>
        </is>
      </c>
      <c r="B134" s="1" t="n">
        <v>45793.65658564815</v>
      </c>
      <c r="C134" s="1" t="n">
        <v>45901</v>
      </c>
      <c r="D134" t="inlineStr">
        <is>
          <t>JÄMTLANDS LÄN</t>
        </is>
      </c>
      <c r="E134" t="inlineStr">
        <is>
          <t>BRÄCKE</t>
        </is>
      </c>
      <c r="F134" t="inlineStr">
        <is>
          <t>SCA</t>
        </is>
      </c>
      <c r="G134" t="n">
        <v>4.5</v>
      </c>
      <c r="H134" t="n">
        <v>1</v>
      </c>
      <c r="I134" t="n">
        <v>1</v>
      </c>
      <c r="J134" t="n">
        <v>1</v>
      </c>
      <c r="K134" t="n">
        <v>0</v>
      </c>
      <c r="L134" t="n">
        <v>0</v>
      </c>
      <c r="M134" t="n">
        <v>0</v>
      </c>
      <c r="N134" t="n">
        <v>0</v>
      </c>
      <c r="O134" t="n">
        <v>1</v>
      </c>
      <c r="P134" t="n">
        <v>0</v>
      </c>
      <c r="Q134" t="n">
        <v>3</v>
      </c>
      <c r="R134" s="2" t="inlineStr">
        <is>
          <t>Garnlav
Skuggblåslav
Tjäder</t>
        </is>
      </c>
      <c r="S134">
        <f>HYPERLINK("https://klasma.github.io/Logging_2305/artfynd/A 23854-2025 artfynd.xlsx", "A 23854-2025")</f>
        <v/>
      </c>
      <c r="T134">
        <f>HYPERLINK("https://klasma.github.io/Logging_2305/kartor/A 23854-2025 karta.png", "A 23854-2025")</f>
        <v/>
      </c>
      <c r="V134">
        <f>HYPERLINK("https://klasma.github.io/Logging_2305/klagomål/A 23854-2025 FSC-klagomål.docx", "A 23854-2025")</f>
        <v/>
      </c>
      <c r="W134">
        <f>HYPERLINK("https://klasma.github.io/Logging_2305/klagomålsmail/A 23854-2025 FSC-klagomål mail.docx", "A 23854-2025")</f>
        <v/>
      </c>
      <c r="X134">
        <f>HYPERLINK("https://klasma.github.io/Logging_2305/tillsyn/A 23854-2025 tillsynsbegäran.docx", "A 23854-2025")</f>
        <v/>
      </c>
      <c r="Y134">
        <f>HYPERLINK("https://klasma.github.io/Logging_2305/tillsynsmail/A 23854-2025 tillsynsbegäran mail.docx", "A 23854-2025")</f>
        <v/>
      </c>
      <c r="Z134">
        <f>HYPERLINK("https://klasma.github.io/Logging_2305/fåglar/A 23854-2025 prioriterade fågelarter.docx", "A 23854-2025")</f>
        <v/>
      </c>
    </row>
    <row r="135" ht="15" customHeight="1">
      <c r="A135" t="inlineStr">
        <is>
          <t>A 24635-2025</t>
        </is>
      </c>
      <c r="B135" s="1" t="n">
        <v>45798.61513888889</v>
      </c>
      <c r="C135" s="1" t="n">
        <v>45901</v>
      </c>
      <c r="D135" t="inlineStr">
        <is>
          <t>JÄMTLANDS LÄN</t>
        </is>
      </c>
      <c r="E135" t="inlineStr">
        <is>
          <t>BRÄCKE</t>
        </is>
      </c>
      <c r="G135" t="n">
        <v>3.2</v>
      </c>
      <c r="H135" t="n">
        <v>1</v>
      </c>
      <c r="I135" t="n">
        <v>0</v>
      </c>
      <c r="J135" t="n">
        <v>3</v>
      </c>
      <c r="K135" t="n">
        <v>0</v>
      </c>
      <c r="L135" t="n">
        <v>0</v>
      </c>
      <c r="M135" t="n">
        <v>0</v>
      </c>
      <c r="N135" t="n">
        <v>0</v>
      </c>
      <c r="O135" t="n">
        <v>3</v>
      </c>
      <c r="P135" t="n">
        <v>0</v>
      </c>
      <c r="Q135" t="n">
        <v>3</v>
      </c>
      <c r="R135" s="2" t="inlineStr">
        <is>
          <t>Lunglav
Tretåig hackspett
Ullticka</t>
        </is>
      </c>
      <c r="S135">
        <f>HYPERLINK("https://klasma.github.io/Logging_2305/artfynd/A 24635-2025 artfynd.xlsx", "A 24635-2025")</f>
        <v/>
      </c>
      <c r="T135">
        <f>HYPERLINK("https://klasma.github.io/Logging_2305/kartor/A 24635-2025 karta.png", "A 24635-2025")</f>
        <v/>
      </c>
      <c r="V135">
        <f>HYPERLINK("https://klasma.github.io/Logging_2305/klagomål/A 24635-2025 FSC-klagomål.docx", "A 24635-2025")</f>
        <v/>
      </c>
      <c r="W135">
        <f>HYPERLINK("https://klasma.github.io/Logging_2305/klagomålsmail/A 24635-2025 FSC-klagomål mail.docx", "A 24635-2025")</f>
        <v/>
      </c>
      <c r="X135">
        <f>HYPERLINK("https://klasma.github.io/Logging_2305/tillsyn/A 24635-2025 tillsynsbegäran.docx", "A 24635-2025")</f>
        <v/>
      </c>
      <c r="Y135">
        <f>HYPERLINK("https://klasma.github.io/Logging_2305/tillsynsmail/A 24635-2025 tillsynsbegäran mail.docx", "A 24635-2025")</f>
        <v/>
      </c>
      <c r="Z135">
        <f>HYPERLINK("https://klasma.github.io/Logging_2305/fåglar/A 24635-2025 prioriterade fågelarter.docx", "A 24635-2025")</f>
        <v/>
      </c>
    </row>
    <row r="136" ht="15" customHeight="1">
      <c r="A136" t="inlineStr">
        <is>
          <t>A 30989-2024</t>
        </is>
      </c>
      <c r="B136" s="1" t="n">
        <v>45499.54851851852</v>
      </c>
      <c r="C136" s="1" t="n">
        <v>45901</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30486-2024</t>
        </is>
      </c>
      <c r="B137" s="1" t="n">
        <v>45491.95018518518</v>
      </c>
      <c r="C137" s="1" t="n">
        <v>45901</v>
      </c>
      <c r="D137" t="inlineStr">
        <is>
          <t>JÄMTLANDS LÄN</t>
        </is>
      </c>
      <c r="E137" t="inlineStr">
        <is>
          <t>BRÄCKE</t>
        </is>
      </c>
      <c r="F137" t="inlineStr">
        <is>
          <t>SCA</t>
        </is>
      </c>
      <c r="G137" t="n">
        <v>3.8</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30486-2024 artfynd.xlsx", "A 30486-2024")</f>
        <v/>
      </c>
      <c r="T137">
        <f>HYPERLINK("https://klasma.github.io/Logging_2305/kartor/A 30486-2024 karta.png", "A 30486-2024")</f>
        <v/>
      </c>
      <c r="V137">
        <f>HYPERLINK("https://klasma.github.io/Logging_2305/klagomål/A 30486-2024 FSC-klagomål.docx", "A 30486-2024")</f>
        <v/>
      </c>
      <c r="W137">
        <f>HYPERLINK("https://klasma.github.io/Logging_2305/klagomålsmail/A 30486-2024 FSC-klagomål mail.docx", "A 30486-2024")</f>
        <v/>
      </c>
      <c r="X137">
        <f>HYPERLINK("https://klasma.github.io/Logging_2305/tillsyn/A 30486-2024 tillsynsbegäran.docx", "A 30486-2024")</f>
        <v/>
      </c>
      <c r="Y137">
        <f>HYPERLINK("https://klasma.github.io/Logging_2305/tillsynsmail/A 30486-2024 tillsynsbegäran mail.docx", "A 30486-2024")</f>
        <v/>
      </c>
      <c r="Z137">
        <f>HYPERLINK("https://klasma.github.io/Logging_2305/fåglar/A 30486-2024 prioriterade fågelarter.docx", "A 30486-2024")</f>
        <v/>
      </c>
    </row>
    <row r="138" ht="15" customHeight="1">
      <c r="A138" t="inlineStr">
        <is>
          <t>A 29690-2024</t>
        </is>
      </c>
      <c r="B138" s="1" t="n">
        <v>45484.94436342592</v>
      </c>
      <c r="C138" s="1" t="n">
        <v>45901</v>
      </c>
      <c r="D138" t="inlineStr">
        <is>
          <t>JÄMTLANDS LÄN</t>
        </is>
      </c>
      <c r="E138" t="inlineStr">
        <is>
          <t>BRÄCKE</t>
        </is>
      </c>
      <c r="F138" t="inlineStr">
        <is>
          <t>SCA</t>
        </is>
      </c>
      <c r="G138" t="n">
        <v>12.7</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29690-2024 artfynd.xlsx", "A 29690-2024")</f>
        <v/>
      </c>
      <c r="T138">
        <f>HYPERLINK("https://klasma.github.io/Logging_2305/kartor/A 29690-2024 karta.png", "A 29690-2024")</f>
        <v/>
      </c>
      <c r="V138">
        <f>HYPERLINK("https://klasma.github.io/Logging_2305/klagomål/A 29690-2024 FSC-klagomål.docx", "A 29690-2024")</f>
        <v/>
      </c>
      <c r="W138">
        <f>HYPERLINK("https://klasma.github.io/Logging_2305/klagomålsmail/A 29690-2024 FSC-klagomål mail.docx", "A 29690-2024")</f>
        <v/>
      </c>
      <c r="X138">
        <f>HYPERLINK("https://klasma.github.io/Logging_2305/tillsyn/A 29690-2024 tillsynsbegäran.docx", "A 29690-2024")</f>
        <v/>
      </c>
      <c r="Y138">
        <f>HYPERLINK("https://klasma.github.io/Logging_2305/tillsynsmail/A 29690-2024 tillsynsbegäran mail.docx", "A 29690-2024")</f>
        <v/>
      </c>
    </row>
    <row r="139" ht="15" customHeight="1">
      <c r="A139" t="inlineStr">
        <is>
          <t>A 47183-2023</t>
        </is>
      </c>
      <c r="B139" s="1" t="n">
        <v>45201</v>
      </c>
      <c r="C139" s="1" t="n">
        <v>45901</v>
      </c>
      <c r="D139" t="inlineStr">
        <is>
          <t>JÄMTLANDS LÄN</t>
        </is>
      </c>
      <c r="E139" t="inlineStr">
        <is>
          <t>BRÄCKE</t>
        </is>
      </c>
      <c r="F139" t="inlineStr">
        <is>
          <t>SCA</t>
        </is>
      </c>
      <c r="G139" t="n">
        <v>1.2</v>
      </c>
      <c r="H139" t="n">
        <v>2</v>
      </c>
      <c r="I139" t="n">
        <v>1</v>
      </c>
      <c r="J139" t="n">
        <v>1</v>
      </c>
      <c r="K139" t="n">
        <v>0</v>
      </c>
      <c r="L139" t="n">
        <v>0</v>
      </c>
      <c r="M139" t="n">
        <v>0</v>
      </c>
      <c r="N139" t="n">
        <v>0</v>
      </c>
      <c r="O139" t="n">
        <v>1</v>
      </c>
      <c r="P139" t="n">
        <v>0</v>
      </c>
      <c r="Q139" t="n">
        <v>3</v>
      </c>
      <c r="R139" s="2" t="inlineStr">
        <is>
          <t>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2298-2025</t>
        </is>
      </c>
      <c r="B140" s="1" t="n">
        <v>45673.595</v>
      </c>
      <c r="C140" s="1" t="n">
        <v>45901</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41648-2023</t>
        </is>
      </c>
      <c r="B141" s="1" t="n">
        <v>45175</v>
      </c>
      <c r="C141" s="1" t="n">
        <v>45901</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35907-2025</t>
        </is>
      </c>
      <c r="B142" s="1" t="n">
        <v>45862.5109837963</v>
      </c>
      <c r="C142" s="1" t="n">
        <v>45901</v>
      </c>
      <c r="D142" t="inlineStr">
        <is>
          <t>JÄMTLANDS LÄN</t>
        </is>
      </c>
      <c r="E142" t="inlineStr">
        <is>
          <t>BRÄCKE</t>
        </is>
      </c>
      <c r="F142" t="inlineStr">
        <is>
          <t>SCA</t>
        </is>
      </c>
      <c r="G142" t="n">
        <v>2.8</v>
      </c>
      <c r="H142" t="n">
        <v>0</v>
      </c>
      <c r="I142" t="n">
        <v>1</v>
      </c>
      <c r="J142" t="n">
        <v>2</v>
      </c>
      <c r="K142" t="n">
        <v>0</v>
      </c>
      <c r="L142" t="n">
        <v>0</v>
      </c>
      <c r="M142" t="n">
        <v>0</v>
      </c>
      <c r="N142" t="n">
        <v>0</v>
      </c>
      <c r="O142" t="n">
        <v>2</v>
      </c>
      <c r="P142" t="n">
        <v>0</v>
      </c>
      <c r="Q142" t="n">
        <v>3</v>
      </c>
      <c r="R142" s="2" t="inlineStr">
        <is>
          <t>Garnlav
Ullticka
Dropptaggsvamp</t>
        </is>
      </c>
      <c r="S142">
        <f>HYPERLINK("https://klasma.github.io/Logging_2305/artfynd/A 35907-2025 artfynd.xlsx", "A 35907-2025")</f>
        <v/>
      </c>
      <c r="T142">
        <f>HYPERLINK("https://klasma.github.io/Logging_2305/kartor/A 35907-2025 karta.png", "A 35907-2025")</f>
        <v/>
      </c>
      <c r="V142">
        <f>HYPERLINK("https://klasma.github.io/Logging_2305/klagomål/A 35907-2025 FSC-klagomål.docx", "A 35907-2025")</f>
        <v/>
      </c>
      <c r="W142">
        <f>HYPERLINK("https://klasma.github.io/Logging_2305/klagomålsmail/A 35907-2025 FSC-klagomål mail.docx", "A 35907-2025")</f>
        <v/>
      </c>
      <c r="X142">
        <f>HYPERLINK("https://klasma.github.io/Logging_2305/tillsyn/A 35907-2025 tillsynsbegäran.docx", "A 35907-2025")</f>
        <v/>
      </c>
      <c r="Y142">
        <f>HYPERLINK("https://klasma.github.io/Logging_2305/tillsynsmail/A 35907-2025 tillsynsbegäran mail.docx", "A 35907-2025")</f>
        <v/>
      </c>
    </row>
    <row r="143" ht="15" customHeight="1">
      <c r="A143" t="inlineStr">
        <is>
          <t>A 48067-2023</t>
        </is>
      </c>
      <c r="B143" s="1" t="n">
        <v>45204</v>
      </c>
      <c r="C143" s="1" t="n">
        <v>45901</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19336-2024</t>
        </is>
      </c>
      <c r="B144" s="1" t="n">
        <v>45428.97079861111</v>
      </c>
      <c r="C144" s="1" t="n">
        <v>45901</v>
      </c>
      <c r="D144" t="inlineStr">
        <is>
          <t>JÄMTLANDS LÄN</t>
        </is>
      </c>
      <c r="E144" t="inlineStr">
        <is>
          <t>BRÄCKE</t>
        </is>
      </c>
      <c r="F144" t="inlineStr">
        <is>
          <t>SCA</t>
        </is>
      </c>
      <c r="G144" t="n">
        <v>5.8</v>
      </c>
      <c r="H144" t="n">
        <v>1</v>
      </c>
      <c r="I144" t="n">
        <v>0</v>
      </c>
      <c r="J144" t="n">
        <v>3</v>
      </c>
      <c r="K144" t="n">
        <v>0</v>
      </c>
      <c r="L144" t="n">
        <v>0</v>
      </c>
      <c r="M144" t="n">
        <v>0</v>
      </c>
      <c r="N144" t="n">
        <v>0</v>
      </c>
      <c r="O144" t="n">
        <v>3</v>
      </c>
      <c r="P144" t="n">
        <v>0</v>
      </c>
      <c r="Q144" t="n">
        <v>3</v>
      </c>
      <c r="R144" s="2" t="inlineStr">
        <is>
          <t>Granticka
Lunglav
Spillkråka</t>
        </is>
      </c>
      <c r="S144">
        <f>HYPERLINK("https://klasma.github.io/Logging_2305/artfynd/A 19336-2024 artfynd.xlsx", "A 19336-2024")</f>
        <v/>
      </c>
      <c r="T144">
        <f>HYPERLINK("https://klasma.github.io/Logging_2305/kartor/A 19336-2024 karta.png", "A 19336-2024")</f>
        <v/>
      </c>
      <c r="V144">
        <f>HYPERLINK("https://klasma.github.io/Logging_2305/klagomål/A 19336-2024 FSC-klagomål.docx", "A 19336-2024")</f>
        <v/>
      </c>
      <c r="W144">
        <f>HYPERLINK("https://klasma.github.io/Logging_2305/klagomålsmail/A 19336-2024 FSC-klagomål mail.docx", "A 19336-2024")</f>
        <v/>
      </c>
      <c r="X144">
        <f>HYPERLINK("https://klasma.github.io/Logging_2305/tillsyn/A 19336-2024 tillsynsbegäran.docx", "A 19336-2024")</f>
        <v/>
      </c>
      <c r="Y144">
        <f>HYPERLINK("https://klasma.github.io/Logging_2305/tillsynsmail/A 19336-2024 tillsynsbegäran mail.docx", "A 19336-2024")</f>
        <v/>
      </c>
      <c r="Z144">
        <f>HYPERLINK("https://klasma.github.io/Logging_2305/fåglar/A 19336-2024 prioriterade fågelarter.docx", "A 19336-2024")</f>
        <v/>
      </c>
    </row>
    <row r="145" ht="15" customHeight="1">
      <c r="A145" t="inlineStr">
        <is>
          <t>A 30112-2025</t>
        </is>
      </c>
      <c r="B145" s="1" t="n">
        <v>45826.71938657408</v>
      </c>
      <c r="C145" s="1" t="n">
        <v>45901</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37707-2025</t>
        </is>
      </c>
      <c r="B146" s="1" t="n">
        <v>45880.59423611111</v>
      </c>
      <c r="C146" s="1" t="n">
        <v>45901</v>
      </c>
      <c r="D146" t="inlineStr">
        <is>
          <t>JÄMTLANDS LÄN</t>
        </is>
      </c>
      <c r="E146" t="inlineStr">
        <is>
          <t>BRÄCKE</t>
        </is>
      </c>
      <c r="G146" t="n">
        <v>6.6</v>
      </c>
      <c r="H146" t="n">
        <v>0</v>
      </c>
      <c r="I146" t="n">
        <v>0</v>
      </c>
      <c r="J146" t="n">
        <v>3</v>
      </c>
      <c r="K146" t="n">
        <v>0</v>
      </c>
      <c r="L146" t="n">
        <v>0</v>
      </c>
      <c r="M146" t="n">
        <v>0</v>
      </c>
      <c r="N146" t="n">
        <v>0</v>
      </c>
      <c r="O146" t="n">
        <v>3</v>
      </c>
      <c r="P146" t="n">
        <v>0</v>
      </c>
      <c r="Q146" t="n">
        <v>3</v>
      </c>
      <c r="R146" s="2" t="inlineStr">
        <is>
          <t>Dvärgbägarlav
Mörk kolflarnlav
Vedflamlav</t>
        </is>
      </c>
      <c r="S146">
        <f>HYPERLINK("https://klasma.github.io/Logging_2305/artfynd/A 37707-2025 artfynd.xlsx", "A 37707-2025")</f>
        <v/>
      </c>
      <c r="T146">
        <f>HYPERLINK("https://klasma.github.io/Logging_2305/kartor/A 37707-2025 karta.png", "A 37707-2025")</f>
        <v/>
      </c>
      <c r="V146">
        <f>HYPERLINK("https://klasma.github.io/Logging_2305/klagomål/A 37707-2025 FSC-klagomål.docx", "A 37707-2025")</f>
        <v/>
      </c>
      <c r="W146">
        <f>HYPERLINK("https://klasma.github.io/Logging_2305/klagomålsmail/A 37707-2025 FSC-klagomål mail.docx", "A 37707-2025")</f>
        <v/>
      </c>
      <c r="X146">
        <f>HYPERLINK("https://klasma.github.io/Logging_2305/tillsyn/A 37707-2025 tillsynsbegäran.docx", "A 37707-2025")</f>
        <v/>
      </c>
      <c r="Y146">
        <f>HYPERLINK("https://klasma.github.io/Logging_2305/tillsynsmail/A 37707-2025 tillsynsbegäran mail.docx", "A 37707-2025")</f>
        <v/>
      </c>
    </row>
    <row r="147" ht="15" customHeight="1">
      <c r="A147" t="inlineStr">
        <is>
          <t>A 50516-2023</t>
        </is>
      </c>
      <c r="B147" s="1" t="n">
        <v>45216</v>
      </c>
      <c r="C147" s="1" t="n">
        <v>45901</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45901</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26009-2024</t>
        </is>
      </c>
      <c r="B149" s="1" t="n">
        <v>45467</v>
      </c>
      <c r="C149" s="1" t="n">
        <v>45901</v>
      </c>
      <c r="D149" t="inlineStr">
        <is>
          <t>JÄMTLANDS LÄN</t>
        </is>
      </c>
      <c r="E149" t="inlineStr">
        <is>
          <t>BRÄCKE</t>
        </is>
      </c>
      <c r="F149" t="inlineStr">
        <is>
          <t>SCA</t>
        </is>
      </c>
      <c r="G149" t="n">
        <v>8.5</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26009-2024 artfynd.xlsx", "A 26009-2024")</f>
        <v/>
      </c>
      <c r="T149">
        <f>HYPERLINK("https://klasma.github.io/Logging_2305/kartor/A 26009-2024 karta.png", "A 26009-2024")</f>
        <v/>
      </c>
      <c r="V149">
        <f>HYPERLINK("https://klasma.github.io/Logging_2305/klagomål/A 26009-2024 FSC-klagomål.docx", "A 26009-2024")</f>
        <v/>
      </c>
      <c r="W149">
        <f>HYPERLINK("https://klasma.github.io/Logging_2305/klagomålsmail/A 26009-2024 FSC-klagomål mail.docx", "A 26009-2024")</f>
        <v/>
      </c>
      <c r="X149">
        <f>HYPERLINK("https://klasma.github.io/Logging_2305/tillsyn/A 26009-2024 tillsynsbegäran.docx", "A 26009-2024")</f>
        <v/>
      </c>
      <c r="Y149">
        <f>HYPERLINK("https://klasma.github.io/Logging_2305/tillsynsmail/A 26009-2024 tillsynsbegäran mail.docx", "A 26009-2024")</f>
        <v/>
      </c>
      <c r="Z149">
        <f>HYPERLINK("https://klasma.github.io/Logging_2305/fåglar/A 26009-2024 prioriterade fågelarter.docx", "A 26009-2024")</f>
        <v/>
      </c>
    </row>
    <row r="150" ht="15" customHeight="1">
      <c r="A150" t="inlineStr">
        <is>
          <t>A 34529-2025</t>
        </is>
      </c>
      <c r="B150" s="1" t="n">
        <v>45847.48991898148</v>
      </c>
      <c r="C150" s="1" t="n">
        <v>45901</v>
      </c>
      <c r="D150" t="inlineStr">
        <is>
          <t>JÄMTLANDS LÄN</t>
        </is>
      </c>
      <c r="E150" t="inlineStr">
        <is>
          <t>BRÄCKE</t>
        </is>
      </c>
      <c r="F150" t="inlineStr">
        <is>
          <t>SCA</t>
        </is>
      </c>
      <c r="G150" t="n">
        <v>2.4</v>
      </c>
      <c r="H150" t="n">
        <v>0</v>
      </c>
      <c r="I150" t="n">
        <v>1</v>
      </c>
      <c r="J150" t="n">
        <v>2</v>
      </c>
      <c r="K150" t="n">
        <v>0</v>
      </c>
      <c r="L150" t="n">
        <v>0</v>
      </c>
      <c r="M150" t="n">
        <v>0</v>
      </c>
      <c r="N150" t="n">
        <v>0</v>
      </c>
      <c r="O150" t="n">
        <v>2</v>
      </c>
      <c r="P150" t="n">
        <v>0</v>
      </c>
      <c r="Q150" t="n">
        <v>3</v>
      </c>
      <c r="R150" s="2" t="inlineStr">
        <is>
          <t>Orange taggsvamp
Tallriska
Dropptaggsvamp</t>
        </is>
      </c>
      <c r="S150">
        <f>HYPERLINK("https://klasma.github.io/Logging_2305/artfynd/A 34529-2025 artfynd.xlsx", "A 34529-2025")</f>
        <v/>
      </c>
      <c r="T150">
        <f>HYPERLINK("https://klasma.github.io/Logging_2305/kartor/A 34529-2025 karta.png", "A 34529-2025")</f>
        <v/>
      </c>
      <c r="V150">
        <f>HYPERLINK("https://klasma.github.io/Logging_2305/klagomål/A 34529-2025 FSC-klagomål.docx", "A 34529-2025")</f>
        <v/>
      </c>
      <c r="W150">
        <f>HYPERLINK("https://klasma.github.io/Logging_2305/klagomålsmail/A 34529-2025 FSC-klagomål mail.docx", "A 34529-2025")</f>
        <v/>
      </c>
      <c r="X150">
        <f>HYPERLINK("https://klasma.github.io/Logging_2305/tillsyn/A 34529-2025 tillsynsbegäran.docx", "A 34529-2025")</f>
        <v/>
      </c>
      <c r="Y150">
        <f>HYPERLINK("https://klasma.github.io/Logging_2305/tillsynsmail/A 34529-2025 tillsynsbegäran mail.docx", "A 34529-2025")</f>
        <v/>
      </c>
    </row>
    <row r="151" ht="15" customHeight="1">
      <c r="A151" t="inlineStr">
        <is>
          <t>A 16959-2025</t>
        </is>
      </c>
      <c r="B151" s="1" t="n">
        <v>45755.44854166666</v>
      </c>
      <c r="C151" s="1" t="n">
        <v>45901</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60610-2024</t>
        </is>
      </c>
      <c r="B152" s="1" t="n">
        <v>45644.38570601852</v>
      </c>
      <c r="C152" s="1" t="n">
        <v>45901</v>
      </c>
      <c r="D152" t="inlineStr">
        <is>
          <t>JÄMTLANDS LÄN</t>
        </is>
      </c>
      <c r="E152" t="inlineStr">
        <is>
          <t>BRÄCKE</t>
        </is>
      </c>
      <c r="F152" t="inlineStr">
        <is>
          <t>SCA</t>
        </is>
      </c>
      <c r="G152" t="n">
        <v>1.1</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HYPERLINK("https://klasma.github.io/Logging_2305/artfynd/A 60610-2024 artfynd.xlsx", "A 60610-2024")</f>
        <v/>
      </c>
      <c r="T152">
        <f>HYPERLINK("https://klasma.github.io/Logging_2305/kartor/A 60610-2024 karta.png", "A 60610-2024")</f>
        <v/>
      </c>
      <c r="V152">
        <f>HYPERLINK("https://klasma.github.io/Logging_2305/klagomål/A 60610-2024 FSC-klagomål.docx", "A 60610-2024")</f>
        <v/>
      </c>
      <c r="W152">
        <f>HYPERLINK("https://klasma.github.io/Logging_2305/klagomålsmail/A 60610-2024 FSC-klagomål mail.docx", "A 60610-2024")</f>
        <v/>
      </c>
      <c r="X152">
        <f>HYPERLINK("https://klasma.github.io/Logging_2305/tillsyn/A 60610-2024 tillsynsbegäran.docx", "A 60610-2024")</f>
        <v/>
      </c>
      <c r="Y152">
        <f>HYPERLINK("https://klasma.github.io/Logging_2305/tillsynsmail/A 60610-2024 tillsynsbegäran mail.docx", "A 60610-2024")</f>
        <v/>
      </c>
    </row>
    <row r="153" ht="15" customHeight="1">
      <c r="A153" t="inlineStr">
        <is>
          <t>A 11002-2022</t>
        </is>
      </c>
      <c r="B153" s="1" t="n">
        <v>44628</v>
      </c>
      <c r="C153" s="1" t="n">
        <v>45901</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17912-2025</t>
        </is>
      </c>
      <c r="B154" s="1" t="n">
        <v>45758.75871527778</v>
      </c>
      <c r="C154" s="1" t="n">
        <v>45901</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57105-2024</t>
        </is>
      </c>
      <c r="B155" s="1" t="n">
        <v>45629.35895833333</v>
      </c>
      <c r="C155" s="1" t="n">
        <v>45901</v>
      </c>
      <c r="D155" t="inlineStr">
        <is>
          <t>JÄMTLANDS LÄN</t>
        </is>
      </c>
      <c r="E155" t="inlineStr">
        <is>
          <t>BRÄCKE</t>
        </is>
      </c>
      <c r="G155" t="n">
        <v>1.7</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57105-2024 artfynd.xlsx", "A 57105-2024")</f>
        <v/>
      </c>
      <c r="T155">
        <f>HYPERLINK("https://klasma.github.io/Logging_2305/kartor/A 57105-2024 karta.png", "A 57105-2024")</f>
        <v/>
      </c>
      <c r="V155">
        <f>HYPERLINK("https://klasma.github.io/Logging_2305/klagomål/A 57105-2024 FSC-klagomål.docx", "A 57105-2024")</f>
        <v/>
      </c>
      <c r="W155">
        <f>HYPERLINK("https://klasma.github.io/Logging_2305/klagomålsmail/A 57105-2024 FSC-klagomål mail.docx", "A 57105-2024")</f>
        <v/>
      </c>
      <c r="X155">
        <f>HYPERLINK("https://klasma.github.io/Logging_2305/tillsyn/A 57105-2024 tillsynsbegäran.docx", "A 57105-2024")</f>
        <v/>
      </c>
      <c r="Y155">
        <f>HYPERLINK("https://klasma.github.io/Logging_2305/tillsynsmail/A 57105-2024 tillsynsbegäran mail.docx", "A 57105-2024")</f>
        <v/>
      </c>
    </row>
    <row r="156" ht="15" customHeight="1">
      <c r="A156" t="inlineStr">
        <is>
          <t>A 103-2025</t>
        </is>
      </c>
      <c r="B156" s="1" t="n">
        <v>45659</v>
      </c>
      <c r="C156" s="1" t="n">
        <v>45901</v>
      </c>
      <c r="D156" t="inlineStr">
        <is>
          <t>JÄMTLANDS LÄN</t>
        </is>
      </c>
      <c r="E156" t="inlineStr">
        <is>
          <t>BRÄCKE</t>
        </is>
      </c>
      <c r="F156" t="inlineStr">
        <is>
          <t>SCA</t>
        </is>
      </c>
      <c r="G156" t="n">
        <v>10.2</v>
      </c>
      <c r="H156" t="n">
        <v>3</v>
      </c>
      <c r="I156" t="n">
        <v>0</v>
      </c>
      <c r="J156" t="n">
        <v>2</v>
      </c>
      <c r="K156" t="n">
        <v>0</v>
      </c>
      <c r="L156" t="n">
        <v>0</v>
      </c>
      <c r="M156" t="n">
        <v>0</v>
      </c>
      <c r="N156" t="n">
        <v>0</v>
      </c>
      <c r="O156" t="n">
        <v>2</v>
      </c>
      <c r="P156" t="n">
        <v>0</v>
      </c>
      <c r="Q156" t="n">
        <v>3</v>
      </c>
      <c r="R156" s="2" t="inlineStr">
        <is>
          <t>Talltita
Tretåig hackspett
Orre</t>
        </is>
      </c>
      <c r="S156">
        <f>HYPERLINK("https://klasma.github.io/Logging_2305/artfynd/A 103-2025 artfynd.xlsx", "A 103-2025")</f>
        <v/>
      </c>
      <c r="T156">
        <f>HYPERLINK("https://klasma.github.io/Logging_2305/kartor/A 103-2025 karta.png", "A 103-2025")</f>
        <v/>
      </c>
      <c r="V156">
        <f>HYPERLINK("https://klasma.github.io/Logging_2305/klagomål/A 103-2025 FSC-klagomål.docx", "A 103-2025")</f>
        <v/>
      </c>
      <c r="W156">
        <f>HYPERLINK("https://klasma.github.io/Logging_2305/klagomålsmail/A 103-2025 FSC-klagomål mail.docx", "A 103-2025")</f>
        <v/>
      </c>
      <c r="X156">
        <f>HYPERLINK("https://klasma.github.io/Logging_2305/tillsyn/A 103-2025 tillsynsbegäran.docx", "A 103-2025")</f>
        <v/>
      </c>
      <c r="Y156">
        <f>HYPERLINK("https://klasma.github.io/Logging_2305/tillsynsmail/A 103-2025 tillsynsbegäran mail.docx", "A 103-2025")</f>
        <v/>
      </c>
      <c r="Z156">
        <f>HYPERLINK("https://klasma.github.io/Logging_2305/fåglar/A 103-2025 prioriterade fågelarter.docx", "A 103-2025")</f>
        <v/>
      </c>
    </row>
    <row r="157" ht="15" customHeight="1">
      <c r="A157" t="inlineStr">
        <is>
          <t>A 30607-2022</t>
        </is>
      </c>
      <c r="B157" s="1" t="n">
        <v>44762</v>
      </c>
      <c r="C157" s="1" t="n">
        <v>45901</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45901</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45901</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45901</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45901</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45901</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36456-2021</t>
        </is>
      </c>
      <c r="B163" s="1" t="n">
        <v>44390</v>
      </c>
      <c r="C163" s="1" t="n">
        <v>45901</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45901</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45901</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19916-2025</t>
        </is>
      </c>
      <c r="B166" s="1" t="n">
        <v>45771.61515046296</v>
      </c>
      <c r="C166" s="1" t="n">
        <v>45901</v>
      </c>
      <c r="D166" t="inlineStr">
        <is>
          <t>JÄMTLANDS LÄN</t>
        </is>
      </c>
      <c r="E166" t="inlineStr">
        <is>
          <t>BRÄCKE</t>
        </is>
      </c>
      <c r="F166" t="inlineStr">
        <is>
          <t>SCA</t>
        </is>
      </c>
      <c r="G166" t="n">
        <v>7.5</v>
      </c>
      <c r="H166" t="n">
        <v>0</v>
      </c>
      <c r="I166" t="n">
        <v>0</v>
      </c>
      <c r="J166" t="n">
        <v>2</v>
      </c>
      <c r="K166" t="n">
        <v>0</v>
      </c>
      <c r="L166" t="n">
        <v>0</v>
      </c>
      <c r="M166" t="n">
        <v>0</v>
      </c>
      <c r="N166" t="n">
        <v>0</v>
      </c>
      <c r="O166" t="n">
        <v>2</v>
      </c>
      <c r="P166" t="n">
        <v>0</v>
      </c>
      <c r="Q166" t="n">
        <v>2</v>
      </c>
      <c r="R166" s="2" t="inlineStr">
        <is>
          <t>Lunglav
Skrovellav</t>
        </is>
      </c>
      <c r="S166">
        <f>HYPERLINK("https://klasma.github.io/Logging_2305/artfynd/A 19916-2025 artfynd.xlsx", "A 19916-2025")</f>
        <v/>
      </c>
      <c r="T166">
        <f>HYPERLINK("https://klasma.github.io/Logging_2305/kartor/A 19916-2025 karta.png", "A 19916-2025")</f>
        <v/>
      </c>
      <c r="U166">
        <f>HYPERLINK("https://klasma.github.io/Logging_2305/knärot/A 19916-2025 karta knärot.png", "A 19916-2025")</f>
        <v/>
      </c>
      <c r="V166">
        <f>HYPERLINK("https://klasma.github.io/Logging_2305/klagomål/A 19916-2025 FSC-klagomål.docx", "A 19916-2025")</f>
        <v/>
      </c>
      <c r="W166">
        <f>HYPERLINK("https://klasma.github.io/Logging_2305/klagomålsmail/A 19916-2025 FSC-klagomål mail.docx", "A 19916-2025")</f>
        <v/>
      </c>
      <c r="X166">
        <f>HYPERLINK("https://klasma.github.io/Logging_2305/tillsyn/A 19916-2025 tillsynsbegäran.docx", "A 19916-2025")</f>
        <v/>
      </c>
      <c r="Y166">
        <f>HYPERLINK("https://klasma.github.io/Logging_2305/tillsynsmail/A 19916-2025 tillsynsbegäran mail.docx", "A 19916-2025")</f>
        <v/>
      </c>
    </row>
    <row r="167" ht="15" customHeight="1">
      <c r="A167" t="inlineStr">
        <is>
          <t>A 47295-2023</t>
        </is>
      </c>
      <c r="B167" s="1" t="n">
        <v>45196</v>
      </c>
      <c r="C167" s="1" t="n">
        <v>45901</v>
      </c>
      <c r="D167" t="inlineStr">
        <is>
          <t>JÄMTLANDS LÄN</t>
        </is>
      </c>
      <c r="E167" t="inlineStr">
        <is>
          <t>BRÄCKE</t>
        </is>
      </c>
      <c r="F167" t="inlineStr">
        <is>
          <t>SCA</t>
        </is>
      </c>
      <c r="G167" t="n">
        <v>11.4</v>
      </c>
      <c r="H167" t="n">
        <v>1</v>
      </c>
      <c r="I167" t="n">
        <v>0</v>
      </c>
      <c r="J167" t="n">
        <v>1</v>
      </c>
      <c r="K167" t="n">
        <v>1</v>
      </c>
      <c r="L167" t="n">
        <v>0</v>
      </c>
      <c r="M167" t="n">
        <v>0</v>
      </c>
      <c r="N167" t="n">
        <v>0</v>
      </c>
      <c r="O167" t="n">
        <v>2</v>
      </c>
      <c r="P167" t="n">
        <v>1</v>
      </c>
      <c r="Q167" t="n">
        <v>2</v>
      </c>
      <c r="R167" s="2" t="inlineStr">
        <is>
          <t>Knärot
Lunglav</t>
        </is>
      </c>
      <c r="S167">
        <f>HYPERLINK("https://klasma.github.io/Logging_2305/artfynd/A 47295-2023 artfynd.xlsx", "A 47295-2023")</f>
        <v/>
      </c>
      <c r="T167">
        <f>HYPERLINK("https://klasma.github.io/Logging_2305/kartor/A 47295-2023 karta.png", "A 47295-2023")</f>
        <v/>
      </c>
      <c r="U167">
        <f>HYPERLINK("https://klasma.github.io/Logging_2305/knärot/A 47295-2023 karta knärot.png", "A 47295-2023")</f>
        <v/>
      </c>
      <c r="V167">
        <f>HYPERLINK("https://klasma.github.io/Logging_2305/klagomål/A 47295-2023 FSC-klagomål.docx", "A 47295-2023")</f>
        <v/>
      </c>
      <c r="W167">
        <f>HYPERLINK("https://klasma.github.io/Logging_2305/klagomålsmail/A 47295-2023 FSC-klagomål mail.docx", "A 47295-2023")</f>
        <v/>
      </c>
      <c r="X167">
        <f>HYPERLINK("https://klasma.github.io/Logging_2305/tillsyn/A 47295-2023 tillsynsbegäran.docx", "A 47295-2023")</f>
        <v/>
      </c>
      <c r="Y167">
        <f>HYPERLINK("https://klasma.github.io/Logging_2305/tillsynsmail/A 47295-2023 tillsynsbegäran mail.docx", "A 47295-2023")</f>
        <v/>
      </c>
    </row>
    <row r="168" ht="15" customHeight="1">
      <c r="A168" t="inlineStr">
        <is>
          <t>A 40818-2024</t>
        </is>
      </c>
      <c r="B168" s="1" t="n">
        <v>45558.55251157407</v>
      </c>
      <c r="C168" s="1" t="n">
        <v>45901</v>
      </c>
      <c r="D168" t="inlineStr">
        <is>
          <t>JÄMTLANDS LÄN</t>
        </is>
      </c>
      <c r="E168" t="inlineStr">
        <is>
          <t>BRÄCKE</t>
        </is>
      </c>
      <c r="G168" t="n">
        <v>2.7</v>
      </c>
      <c r="H168" t="n">
        <v>0</v>
      </c>
      <c r="I168" t="n">
        <v>0</v>
      </c>
      <c r="J168" t="n">
        <v>2</v>
      </c>
      <c r="K168" t="n">
        <v>0</v>
      </c>
      <c r="L168" t="n">
        <v>0</v>
      </c>
      <c r="M168" t="n">
        <v>0</v>
      </c>
      <c r="N168" t="n">
        <v>0</v>
      </c>
      <c r="O168" t="n">
        <v>2</v>
      </c>
      <c r="P168" t="n">
        <v>0</v>
      </c>
      <c r="Q168" t="n">
        <v>2</v>
      </c>
      <c r="R168" s="2" t="inlineStr">
        <is>
          <t>Skrovlig taggsvamp
Svart taggsvamp</t>
        </is>
      </c>
      <c r="S168">
        <f>HYPERLINK("https://klasma.github.io/Logging_2305/artfynd/A 40818-2024 artfynd.xlsx", "A 40818-2024")</f>
        <v/>
      </c>
      <c r="T168">
        <f>HYPERLINK("https://klasma.github.io/Logging_2305/kartor/A 40818-2024 karta.png", "A 40818-2024")</f>
        <v/>
      </c>
      <c r="V168">
        <f>HYPERLINK("https://klasma.github.io/Logging_2305/klagomål/A 40818-2024 FSC-klagomål.docx", "A 40818-2024")</f>
        <v/>
      </c>
      <c r="W168">
        <f>HYPERLINK("https://klasma.github.io/Logging_2305/klagomålsmail/A 40818-2024 FSC-klagomål mail.docx", "A 40818-2024")</f>
        <v/>
      </c>
      <c r="X168">
        <f>HYPERLINK("https://klasma.github.io/Logging_2305/tillsyn/A 40818-2024 tillsynsbegäran.docx", "A 40818-2024")</f>
        <v/>
      </c>
      <c r="Y168">
        <f>HYPERLINK("https://klasma.github.io/Logging_2305/tillsynsmail/A 40818-2024 tillsynsbegäran mail.docx", "A 40818-2024")</f>
        <v/>
      </c>
    </row>
    <row r="169" ht="15" customHeight="1">
      <c r="A169" t="inlineStr">
        <is>
          <t>A 55343-2023</t>
        </is>
      </c>
      <c r="B169" s="1" t="n">
        <v>45237</v>
      </c>
      <c r="C169" s="1" t="n">
        <v>45901</v>
      </c>
      <c r="D169" t="inlineStr">
        <is>
          <t>JÄMTLANDS LÄN</t>
        </is>
      </c>
      <c r="E169" t="inlineStr">
        <is>
          <t>BRÄCKE</t>
        </is>
      </c>
      <c r="F169" t="inlineStr">
        <is>
          <t>Kyrkan</t>
        </is>
      </c>
      <c r="G169" t="n">
        <v>12</v>
      </c>
      <c r="H169" t="n">
        <v>1</v>
      </c>
      <c r="I169" t="n">
        <v>0</v>
      </c>
      <c r="J169" t="n">
        <v>1</v>
      </c>
      <c r="K169" t="n">
        <v>1</v>
      </c>
      <c r="L169" t="n">
        <v>0</v>
      </c>
      <c r="M169" t="n">
        <v>0</v>
      </c>
      <c r="N169" t="n">
        <v>0</v>
      </c>
      <c r="O169" t="n">
        <v>2</v>
      </c>
      <c r="P169" t="n">
        <v>1</v>
      </c>
      <c r="Q169" t="n">
        <v>2</v>
      </c>
      <c r="R169" s="2" t="inlineStr">
        <is>
          <t>Doftticka
Lunglav</t>
        </is>
      </c>
      <c r="S169">
        <f>HYPERLINK("https://klasma.github.io/Logging_2305/artfynd/A 55343-2023 artfynd.xlsx", "A 55343-2023")</f>
        <v/>
      </c>
      <c r="T169">
        <f>HYPERLINK("https://klasma.github.io/Logging_2305/kartor/A 55343-2023 karta.png", "A 55343-2023")</f>
        <v/>
      </c>
      <c r="V169">
        <f>HYPERLINK("https://klasma.github.io/Logging_2305/klagomål/A 55343-2023 FSC-klagomål.docx", "A 55343-2023")</f>
        <v/>
      </c>
      <c r="W169">
        <f>HYPERLINK("https://klasma.github.io/Logging_2305/klagomålsmail/A 55343-2023 FSC-klagomål mail.docx", "A 55343-2023")</f>
        <v/>
      </c>
      <c r="X169">
        <f>HYPERLINK("https://klasma.github.io/Logging_2305/tillsyn/A 55343-2023 tillsynsbegäran.docx", "A 55343-2023")</f>
        <v/>
      </c>
      <c r="Y169">
        <f>HYPERLINK("https://klasma.github.io/Logging_2305/tillsynsmail/A 55343-2023 tillsynsbegäran mail.docx", "A 55343-2023")</f>
        <v/>
      </c>
    </row>
    <row r="170" ht="15" customHeight="1">
      <c r="A170" t="inlineStr">
        <is>
          <t>A 21408-2025</t>
        </is>
      </c>
      <c r="B170" s="1" t="n">
        <v>45782.4906712963</v>
      </c>
      <c r="C170" s="1" t="n">
        <v>45901</v>
      </c>
      <c r="D170" t="inlineStr">
        <is>
          <t>JÄMTLANDS LÄN</t>
        </is>
      </c>
      <c r="E170" t="inlineStr">
        <is>
          <t>BRÄCKE</t>
        </is>
      </c>
      <c r="F170" t="inlineStr">
        <is>
          <t>SCA</t>
        </is>
      </c>
      <c r="G170" t="n">
        <v>1.2</v>
      </c>
      <c r="H170" t="n">
        <v>1</v>
      </c>
      <c r="I170" t="n">
        <v>1</v>
      </c>
      <c r="J170" t="n">
        <v>0</v>
      </c>
      <c r="K170" t="n">
        <v>0</v>
      </c>
      <c r="L170" t="n">
        <v>0</v>
      </c>
      <c r="M170" t="n">
        <v>0</v>
      </c>
      <c r="N170" t="n">
        <v>0</v>
      </c>
      <c r="O170" t="n">
        <v>0</v>
      </c>
      <c r="P170" t="n">
        <v>0</v>
      </c>
      <c r="Q170" t="n">
        <v>2</v>
      </c>
      <c r="R170" s="2" t="inlineStr">
        <is>
          <t>Underviol
Blåsippa</t>
        </is>
      </c>
      <c r="S170">
        <f>HYPERLINK("https://klasma.github.io/Logging_2305/artfynd/A 21408-2025 artfynd.xlsx", "A 21408-2025")</f>
        <v/>
      </c>
      <c r="T170">
        <f>HYPERLINK("https://klasma.github.io/Logging_2305/kartor/A 21408-2025 karta.png", "A 21408-2025")</f>
        <v/>
      </c>
      <c r="V170">
        <f>HYPERLINK("https://klasma.github.io/Logging_2305/klagomål/A 21408-2025 FSC-klagomål.docx", "A 21408-2025")</f>
        <v/>
      </c>
      <c r="W170">
        <f>HYPERLINK("https://klasma.github.io/Logging_2305/klagomålsmail/A 21408-2025 FSC-klagomål mail.docx", "A 21408-2025")</f>
        <v/>
      </c>
      <c r="X170">
        <f>HYPERLINK("https://klasma.github.io/Logging_2305/tillsyn/A 21408-2025 tillsynsbegäran.docx", "A 21408-2025")</f>
        <v/>
      </c>
      <c r="Y170">
        <f>HYPERLINK("https://klasma.github.io/Logging_2305/tillsynsmail/A 21408-2025 tillsynsbegäran mail.docx", "A 21408-2025")</f>
        <v/>
      </c>
    </row>
    <row r="171" ht="15" customHeight="1">
      <c r="A171" t="inlineStr">
        <is>
          <t>A 15146-2024</t>
        </is>
      </c>
      <c r="B171" s="1" t="n">
        <v>45399.94361111111</v>
      </c>
      <c r="C171" s="1" t="n">
        <v>45901</v>
      </c>
      <c r="D171" t="inlineStr">
        <is>
          <t>JÄMTLANDS LÄN</t>
        </is>
      </c>
      <c r="E171" t="inlineStr">
        <is>
          <t>BRÄCKE</t>
        </is>
      </c>
      <c r="F171" t="inlineStr">
        <is>
          <t>Naturvårdsverket</t>
        </is>
      </c>
      <c r="G171" t="n">
        <v>2.2</v>
      </c>
      <c r="H171" t="n">
        <v>0</v>
      </c>
      <c r="I171" t="n">
        <v>0</v>
      </c>
      <c r="J171" t="n">
        <v>2</v>
      </c>
      <c r="K171" t="n">
        <v>0</v>
      </c>
      <c r="L171" t="n">
        <v>0</v>
      </c>
      <c r="M171" t="n">
        <v>0</v>
      </c>
      <c r="N171" t="n">
        <v>0</v>
      </c>
      <c r="O171" t="n">
        <v>2</v>
      </c>
      <c r="P171" t="n">
        <v>0</v>
      </c>
      <c r="Q171" t="n">
        <v>2</v>
      </c>
      <c r="R171" s="2" t="inlineStr">
        <is>
          <t>Garnlav
Ullticka</t>
        </is>
      </c>
      <c r="S171">
        <f>HYPERLINK("https://klasma.github.io/Logging_2305/artfynd/A 15146-2024 artfynd.xlsx", "A 15146-2024")</f>
        <v/>
      </c>
      <c r="T171">
        <f>HYPERLINK("https://klasma.github.io/Logging_2305/kartor/A 15146-2024 karta.png", "A 15146-2024")</f>
        <v/>
      </c>
      <c r="V171">
        <f>HYPERLINK("https://klasma.github.io/Logging_2305/klagomål/A 15146-2024 FSC-klagomål.docx", "A 15146-2024")</f>
        <v/>
      </c>
      <c r="W171">
        <f>HYPERLINK("https://klasma.github.io/Logging_2305/klagomålsmail/A 15146-2024 FSC-klagomål mail.docx", "A 15146-2024")</f>
        <v/>
      </c>
      <c r="X171">
        <f>HYPERLINK("https://klasma.github.io/Logging_2305/tillsyn/A 15146-2024 tillsynsbegäran.docx", "A 15146-2024")</f>
        <v/>
      </c>
      <c r="Y171">
        <f>HYPERLINK("https://klasma.github.io/Logging_2305/tillsynsmail/A 15146-2024 tillsynsbegäran mail.docx", "A 15146-2024")</f>
        <v/>
      </c>
    </row>
    <row r="172" ht="15" customHeight="1">
      <c r="A172" t="inlineStr">
        <is>
          <t>A 43141-2022</t>
        </is>
      </c>
      <c r="B172" s="1" t="n">
        <v>44833</v>
      </c>
      <c r="C172" s="1" t="n">
        <v>45901</v>
      </c>
      <c r="D172" t="inlineStr">
        <is>
          <t>JÄMTLANDS LÄN</t>
        </is>
      </c>
      <c r="E172" t="inlineStr">
        <is>
          <t>BRÄCKE</t>
        </is>
      </c>
      <c r="F172" t="inlineStr">
        <is>
          <t>SCA</t>
        </is>
      </c>
      <c r="G172" t="n">
        <v>2</v>
      </c>
      <c r="H172" t="n">
        <v>1</v>
      </c>
      <c r="I172" t="n">
        <v>0</v>
      </c>
      <c r="J172" t="n">
        <v>0</v>
      </c>
      <c r="K172" t="n">
        <v>2</v>
      </c>
      <c r="L172" t="n">
        <v>0</v>
      </c>
      <c r="M172" t="n">
        <v>0</v>
      </c>
      <c r="N172" t="n">
        <v>0</v>
      </c>
      <c r="O172" t="n">
        <v>2</v>
      </c>
      <c r="P172" t="n">
        <v>2</v>
      </c>
      <c r="Q172" t="n">
        <v>2</v>
      </c>
      <c r="R172" s="2" t="inlineStr">
        <is>
          <t>Frösöstarr
Knärot</t>
        </is>
      </c>
      <c r="S172">
        <f>HYPERLINK("https://klasma.github.io/Logging_2305/artfynd/A 43141-2022 artfynd.xlsx", "A 43141-2022")</f>
        <v/>
      </c>
      <c r="T172">
        <f>HYPERLINK("https://klasma.github.io/Logging_2305/kartor/A 43141-2022 karta.png", "A 43141-2022")</f>
        <v/>
      </c>
      <c r="U172">
        <f>HYPERLINK("https://klasma.github.io/Logging_2305/knärot/A 43141-2022 karta knärot.png", "A 43141-2022")</f>
        <v/>
      </c>
      <c r="V172">
        <f>HYPERLINK("https://klasma.github.io/Logging_2305/klagomål/A 43141-2022 FSC-klagomål.docx", "A 43141-2022")</f>
        <v/>
      </c>
      <c r="W172">
        <f>HYPERLINK("https://klasma.github.io/Logging_2305/klagomålsmail/A 43141-2022 FSC-klagomål mail.docx", "A 43141-2022")</f>
        <v/>
      </c>
      <c r="X172">
        <f>HYPERLINK("https://klasma.github.io/Logging_2305/tillsyn/A 43141-2022 tillsynsbegäran.docx", "A 43141-2022")</f>
        <v/>
      </c>
      <c r="Y172">
        <f>HYPERLINK("https://klasma.github.io/Logging_2305/tillsynsmail/A 43141-2022 tillsynsbegäran mail.docx", "A 43141-2022")</f>
        <v/>
      </c>
    </row>
    <row r="173" ht="15" customHeight="1">
      <c r="A173" t="inlineStr">
        <is>
          <t>A 5858-2025</t>
        </is>
      </c>
      <c r="B173" s="1" t="n">
        <v>45695.34447916667</v>
      </c>
      <c r="C173" s="1" t="n">
        <v>45901</v>
      </c>
      <c r="D173" t="inlineStr">
        <is>
          <t>JÄMTLANDS LÄN</t>
        </is>
      </c>
      <c r="E173" t="inlineStr">
        <is>
          <t>BRÄCKE</t>
        </is>
      </c>
      <c r="G173" t="n">
        <v>2.7</v>
      </c>
      <c r="H173" t="n">
        <v>1</v>
      </c>
      <c r="I173" t="n">
        <v>0</v>
      </c>
      <c r="J173" t="n">
        <v>0</v>
      </c>
      <c r="K173" t="n">
        <v>0</v>
      </c>
      <c r="L173" t="n">
        <v>2</v>
      </c>
      <c r="M173" t="n">
        <v>0</v>
      </c>
      <c r="N173" t="n">
        <v>0</v>
      </c>
      <c r="O173" t="n">
        <v>2</v>
      </c>
      <c r="P173" t="n">
        <v>2</v>
      </c>
      <c r="Q173" t="n">
        <v>2</v>
      </c>
      <c r="R173" s="2" t="inlineStr">
        <is>
          <t>Bredgentiana
Fältgentiana</t>
        </is>
      </c>
      <c r="S173">
        <f>HYPERLINK("https://klasma.github.io/Logging_2305/artfynd/A 5858-2025 artfynd.xlsx", "A 5858-2025")</f>
        <v/>
      </c>
      <c r="T173">
        <f>HYPERLINK("https://klasma.github.io/Logging_2305/kartor/A 5858-2025 karta.png", "A 5858-2025")</f>
        <v/>
      </c>
      <c r="V173">
        <f>HYPERLINK("https://klasma.github.io/Logging_2305/klagomål/A 5858-2025 FSC-klagomål.docx", "A 5858-2025")</f>
        <v/>
      </c>
      <c r="W173">
        <f>HYPERLINK("https://klasma.github.io/Logging_2305/klagomålsmail/A 5858-2025 FSC-klagomål mail.docx", "A 5858-2025")</f>
        <v/>
      </c>
      <c r="X173">
        <f>HYPERLINK("https://klasma.github.io/Logging_2305/tillsyn/A 5858-2025 tillsynsbegäran.docx", "A 5858-2025")</f>
        <v/>
      </c>
      <c r="Y173">
        <f>HYPERLINK("https://klasma.github.io/Logging_2305/tillsynsmail/A 5858-2025 tillsynsbegäran mail.docx", "A 5858-2025")</f>
        <v/>
      </c>
    </row>
    <row r="174" ht="15" customHeight="1">
      <c r="A174" t="inlineStr">
        <is>
          <t>A 22706-2025</t>
        </is>
      </c>
      <c r="B174" s="1" t="n">
        <v>45789.55290509259</v>
      </c>
      <c r="C174" s="1" t="n">
        <v>45901</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Kolflarnlav
Stiftgelélav</t>
        </is>
      </c>
      <c r="S174">
        <f>HYPERLINK("https://klasma.github.io/Logging_2305/artfynd/A 22706-2025 artfynd.xlsx", "A 22706-2025")</f>
        <v/>
      </c>
      <c r="T174">
        <f>HYPERLINK("https://klasma.github.io/Logging_2305/kartor/A 22706-2025 karta.png", "A 22706-2025")</f>
        <v/>
      </c>
      <c r="V174">
        <f>HYPERLINK("https://klasma.github.io/Logging_2305/klagomål/A 22706-2025 FSC-klagomål.docx", "A 22706-2025")</f>
        <v/>
      </c>
      <c r="W174">
        <f>HYPERLINK("https://klasma.github.io/Logging_2305/klagomålsmail/A 22706-2025 FSC-klagomål mail.docx", "A 22706-2025")</f>
        <v/>
      </c>
      <c r="X174">
        <f>HYPERLINK("https://klasma.github.io/Logging_2305/tillsyn/A 22706-2025 tillsynsbegäran.docx", "A 22706-2025")</f>
        <v/>
      </c>
      <c r="Y174">
        <f>HYPERLINK("https://klasma.github.io/Logging_2305/tillsynsmail/A 22706-2025 tillsynsbegäran mail.docx", "A 22706-2025")</f>
        <v/>
      </c>
    </row>
    <row r="175" ht="15" customHeight="1">
      <c r="A175" t="inlineStr">
        <is>
          <t>A 48772-2024</t>
        </is>
      </c>
      <c r="B175" s="1" t="n">
        <v>45593.61495370371</v>
      </c>
      <c r="C175" s="1" t="n">
        <v>45901</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22382-2024</t>
        </is>
      </c>
      <c r="B176" s="1" t="n">
        <v>45446</v>
      </c>
      <c r="C176" s="1" t="n">
        <v>45901</v>
      </c>
      <c r="D176" t="inlineStr">
        <is>
          <t>JÄMTLANDS LÄN</t>
        </is>
      </c>
      <c r="E176" t="inlineStr">
        <is>
          <t>BRÄCKE</t>
        </is>
      </c>
      <c r="G176" t="n">
        <v>5.2</v>
      </c>
      <c r="H176" t="n">
        <v>1</v>
      </c>
      <c r="I176" t="n">
        <v>0</v>
      </c>
      <c r="J176" t="n">
        <v>1</v>
      </c>
      <c r="K176" t="n">
        <v>1</v>
      </c>
      <c r="L176" t="n">
        <v>0</v>
      </c>
      <c r="M176" t="n">
        <v>0</v>
      </c>
      <c r="N176" t="n">
        <v>0</v>
      </c>
      <c r="O176" t="n">
        <v>2</v>
      </c>
      <c r="P176" t="n">
        <v>1</v>
      </c>
      <c r="Q176" t="n">
        <v>2</v>
      </c>
      <c r="R176" s="2" t="inlineStr">
        <is>
          <t>Knärot
Garnlav</t>
        </is>
      </c>
      <c r="S176">
        <f>HYPERLINK("https://klasma.github.io/Logging_2305/artfynd/A 22382-2024 artfynd.xlsx", "A 22382-2024")</f>
        <v/>
      </c>
      <c r="T176">
        <f>HYPERLINK("https://klasma.github.io/Logging_2305/kartor/A 22382-2024 karta.png", "A 22382-2024")</f>
        <v/>
      </c>
      <c r="U176">
        <f>HYPERLINK("https://klasma.github.io/Logging_2305/knärot/A 22382-2024 karta knärot.png", "A 22382-2024")</f>
        <v/>
      </c>
      <c r="V176">
        <f>HYPERLINK("https://klasma.github.io/Logging_2305/klagomål/A 22382-2024 FSC-klagomål.docx", "A 22382-2024")</f>
        <v/>
      </c>
      <c r="W176">
        <f>HYPERLINK("https://klasma.github.io/Logging_2305/klagomålsmail/A 22382-2024 FSC-klagomål mail.docx", "A 22382-2024")</f>
        <v/>
      </c>
      <c r="X176">
        <f>HYPERLINK("https://klasma.github.io/Logging_2305/tillsyn/A 22382-2024 tillsynsbegäran.docx", "A 22382-2024")</f>
        <v/>
      </c>
      <c r="Y176">
        <f>HYPERLINK("https://klasma.github.io/Logging_2305/tillsynsmail/A 22382-2024 tillsynsbegäran mail.docx", "A 22382-2024")</f>
        <v/>
      </c>
    </row>
    <row r="177" ht="15" customHeight="1">
      <c r="A177" t="inlineStr">
        <is>
          <t>A 30988-2024</t>
        </is>
      </c>
      <c r="B177" s="1" t="n">
        <v>45499.54738425926</v>
      </c>
      <c r="C177" s="1" t="n">
        <v>45901</v>
      </c>
      <c r="D177" t="inlineStr">
        <is>
          <t>JÄMTLANDS LÄN</t>
        </is>
      </c>
      <c r="E177" t="inlineStr">
        <is>
          <t>BRÄCKE</t>
        </is>
      </c>
      <c r="F177" t="inlineStr">
        <is>
          <t>Sveaskog</t>
        </is>
      </c>
      <c r="G177" t="n">
        <v>4.8</v>
      </c>
      <c r="H177" t="n">
        <v>1</v>
      </c>
      <c r="I177" t="n">
        <v>1</v>
      </c>
      <c r="J177" t="n">
        <v>1</v>
      </c>
      <c r="K177" t="n">
        <v>0</v>
      </c>
      <c r="L177" t="n">
        <v>0</v>
      </c>
      <c r="M177" t="n">
        <v>0</v>
      </c>
      <c r="N177" t="n">
        <v>0</v>
      </c>
      <c r="O177" t="n">
        <v>1</v>
      </c>
      <c r="P177" t="n">
        <v>0</v>
      </c>
      <c r="Q177" t="n">
        <v>2</v>
      </c>
      <c r="R177" s="2" t="inlineStr">
        <is>
          <t>Lunglav
Tvåblad</t>
        </is>
      </c>
      <c r="S177">
        <f>HYPERLINK("https://klasma.github.io/Logging_2305/artfynd/A 30988-2024 artfynd.xlsx", "A 30988-2024")</f>
        <v/>
      </c>
      <c r="T177">
        <f>HYPERLINK("https://klasma.github.io/Logging_2305/kartor/A 30988-2024 karta.png", "A 30988-2024")</f>
        <v/>
      </c>
      <c r="V177">
        <f>HYPERLINK("https://klasma.github.io/Logging_2305/klagomål/A 30988-2024 FSC-klagomål.docx", "A 30988-2024")</f>
        <v/>
      </c>
      <c r="W177">
        <f>HYPERLINK("https://klasma.github.io/Logging_2305/klagomålsmail/A 30988-2024 FSC-klagomål mail.docx", "A 30988-2024")</f>
        <v/>
      </c>
      <c r="X177">
        <f>HYPERLINK("https://klasma.github.io/Logging_2305/tillsyn/A 30988-2024 tillsynsbegäran.docx", "A 30988-2024")</f>
        <v/>
      </c>
      <c r="Y177">
        <f>HYPERLINK("https://klasma.github.io/Logging_2305/tillsynsmail/A 30988-2024 tillsynsbegäran mail.docx", "A 30988-2024")</f>
        <v/>
      </c>
    </row>
    <row r="178" ht="15" customHeight="1">
      <c r="A178" t="inlineStr">
        <is>
          <t>A 30990-2024</t>
        </is>
      </c>
      <c r="B178" s="1" t="n">
        <v>45499.54975694444</v>
      </c>
      <c r="C178" s="1" t="n">
        <v>45901</v>
      </c>
      <c r="D178" t="inlineStr">
        <is>
          <t>JÄMTLANDS LÄN</t>
        </is>
      </c>
      <c r="E178" t="inlineStr">
        <is>
          <t>BRÄCKE</t>
        </is>
      </c>
      <c r="F178" t="inlineStr">
        <is>
          <t>Sveaskog</t>
        </is>
      </c>
      <c r="G178" t="n">
        <v>4.9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30990-2024 artfynd.xlsx", "A 30990-2024")</f>
        <v/>
      </c>
      <c r="T178">
        <f>HYPERLINK("https://klasma.github.io/Logging_2305/kartor/A 30990-2024 karta.png", "A 30990-2024")</f>
        <v/>
      </c>
      <c r="U178">
        <f>HYPERLINK("https://klasma.github.io/Logging_2305/knärot/A 30990-2024 karta knärot.png", "A 30990-2024")</f>
        <v/>
      </c>
      <c r="V178">
        <f>HYPERLINK("https://klasma.github.io/Logging_2305/klagomål/A 30990-2024 FSC-klagomål.docx", "A 30990-2024")</f>
        <v/>
      </c>
      <c r="W178">
        <f>HYPERLINK("https://klasma.github.io/Logging_2305/klagomålsmail/A 30990-2024 FSC-klagomål mail.docx", "A 30990-2024")</f>
        <v/>
      </c>
      <c r="X178">
        <f>HYPERLINK("https://klasma.github.io/Logging_2305/tillsyn/A 30990-2024 tillsynsbegäran.docx", "A 30990-2024")</f>
        <v/>
      </c>
      <c r="Y178">
        <f>HYPERLINK("https://klasma.github.io/Logging_2305/tillsynsmail/A 30990-2024 tillsynsbegäran mail.docx", "A 30990-2024")</f>
        <v/>
      </c>
    </row>
    <row r="179" ht="15" customHeight="1">
      <c r="A179" t="inlineStr">
        <is>
          <t>A 24747-2025</t>
        </is>
      </c>
      <c r="B179" s="1" t="n">
        <v>45799.34675925926</v>
      </c>
      <c r="C179" s="1" t="n">
        <v>45901</v>
      </c>
      <c r="D179" t="inlineStr">
        <is>
          <t>JÄMTLANDS LÄN</t>
        </is>
      </c>
      <c r="E179" t="inlineStr">
        <is>
          <t>BRÄCKE</t>
        </is>
      </c>
      <c r="F179" t="inlineStr">
        <is>
          <t>SCA</t>
        </is>
      </c>
      <c r="G179" t="n">
        <v>6.9</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24747-2025 artfynd.xlsx", "A 24747-2025")</f>
        <v/>
      </c>
      <c r="T179">
        <f>HYPERLINK("https://klasma.github.io/Logging_2305/kartor/A 24747-2025 karta.png", "A 24747-2025")</f>
        <v/>
      </c>
      <c r="V179">
        <f>HYPERLINK("https://klasma.github.io/Logging_2305/klagomål/A 24747-2025 FSC-klagomål.docx", "A 24747-2025")</f>
        <v/>
      </c>
      <c r="W179">
        <f>HYPERLINK("https://klasma.github.io/Logging_2305/klagomålsmail/A 24747-2025 FSC-klagomål mail.docx", "A 24747-2025")</f>
        <v/>
      </c>
      <c r="X179">
        <f>HYPERLINK("https://klasma.github.io/Logging_2305/tillsyn/A 24747-2025 tillsynsbegäran.docx", "A 24747-2025")</f>
        <v/>
      </c>
      <c r="Y179">
        <f>HYPERLINK("https://klasma.github.io/Logging_2305/tillsynsmail/A 24747-2025 tillsynsbegäran mail.docx", "A 24747-2025")</f>
        <v/>
      </c>
    </row>
    <row r="180" ht="15" customHeight="1">
      <c r="A180" t="inlineStr">
        <is>
          <t>A 10856-2025</t>
        </is>
      </c>
      <c r="B180" s="1" t="n">
        <v>45722.59428240741</v>
      </c>
      <c r="C180" s="1" t="n">
        <v>45901</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26178-2025</t>
        </is>
      </c>
      <c r="B181" s="1" t="n">
        <v>45805.46917824074</v>
      </c>
      <c r="C181" s="1" t="n">
        <v>45901</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26090-2025</t>
        </is>
      </c>
      <c r="B182" s="1" t="n">
        <v>45805.34521990741</v>
      </c>
      <c r="C182" s="1" t="n">
        <v>45901</v>
      </c>
      <c r="D182" t="inlineStr">
        <is>
          <t>JÄMTLANDS LÄN</t>
        </is>
      </c>
      <c r="E182" t="inlineStr">
        <is>
          <t>BRÄCKE</t>
        </is>
      </c>
      <c r="F182" t="inlineStr">
        <is>
          <t>SCA</t>
        </is>
      </c>
      <c r="G182" t="n">
        <v>6.6</v>
      </c>
      <c r="H182" t="n">
        <v>1</v>
      </c>
      <c r="I182" t="n">
        <v>0</v>
      </c>
      <c r="J182" t="n">
        <v>2</v>
      </c>
      <c r="K182" t="n">
        <v>0</v>
      </c>
      <c r="L182" t="n">
        <v>0</v>
      </c>
      <c r="M182" t="n">
        <v>0</v>
      </c>
      <c r="N182" t="n">
        <v>0</v>
      </c>
      <c r="O182" t="n">
        <v>2</v>
      </c>
      <c r="P182" t="n">
        <v>0</v>
      </c>
      <c r="Q182" t="n">
        <v>2</v>
      </c>
      <c r="R182" s="2" t="inlineStr">
        <is>
          <t>Lunglav
Talltita</t>
        </is>
      </c>
      <c r="S182">
        <f>HYPERLINK("https://klasma.github.io/Logging_2305/artfynd/A 26090-2025 artfynd.xlsx", "A 26090-2025")</f>
        <v/>
      </c>
      <c r="T182">
        <f>HYPERLINK("https://klasma.github.io/Logging_2305/kartor/A 26090-2025 karta.png", "A 26090-2025")</f>
        <v/>
      </c>
      <c r="V182">
        <f>HYPERLINK("https://klasma.github.io/Logging_2305/klagomål/A 26090-2025 FSC-klagomål.docx", "A 26090-2025")</f>
        <v/>
      </c>
      <c r="W182">
        <f>HYPERLINK("https://klasma.github.io/Logging_2305/klagomålsmail/A 26090-2025 FSC-klagomål mail.docx", "A 26090-2025")</f>
        <v/>
      </c>
      <c r="X182">
        <f>HYPERLINK("https://klasma.github.io/Logging_2305/tillsyn/A 26090-2025 tillsynsbegäran.docx", "A 26090-2025")</f>
        <v/>
      </c>
      <c r="Y182">
        <f>HYPERLINK("https://klasma.github.io/Logging_2305/tillsynsmail/A 26090-2025 tillsynsbegäran mail.docx", "A 26090-2025")</f>
        <v/>
      </c>
      <c r="Z182">
        <f>HYPERLINK("https://klasma.github.io/Logging_2305/fåglar/A 26090-2025 prioriterade fågelarter.docx", "A 26090-2025")</f>
        <v/>
      </c>
    </row>
    <row r="183" ht="15" customHeight="1">
      <c r="A183" t="inlineStr">
        <is>
          <t>A 40401-2023</t>
        </is>
      </c>
      <c r="B183" s="1" t="n">
        <v>45169</v>
      </c>
      <c r="C183" s="1" t="n">
        <v>45901</v>
      </c>
      <c r="D183" t="inlineStr">
        <is>
          <t>JÄMTLANDS LÄN</t>
        </is>
      </c>
      <c r="E183" t="inlineStr">
        <is>
          <t>BRÄCKE</t>
        </is>
      </c>
      <c r="F183" t="inlineStr">
        <is>
          <t>SCA</t>
        </is>
      </c>
      <c r="G183" t="n">
        <v>2</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40401-2023 artfynd.xlsx", "A 40401-2023")</f>
        <v/>
      </c>
      <c r="T183">
        <f>HYPERLINK("https://klasma.github.io/Logging_2305/kartor/A 40401-2023 karta.png", "A 40401-2023")</f>
        <v/>
      </c>
      <c r="V183">
        <f>HYPERLINK("https://klasma.github.io/Logging_2305/klagomål/A 40401-2023 FSC-klagomål.docx", "A 40401-2023")</f>
        <v/>
      </c>
      <c r="W183">
        <f>HYPERLINK("https://klasma.github.io/Logging_2305/klagomålsmail/A 40401-2023 FSC-klagomål mail.docx", "A 40401-2023")</f>
        <v/>
      </c>
      <c r="X183">
        <f>HYPERLINK("https://klasma.github.io/Logging_2305/tillsyn/A 40401-2023 tillsynsbegäran.docx", "A 40401-2023")</f>
        <v/>
      </c>
      <c r="Y183">
        <f>HYPERLINK("https://klasma.github.io/Logging_2305/tillsynsmail/A 40401-2023 tillsynsbegäran mail.docx", "A 40401-2023")</f>
        <v/>
      </c>
    </row>
    <row r="184" ht="15" customHeight="1">
      <c r="A184" t="inlineStr">
        <is>
          <t>A 6903-2024</t>
        </is>
      </c>
      <c r="B184" s="1" t="n">
        <v>45342</v>
      </c>
      <c r="C184" s="1" t="n">
        <v>45901</v>
      </c>
      <c r="D184" t="inlineStr">
        <is>
          <t>JÄMTLANDS LÄN</t>
        </is>
      </c>
      <c r="E184" t="inlineStr">
        <is>
          <t>BRÄCKE</t>
        </is>
      </c>
      <c r="F184" t="inlineStr">
        <is>
          <t>SCA</t>
        </is>
      </c>
      <c r="G184" t="n">
        <v>5.9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6903-2024 artfynd.xlsx", "A 6903-2024")</f>
        <v/>
      </c>
      <c r="T184">
        <f>HYPERLINK("https://klasma.github.io/Logging_2305/kartor/A 6903-2024 karta.png", "A 6903-2024")</f>
        <v/>
      </c>
      <c r="U184">
        <f>HYPERLINK("https://klasma.github.io/Logging_2305/knärot/A 6903-2024 karta knärot.png", "A 6903-2024")</f>
        <v/>
      </c>
      <c r="V184">
        <f>HYPERLINK("https://klasma.github.io/Logging_2305/klagomål/A 6903-2024 FSC-klagomål.docx", "A 6903-2024")</f>
        <v/>
      </c>
      <c r="W184">
        <f>HYPERLINK("https://klasma.github.io/Logging_2305/klagomålsmail/A 6903-2024 FSC-klagomål mail.docx", "A 6903-2024")</f>
        <v/>
      </c>
      <c r="X184">
        <f>HYPERLINK("https://klasma.github.io/Logging_2305/tillsyn/A 6903-2024 tillsynsbegäran.docx", "A 6903-2024")</f>
        <v/>
      </c>
      <c r="Y184">
        <f>HYPERLINK("https://klasma.github.io/Logging_2305/tillsynsmail/A 6903-2024 tillsynsbegäran mail.docx", "A 6903-2024")</f>
        <v/>
      </c>
    </row>
    <row r="185" ht="15" customHeight="1">
      <c r="A185" t="inlineStr">
        <is>
          <t>A 6906-2024</t>
        </is>
      </c>
      <c r="B185" s="1" t="n">
        <v>45342</v>
      </c>
      <c r="C185" s="1" t="n">
        <v>45901</v>
      </c>
      <c r="D185" t="inlineStr">
        <is>
          <t>JÄMTLANDS LÄN</t>
        </is>
      </c>
      <c r="E185" t="inlineStr">
        <is>
          <t>BRÄCKE</t>
        </is>
      </c>
      <c r="F185" t="inlineStr">
        <is>
          <t>SCA</t>
        </is>
      </c>
      <c r="G185" t="n">
        <v>4.1</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6906-2024 artfynd.xlsx", "A 6906-2024")</f>
        <v/>
      </c>
      <c r="T185">
        <f>HYPERLINK("https://klasma.github.io/Logging_2305/kartor/A 6906-2024 karta.png", "A 6906-2024")</f>
        <v/>
      </c>
      <c r="U185">
        <f>HYPERLINK("https://klasma.github.io/Logging_2305/knärot/A 6906-2024 karta knärot.png", "A 6906-2024")</f>
        <v/>
      </c>
      <c r="V185">
        <f>HYPERLINK("https://klasma.github.io/Logging_2305/klagomål/A 6906-2024 FSC-klagomål.docx", "A 6906-2024")</f>
        <v/>
      </c>
      <c r="W185">
        <f>HYPERLINK("https://klasma.github.io/Logging_2305/klagomålsmail/A 6906-2024 FSC-klagomål mail.docx", "A 6906-2024")</f>
        <v/>
      </c>
      <c r="X185">
        <f>HYPERLINK("https://klasma.github.io/Logging_2305/tillsyn/A 6906-2024 tillsynsbegäran.docx", "A 6906-2024")</f>
        <v/>
      </c>
      <c r="Y185">
        <f>HYPERLINK("https://klasma.github.io/Logging_2305/tillsynsmail/A 6906-2024 tillsynsbegäran mail.docx", "A 6906-2024")</f>
        <v/>
      </c>
    </row>
    <row r="186" ht="15" customHeight="1">
      <c r="A186" t="inlineStr">
        <is>
          <t>A 27062-2025</t>
        </is>
      </c>
      <c r="B186" s="1" t="n">
        <v>45811.63614583333</v>
      </c>
      <c r="C186" s="1" t="n">
        <v>45901</v>
      </c>
      <c r="D186" t="inlineStr">
        <is>
          <t>JÄMTLANDS LÄN</t>
        </is>
      </c>
      <c r="E186" t="inlineStr">
        <is>
          <t>BRÄCKE</t>
        </is>
      </c>
      <c r="F186" t="inlineStr">
        <is>
          <t>SCA</t>
        </is>
      </c>
      <c r="G186" t="n">
        <v>19.8</v>
      </c>
      <c r="H186" t="n">
        <v>0</v>
      </c>
      <c r="I186" t="n">
        <v>2</v>
      </c>
      <c r="J186" t="n">
        <v>0</v>
      </c>
      <c r="K186" t="n">
        <v>0</v>
      </c>
      <c r="L186" t="n">
        <v>0</v>
      </c>
      <c r="M186" t="n">
        <v>0</v>
      </c>
      <c r="N186" t="n">
        <v>0</v>
      </c>
      <c r="O186" t="n">
        <v>0</v>
      </c>
      <c r="P186" t="n">
        <v>0</v>
      </c>
      <c r="Q186" t="n">
        <v>2</v>
      </c>
      <c r="R186" s="2" t="inlineStr">
        <is>
          <t>Dropptaggsvamp
Skinnlav</t>
        </is>
      </c>
      <c r="S186">
        <f>HYPERLINK("https://klasma.github.io/Logging_2305/artfynd/A 27062-2025 artfynd.xlsx", "A 27062-2025")</f>
        <v/>
      </c>
      <c r="T186">
        <f>HYPERLINK("https://klasma.github.io/Logging_2305/kartor/A 27062-2025 karta.png", "A 27062-2025")</f>
        <v/>
      </c>
      <c r="V186">
        <f>HYPERLINK("https://klasma.github.io/Logging_2305/klagomål/A 27062-2025 FSC-klagomål.docx", "A 27062-2025")</f>
        <v/>
      </c>
      <c r="W186">
        <f>HYPERLINK("https://klasma.github.io/Logging_2305/klagomålsmail/A 27062-2025 FSC-klagomål mail.docx", "A 27062-2025")</f>
        <v/>
      </c>
      <c r="X186">
        <f>HYPERLINK("https://klasma.github.io/Logging_2305/tillsyn/A 27062-2025 tillsynsbegäran.docx", "A 27062-2025")</f>
        <v/>
      </c>
      <c r="Y186">
        <f>HYPERLINK("https://klasma.github.io/Logging_2305/tillsynsmail/A 27062-2025 tillsynsbegäran mail.docx", "A 27062-2025")</f>
        <v/>
      </c>
    </row>
    <row r="187" ht="15" customHeight="1">
      <c r="A187" t="inlineStr">
        <is>
          <t>A 27059-2025</t>
        </is>
      </c>
      <c r="B187" s="1" t="n">
        <v>45811.63586805556</v>
      </c>
      <c r="C187" s="1" t="n">
        <v>45901</v>
      </c>
      <c r="D187" t="inlineStr">
        <is>
          <t>JÄMTLANDS LÄN</t>
        </is>
      </c>
      <c r="E187" t="inlineStr">
        <is>
          <t>BRÄCKE</t>
        </is>
      </c>
      <c r="F187" t="inlineStr">
        <is>
          <t>SCA</t>
        </is>
      </c>
      <c r="G187" t="n">
        <v>7.2</v>
      </c>
      <c r="H187" t="n">
        <v>1</v>
      </c>
      <c r="I187" t="n">
        <v>1</v>
      </c>
      <c r="J187" t="n">
        <v>0</v>
      </c>
      <c r="K187" t="n">
        <v>1</v>
      </c>
      <c r="L187" t="n">
        <v>0</v>
      </c>
      <c r="M187" t="n">
        <v>0</v>
      </c>
      <c r="N187" t="n">
        <v>0</v>
      </c>
      <c r="O187" t="n">
        <v>1</v>
      </c>
      <c r="P187" t="n">
        <v>1</v>
      </c>
      <c r="Q187" t="n">
        <v>2</v>
      </c>
      <c r="R187" s="2" t="inlineStr">
        <is>
          <t>Knärot
Dropptaggsvamp</t>
        </is>
      </c>
      <c r="S187">
        <f>HYPERLINK("https://klasma.github.io/Logging_2305/artfynd/A 27059-2025 artfynd.xlsx", "A 27059-2025")</f>
        <v/>
      </c>
      <c r="T187">
        <f>HYPERLINK("https://klasma.github.io/Logging_2305/kartor/A 27059-2025 karta.png", "A 27059-2025")</f>
        <v/>
      </c>
      <c r="U187">
        <f>HYPERLINK("https://klasma.github.io/Logging_2305/knärot/A 27059-2025 karta knärot.png", "A 27059-2025")</f>
        <v/>
      </c>
      <c r="V187">
        <f>HYPERLINK("https://klasma.github.io/Logging_2305/klagomål/A 27059-2025 FSC-klagomål.docx", "A 27059-2025")</f>
        <v/>
      </c>
      <c r="W187">
        <f>HYPERLINK("https://klasma.github.io/Logging_2305/klagomålsmail/A 27059-2025 FSC-klagomål mail.docx", "A 27059-2025")</f>
        <v/>
      </c>
      <c r="X187">
        <f>HYPERLINK("https://klasma.github.io/Logging_2305/tillsyn/A 27059-2025 tillsynsbegäran.docx", "A 27059-2025")</f>
        <v/>
      </c>
      <c r="Y187">
        <f>HYPERLINK("https://klasma.github.io/Logging_2305/tillsynsmail/A 27059-2025 tillsynsbegäran mail.docx", "A 27059-2025")</f>
        <v/>
      </c>
    </row>
    <row r="188" ht="15" customHeight="1">
      <c r="A188" t="inlineStr">
        <is>
          <t>A 27279-2025</t>
        </is>
      </c>
      <c r="B188" s="1" t="n">
        <v>45812.53172453704</v>
      </c>
      <c r="C188" s="1" t="n">
        <v>45901</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27279-2025 artfynd.xlsx", "A 27279-2025")</f>
        <v/>
      </c>
      <c r="T188">
        <f>HYPERLINK("https://klasma.github.io/Logging_2305/kartor/A 27279-2025 karta.png", "A 27279-2025")</f>
        <v/>
      </c>
      <c r="V188">
        <f>HYPERLINK("https://klasma.github.io/Logging_2305/klagomål/A 27279-2025 FSC-klagomål.docx", "A 27279-2025")</f>
        <v/>
      </c>
      <c r="W188">
        <f>HYPERLINK("https://klasma.github.io/Logging_2305/klagomålsmail/A 27279-2025 FSC-klagomål mail.docx", "A 27279-2025")</f>
        <v/>
      </c>
      <c r="X188">
        <f>HYPERLINK("https://klasma.github.io/Logging_2305/tillsyn/A 27279-2025 tillsynsbegäran.docx", "A 27279-2025")</f>
        <v/>
      </c>
      <c r="Y188">
        <f>HYPERLINK("https://klasma.github.io/Logging_2305/tillsynsmail/A 27279-2025 tillsynsbegäran mail.docx", "A 27279-2025")</f>
        <v/>
      </c>
    </row>
    <row r="189" ht="15" customHeight="1">
      <c r="A189" t="inlineStr">
        <is>
          <t>A 50497-2023</t>
        </is>
      </c>
      <c r="B189" s="1" t="n">
        <v>45216</v>
      </c>
      <c r="C189" s="1" t="n">
        <v>45901</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45901</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29119-2025</t>
        </is>
      </c>
      <c r="B191" s="1" t="n">
        <v>45821.59407407408</v>
      </c>
      <c r="C191" s="1" t="n">
        <v>45901</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29119-2025 artfynd.xlsx", "A 29119-2025")</f>
        <v/>
      </c>
      <c r="T191">
        <f>HYPERLINK("https://klasma.github.io/Logging_2305/kartor/A 29119-2025 karta.png", "A 29119-2025")</f>
        <v/>
      </c>
      <c r="V191">
        <f>HYPERLINK("https://klasma.github.io/Logging_2305/klagomål/A 29119-2025 FSC-klagomål.docx", "A 29119-2025")</f>
        <v/>
      </c>
      <c r="W191">
        <f>HYPERLINK("https://klasma.github.io/Logging_2305/klagomålsmail/A 29119-2025 FSC-klagomål mail.docx", "A 29119-2025")</f>
        <v/>
      </c>
      <c r="X191">
        <f>HYPERLINK("https://klasma.github.io/Logging_2305/tillsyn/A 29119-2025 tillsynsbegäran.docx", "A 29119-2025")</f>
        <v/>
      </c>
      <c r="Y191">
        <f>HYPERLINK("https://klasma.github.io/Logging_2305/tillsynsmail/A 29119-2025 tillsynsbegäran mail.docx", "A 29119-2025")</f>
        <v/>
      </c>
    </row>
    <row r="192" ht="15" customHeight="1">
      <c r="A192" t="inlineStr">
        <is>
          <t>A 51822-2023</t>
        </is>
      </c>
      <c r="B192" s="1" t="n">
        <v>45222</v>
      </c>
      <c r="C192" s="1" t="n">
        <v>45901</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54051-2023</t>
        </is>
      </c>
      <c r="B193" s="1" t="n">
        <v>45231</v>
      </c>
      <c r="C193" s="1" t="n">
        <v>45901</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47498-2023</t>
        </is>
      </c>
      <c r="B194" s="1" t="n">
        <v>45202</v>
      </c>
      <c r="C194" s="1" t="n">
        <v>45901</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32566-2025</t>
        </is>
      </c>
      <c r="B195" s="1" t="n">
        <v>45838.57354166666</v>
      </c>
      <c r="C195" s="1" t="n">
        <v>45901</v>
      </c>
      <c r="D195" t="inlineStr">
        <is>
          <t>JÄMTLANDS LÄN</t>
        </is>
      </c>
      <c r="E195" t="inlineStr">
        <is>
          <t>BRÄCKE</t>
        </is>
      </c>
      <c r="F195" t="inlineStr">
        <is>
          <t>SCA</t>
        </is>
      </c>
      <c r="G195" t="n">
        <v>1.6</v>
      </c>
      <c r="H195" t="n">
        <v>0</v>
      </c>
      <c r="I195" t="n">
        <v>2</v>
      </c>
      <c r="J195" t="n">
        <v>0</v>
      </c>
      <c r="K195" t="n">
        <v>0</v>
      </c>
      <c r="L195" t="n">
        <v>0</v>
      </c>
      <c r="M195" t="n">
        <v>0</v>
      </c>
      <c r="N195" t="n">
        <v>0</v>
      </c>
      <c r="O195" t="n">
        <v>0</v>
      </c>
      <c r="P195" t="n">
        <v>0</v>
      </c>
      <c r="Q195" t="n">
        <v>2</v>
      </c>
      <c r="R195" s="2" t="inlineStr">
        <is>
          <t>Skinnlav
Vedticka</t>
        </is>
      </c>
      <c r="S195">
        <f>HYPERLINK("https://klasma.github.io/Logging_2305/artfynd/A 32566-2025 artfynd.xlsx", "A 32566-2025")</f>
        <v/>
      </c>
      <c r="T195">
        <f>HYPERLINK("https://klasma.github.io/Logging_2305/kartor/A 32566-2025 karta.png", "A 32566-2025")</f>
        <v/>
      </c>
      <c r="V195">
        <f>HYPERLINK("https://klasma.github.io/Logging_2305/klagomål/A 32566-2025 FSC-klagomål.docx", "A 32566-2025")</f>
        <v/>
      </c>
      <c r="W195">
        <f>HYPERLINK("https://klasma.github.io/Logging_2305/klagomålsmail/A 32566-2025 FSC-klagomål mail.docx", "A 32566-2025")</f>
        <v/>
      </c>
      <c r="X195">
        <f>HYPERLINK("https://klasma.github.io/Logging_2305/tillsyn/A 32566-2025 tillsynsbegäran.docx", "A 32566-2025")</f>
        <v/>
      </c>
      <c r="Y195">
        <f>HYPERLINK("https://klasma.github.io/Logging_2305/tillsynsmail/A 32566-2025 tillsynsbegäran mail.docx", "A 32566-2025")</f>
        <v/>
      </c>
    </row>
    <row r="196" ht="15" customHeight="1">
      <c r="A196" t="inlineStr">
        <is>
          <t>A 3913-2022</t>
        </is>
      </c>
      <c r="B196" s="1" t="n">
        <v>44587</v>
      </c>
      <c r="C196" s="1" t="n">
        <v>45901</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34541-2025</t>
        </is>
      </c>
      <c r="B197" s="1" t="n">
        <v>45847.53196759259</v>
      </c>
      <c r="C197" s="1" t="n">
        <v>45901</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4134-2025</t>
        </is>
      </c>
      <c r="B198" s="1" t="n">
        <v>45685.34582175926</v>
      </c>
      <c r="C198" s="1" t="n">
        <v>45901</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11787-2025</t>
        </is>
      </c>
      <c r="B199" s="1" t="n">
        <v>45727.72017361111</v>
      </c>
      <c r="C199" s="1" t="n">
        <v>45901</v>
      </c>
      <c r="D199" t="inlineStr">
        <is>
          <t>JÄMTLANDS LÄN</t>
        </is>
      </c>
      <c r="E199" t="inlineStr">
        <is>
          <t>BRÄCKE</t>
        </is>
      </c>
      <c r="F199" t="inlineStr">
        <is>
          <t>SCA</t>
        </is>
      </c>
      <c r="G199" t="n">
        <v>1.9</v>
      </c>
      <c r="H199" t="n">
        <v>0</v>
      </c>
      <c r="I199" t="n">
        <v>0</v>
      </c>
      <c r="J199" t="n">
        <v>2</v>
      </c>
      <c r="K199" t="n">
        <v>0</v>
      </c>
      <c r="L199" t="n">
        <v>0</v>
      </c>
      <c r="M199" t="n">
        <v>0</v>
      </c>
      <c r="N199" t="n">
        <v>0</v>
      </c>
      <c r="O199" t="n">
        <v>2</v>
      </c>
      <c r="P199" t="n">
        <v>0</v>
      </c>
      <c r="Q199" t="n">
        <v>2</v>
      </c>
      <c r="R199" s="2" t="inlineStr">
        <is>
          <t>Stiftgelélav
Ullticka</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50328-2022</t>
        </is>
      </c>
      <c r="B200" s="1" t="n">
        <v>44865</v>
      </c>
      <c r="C200" s="1" t="n">
        <v>45901</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35117-2025</t>
        </is>
      </c>
      <c r="B201" s="1" t="n">
        <v>45852.59416666667</v>
      </c>
      <c r="C201" s="1" t="n">
        <v>45901</v>
      </c>
      <c r="D201" t="inlineStr">
        <is>
          <t>JÄMTLANDS LÄN</t>
        </is>
      </c>
      <c r="E201" t="inlineStr">
        <is>
          <t>BRÄCKE</t>
        </is>
      </c>
      <c r="F201" t="inlineStr">
        <is>
          <t>SCA</t>
        </is>
      </c>
      <c r="G201" t="n">
        <v>11.1</v>
      </c>
      <c r="H201" t="n">
        <v>0</v>
      </c>
      <c r="I201" t="n">
        <v>0</v>
      </c>
      <c r="J201" t="n">
        <v>2</v>
      </c>
      <c r="K201" t="n">
        <v>0</v>
      </c>
      <c r="L201" t="n">
        <v>0</v>
      </c>
      <c r="M201" t="n">
        <v>0</v>
      </c>
      <c r="N201" t="n">
        <v>0</v>
      </c>
      <c r="O201" t="n">
        <v>2</v>
      </c>
      <c r="P201" t="n">
        <v>0</v>
      </c>
      <c r="Q201" t="n">
        <v>2</v>
      </c>
      <c r="R201" s="2" t="inlineStr">
        <is>
          <t>Dvärgbägarlav
Nordtagging</t>
        </is>
      </c>
      <c r="S201">
        <f>HYPERLINK("https://klasma.github.io/Logging_2305/artfynd/A 35117-2025 artfynd.xlsx", "A 35117-2025")</f>
        <v/>
      </c>
      <c r="T201">
        <f>HYPERLINK("https://klasma.github.io/Logging_2305/kartor/A 35117-2025 karta.png", "A 35117-2025")</f>
        <v/>
      </c>
      <c r="V201">
        <f>HYPERLINK("https://klasma.github.io/Logging_2305/klagomål/A 35117-2025 FSC-klagomål.docx", "A 35117-2025")</f>
        <v/>
      </c>
      <c r="W201">
        <f>HYPERLINK("https://klasma.github.io/Logging_2305/klagomålsmail/A 35117-2025 FSC-klagomål mail.docx", "A 35117-2025")</f>
        <v/>
      </c>
      <c r="X201">
        <f>HYPERLINK("https://klasma.github.io/Logging_2305/tillsyn/A 35117-2025 tillsynsbegäran.docx", "A 35117-2025")</f>
        <v/>
      </c>
      <c r="Y201">
        <f>HYPERLINK("https://klasma.github.io/Logging_2305/tillsynsmail/A 35117-2025 tillsynsbegäran mail.docx", "A 35117-2025")</f>
        <v/>
      </c>
    </row>
    <row r="202" ht="15" customHeight="1">
      <c r="A202" t="inlineStr">
        <is>
          <t>A 35209-2025</t>
        </is>
      </c>
      <c r="B202" s="1" t="n">
        <v>45853.44827546296</v>
      </c>
      <c r="C202" s="1" t="n">
        <v>45901</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41178-2025</t>
        </is>
      </c>
      <c r="B203" s="1" t="n">
        <v>45898.55261574074</v>
      </c>
      <c r="C203" s="1" t="n">
        <v>45901</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29672-2024</t>
        </is>
      </c>
      <c r="B204" s="1" t="n">
        <v>45484.94189814815</v>
      </c>
      <c r="C204" s="1" t="n">
        <v>45901</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45901</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45901</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3029-2023</t>
        </is>
      </c>
      <c r="B207" s="1" t="n">
        <v>44945</v>
      </c>
      <c r="C207" s="1" t="n">
        <v>45901</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2464-2025</t>
        </is>
      </c>
      <c r="B208" s="1" t="n">
        <v>45674.4693287037</v>
      </c>
      <c r="C208" s="1" t="n">
        <v>45901</v>
      </c>
      <c r="D208" t="inlineStr">
        <is>
          <t>JÄMTLANDS LÄN</t>
        </is>
      </c>
      <c r="E208" t="inlineStr">
        <is>
          <t>BRÄCKE</t>
        </is>
      </c>
      <c r="F208" t="inlineStr">
        <is>
          <t>SCA</t>
        </is>
      </c>
      <c r="G208" t="n">
        <v>4.4</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HYPERLINK("https://klasma.github.io/Logging_2305/artfynd/A 2464-2025 artfynd.xlsx", "A 2464-2025")</f>
        <v/>
      </c>
      <c r="T208">
        <f>HYPERLINK("https://klasma.github.io/Logging_2305/kartor/A 2464-2025 karta.png", "A 2464-2025")</f>
        <v/>
      </c>
      <c r="V208">
        <f>HYPERLINK("https://klasma.github.io/Logging_2305/klagomål/A 2464-2025 FSC-klagomål.docx", "A 2464-2025")</f>
        <v/>
      </c>
      <c r="W208">
        <f>HYPERLINK("https://klasma.github.io/Logging_2305/klagomålsmail/A 2464-2025 FSC-klagomål mail.docx", "A 2464-2025")</f>
        <v/>
      </c>
      <c r="X208">
        <f>HYPERLINK("https://klasma.github.io/Logging_2305/tillsyn/A 2464-2025 tillsynsbegäran.docx", "A 2464-2025")</f>
        <v/>
      </c>
      <c r="Y208">
        <f>HYPERLINK("https://klasma.github.io/Logging_2305/tillsynsmail/A 2464-2025 tillsynsbegäran mail.docx", "A 2464-2025")</f>
        <v/>
      </c>
      <c r="Z208">
        <f>HYPERLINK("https://klasma.github.io/Logging_2305/fåglar/A 2464-2025 prioriterade fågelarter.docx", "A 2464-2025")</f>
        <v/>
      </c>
    </row>
    <row r="209" ht="15" customHeight="1">
      <c r="A209" t="inlineStr">
        <is>
          <t>A 19437-2023</t>
        </is>
      </c>
      <c r="B209" s="1" t="n">
        <v>45049</v>
      </c>
      <c r="C209" s="1" t="n">
        <v>45901</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17992-2025</t>
        </is>
      </c>
      <c r="B210" s="1" t="n">
        <v>45761.40657407408</v>
      </c>
      <c r="C210" s="1" t="n">
        <v>45901</v>
      </c>
      <c r="D210" t="inlineStr">
        <is>
          <t>JÄMTLANDS LÄN</t>
        </is>
      </c>
      <c r="E210" t="inlineStr">
        <is>
          <t>BRÄCKE</t>
        </is>
      </c>
      <c r="F210" t="inlineStr">
        <is>
          <t>SCA</t>
        </is>
      </c>
      <c r="G210" t="n">
        <v>1.4</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17992-2025 artfynd.xlsx", "A 17992-2025")</f>
        <v/>
      </c>
      <c r="T210">
        <f>HYPERLINK("https://klasma.github.io/Logging_2305/kartor/A 17992-2025 karta.png", "A 17992-2025")</f>
        <v/>
      </c>
      <c r="V210">
        <f>HYPERLINK("https://klasma.github.io/Logging_2305/klagomål/A 17992-2025 FSC-klagomål.docx", "A 17992-2025")</f>
        <v/>
      </c>
      <c r="W210">
        <f>HYPERLINK("https://klasma.github.io/Logging_2305/klagomålsmail/A 17992-2025 FSC-klagomål mail.docx", "A 17992-2025")</f>
        <v/>
      </c>
      <c r="X210">
        <f>HYPERLINK("https://klasma.github.io/Logging_2305/tillsyn/A 17992-2025 tillsynsbegäran.docx", "A 17992-2025")</f>
        <v/>
      </c>
      <c r="Y210">
        <f>HYPERLINK("https://klasma.github.io/Logging_2305/tillsynsmail/A 17992-2025 tillsynsbegäran mail.docx", "A 17992-2025")</f>
        <v/>
      </c>
    </row>
    <row r="211" ht="15" customHeight="1">
      <c r="A211" t="inlineStr">
        <is>
          <t>A 59324-2021</t>
        </is>
      </c>
      <c r="B211" s="1" t="n">
        <v>44490</v>
      </c>
      <c r="C211" s="1" t="n">
        <v>45901</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17489-2025</t>
        </is>
      </c>
      <c r="B212" s="1" t="n">
        <v>45757.51074074074</v>
      </c>
      <c r="C212" s="1" t="n">
        <v>45901</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2467-2025</t>
        </is>
      </c>
      <c r="B213" s="1" t="n">
        <v>45674.46979166667</v>
      </c>
      <c r="C213" s="1" t="n">
        <v>45901</v>
      </c>
      <c r="D213" t="inlineStr">
        <is>
          <t>JÄMTLANDS LÄN</t>
        </is>
      </c>
      <c r="E213" t="inlineStr">
        <is>
          <t>BRÄCKE</t>
        </is>
      </c>
      <c r="F213" t="inlineStr">
        <is>
          <t>SCA</t>
        </is>
      </c>
      <c r="G213" t="n">
        <v>5.6</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2467-2025 artfynd.xlsx", "A 2467-2025")</f>
        <v/>
      </c>
      <c r="T213">
        <f>HYPERLINK("https://klasma.github.io/Logging_2305/kartor/A 2467-2025 karta.png", "A 2467-2025")</f>
        <v/>
      </c>
      <c r="V213">
        <f>HYPERLINK("https://klasma.github.io/Logging_2305/klagomål/A 2467-2025 FSC-klagomål.docx", "A 2467-2025")</f>
        <v/>
      </c>
      <c r="W213">
        <f>HYPERLINK("https://klasma.github.io/Logging_2305/klagomålsmail/A 2467-2025 FSC-klagomål mail.docx", "A 2467-2025")</f>
        <v/>
      </c>
      <c r="X213">
        <f>HYPERLINK("https://klasma.github.io/Logging_2305/tillsyn/A 2467-2025 tillsynsbegäran.docx", "A 2467-2025")</f>
        <v/>
      </c>
      <c r="Y213">
        <f>HYPERLINK("https://klasma.github.io/Logging_2305/tillsynsmail/A 2467-2025 tillsynsbegäran mail.docx", "A 2467-2025")</f>
        <v/>
      </c>
      <c r="Z213">
        <f>HYPERLINK("https://klasma.github.io/Logging_2305/fåglar/A 2467-2025 prioriterade fågelarter.docx", "A 2467-2025")</f>
        <v/>
      </c>
    </row>
    <row r="214" ht="15" customHeight="1">
      <c r="A214" t="inlineStr">
        <is>
          <t>A 8248-2024</t>
        </is>
      </c>
      <c r="B214" s="1" t="n">
        <v>45351</v>
      </c>
      <c r="C214" s="1" t="n">
        <v>45901</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33874-2023</t>
        </is>
      </c>
      <c r="B215" s="1" t="n">
        <v>45133</v>
      </c>
      <c r="C215" s="1" t="n">
        <v>45901</v>
      </c>
      <c r="D215" t="inlineStr">
        <is>
          <t>JÄMTLANDS LÄN</t>
        </is>
      </c>
      <c r="E215" t="inlineStr">
        <is>
          <t>BRÄCKE</t>
        </is>
      </c>
      <c r="F215" t="inlineStr">
        <is>
          <t>SCA</t>
        </is>
      </c>
      <c r="G215" t="n">
        <v>5.8</v>
      </c>
      <c r="H215" t="n">
        <v>1</v>
      </c>
      <c r="I215" t="n">
        <v>0</v>
      </c>
      <c r="J215" t="n">
        <v>1</v>
      </c>
      <c r="K215" t="n">
        <v>0</v>
      </c>
      <c r="L215" t="n">
        <v>0</v>
      </c>
      <c r="M215" t="n">
        <v>0</v>
      </c>
      <c r="N215" t="n">
        <v>0</v>
      </c>
      <c r="O215" t="n">
        <v>1</v>
      </c>
      <c r="P215" t="n">
        <v>0</v>
      </c>
      <c r="Q215" t="n">
        <v>2</v>
      </c>
      <c r="R215" s="2" t="inlineStr">
        <is>
          <t>Ullticka
Kungsfågel</t>
        </is>
      </c>
      <c r="S215">
        <f>HYPERLINK("https://klasma.github.io/Logging_2305/artfynd/A 33874-2023 artfynd.xlsx", "A 33874-2023")</f>
        <v/>
      </c>
      <c r="T215">
        <f>HYPERLINK("https://klasma.github.io/Logging_2305/kartor/A 33874-2023 karta.png", "A 33874-2023")</f>
        <v/>
      </c>
      <c r="V215">
        <f>HYPERLINK("https://klasma.github.io/Logging_2305/klagomål/A 33874-2023 FSC-klagomål.docx", "A 33874-2023")</f>
        <v/>
      </c>
      <c r="W215">
        <f>HYPERLINK("https://klasma.github.io/Logging_2305/klagomålsmail/A 33874-2023 FSC-klagomål mail.docx", "A 33874-2023")</f>
        <v/>
      </c>
      <c r="X215">
        <f>HYPERLINK("https://klasma.github.io/Logging_2305/tillsyn/A 33874-2023 tillsynsbegäran.docx", "A 33874-2023")</f>
        <v/>
      </c>
      <c r="Y215">
        <f>HYPERLINK("https://klasma.github.io/Logging_2305/tillsynsmail/A 33874-2023 tillsynsbegäran mail.docx", "A 33874-2023")</f>
        <v/>
      </c>
      <c r="Z215">
        <f>HYPERLINK("https://klasma.github.io/Logging_2305/fåglar/A 33874-2023 prioriterade fågelarter.docx", "A 33874-2023")</f>
        <v/>
      </c>
    </row>
    <row r="216" ht="15" customHeight="1">
      <c r="A216" t="inlineStr">
        <is>
          <t>A 10105-2025</t>
        </is>
      </c>
      <c r="B216" s="1" t="n">
        <v>45719.58310185185</v>
      </c>
      <c r="C216" s="1" t="n">
        <v>45901</v>
      </c>
      <c r="D216" t="inlineStr">
        <is>
          <t>JÄMTLANDS LÄN</t>
        </is>
      </c>
      <c r="E216" t="inlineStr">
        <is>
          <t>BRÄCKE</t>
        </is>
      </c>
      <c r="G216" t="n">
        <v>0.6</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10105-2025 artfynd.xlsx", "A 10105-2025")</f>
        <v/>
      </c>
      <c r="T216">
        <f>HYPERLINK("https://klasma.github.io/Logging_2305/kartor/A 10105-2025 karta.png", "A 10105-2025")</f>
        <v/>
      </c>
      <c r="V216">
        <f>HYPERLINK("https://klasma.github.io/Logging_2305/klagomål/A 10105-2025 FSC-klagomål.docx", "A 10105-2025")</f>
        <v/>
      </c>
      <c r="W216">
        <f>HYPERLINK("https://klasma.github.io/Logging_2305/klagomålsmail/A 10105-2025 FSC-klagomål mail.docx", "A 10105-2025")</f>
        <v/>
      </c>
      <c r="X216">
        <f>HYPERLINK("https://klasma.github.io/Logging_2305/tillsyn/A 10105-2025 tillsynsbegäran.docx", "A 10105-2025")</f>
        <v/>
      </c>
      <c r="Y216">
        <f>HYPERLINK("https://klasma.github.io/Logging_2305/tillsynsmail/A 10105-2025 tillsynsbegäran mail.docx", "A 10105-2025")</f>
        <v/>
      </c>
    </row>
    <row r="217" ht="15" customHeight="1">
      <c r="A217" t="inlineStr">
        <is>
          <t>A 69154-2021</t>
        </is>
      </c>
      <c r="B217" s="1" t="n">
        <v>44530</v>
      </c>
      <c r="C217" s="1" t="n">
        <v>45901</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45901</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45901</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45901</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45901</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45901</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49863-2022</t>
        </is>
      </c>
      <c r="B223" s="1" t="n">
        <v>44862</v>
      </c>
      <c r="C223" s="1" t="n">
        <v>45901</v>
      </c>
      <c r="D223" t="inlineStr">
        <is>
          <t>JÄMTLANDS LÄN</t>
        </is>
      </c>
      <c r="E223" t="inlineStr">
        <is>
          <t>BRÄCKE</t>
        </is>
      </c>
      <c r="F223" t="inlineStr">
        <is>
          <t>SCA</t>
        </is>
      </c>
      <c r="G223" t="n">
        <v>3.9</v>
      </c>
      <c r="H223" t="n">
        <v>1</v>
      </c>
      <c r="I223" t="n">
        <v>1</v>
      </c>
      <c r="J223" t="n">
        <v>0</v>
      </c>
      <c r="K223" t="n">
        <v>0</v>
      </c>
      <c r="L223" t="n">
        <v>0</v>
      </c>
      <c r="M223" t="n">
        <v>0</v>
      </c>
      <c r="N223" t="n">
        <v>0</v>
      </c>
      <c r="O223" t="n">
        <v>0</v>
      </c>
      <c r="P223" t="n">
        <v>0</v>
      </c>
      <c r="Q223" t="n">
        <v>1</v>
      </c>
      <c r="R223" s="2" t="inlineStr">
        <is>
          <t>Spindelblomster</t>
        </is>
      </c>
      <c r="S223">
        <f>HYPERLINK("https://klasma.github.io/Logging_2305/artfynd/A 49863-2022 artfynd.xlsx", "A 49863-2022")</f>
        <v/>
      </c>
      <c r="T223">
        <f>HYPERLINK("https://klasma.github.io/Logging_2305/kartor/A 49863-2022 karta.png", "A 49863-2022")</f>
        <v/>
      </c>
      <c r="V223">
        <f>HYPERLINK("https://klasma.github.io/Logging_2305/klagomål/A 49863-2022 FSC-klagomål.docx", "A 49863-2022")</f>
        <v/>
      </c>
      <c r="W223">
        <f>HYPERLINK("https://klasma.github.io/Logging_2305/klagomålsmail/A 49863-2022 FSC-klagomål mail.docx", "A 49863-2022")</f>
        <v/>
      </c>
      <c r="X223">
        <f>HYPERLINK("https://klasma.github.io/Logging_2305/tillsyn/A 49863-2022 tillsynsbegäran.docx", "A 49863-2022")</f>
        <v/>
      </c>
      <c r="Y223">
        <f>HYPERLINK("https://klasma.github.io/Logging_2305/tillsynsmail/A 49863-2022 tillsynsbegäran mail.docx", "A 49863-2022")</f>
        <v/>
      </c>
    </row>
    <row r="224" ht="15" customHeight="1">
      <c r="A224" t="inlineStr">
        <is>
          <t>A 49040-2023</t>
        </is>
      </c>
      <c r="B224" s="1" t="n">
        <v>45209</v>
      </c>
      <c r="C224" s="1" t="n">
        <v>45901</v>
      </c>
      <c r="D224" t="inlineStr">
        <is>
          <t>JÄMTLANDS LÄN</t>
        </is>
      </c>
      <c r="E224" t="inlineStr">
        <is>
          <t>BRÄCKE</t>
        </is>
      </c>
      <c r="F224" t="inlineStr">
        <is>
          <t>SCA</t>
        </is>
      </c>
      <c r="G224" t="n">
        <v>4.2</v>
      </c>
      <c r="H224" t="n">
        <v>0</v>
      </c>
      <c r="I224" t="n">
        <v>0</v>
      </c>
      <c r="J224" t="n">
        <v>1</v>
      </c>
      <c r="K224" t="n">
        <v>0</v>
      </c>
      <c r="L224" t="n">
        <v>0</v>
      </c>
      <c r="M224" t="n">
        <v>0</v>
      </c>
      <c r="N224" t="n">
        <v>0</v>
      </c>
      <c r="O224" t="n">
        <v>1</v>
      </c>
      <c r="P224" t="n">
        <v>0</v>
      </c>
      <c r="Q224" t="n">
        <v>1</v>
      </c>
      <c r="R224" s="2" t="inlineStr">
        <is>
          <t>Lunglav</t>
        </is>
      </c>
      <c r="S224">
        <f>HYPERLINK("https://klasma.github.io/Logging_2305/artfynd/A 49040-2023 artfynd.xlsx", "A 49040-2023")</f>
        <v/>
      </c>
      <c r="T224">
        <f>HYPERLINK("https://klasma.github.io/Logging_2305/kartor/A 49040-2023 karta.png", "A 49040-2023")</f>
        <v/>
      </c>
      <c r="V224">
        <f>HYPERLINK("https://klasma.github.io/Logging_2305/klagomål/A 49040-2023 FSC-klagomål.docx", "A 49040-2023")</f>
        <v/>
      </c>
      <c r="W224">
        <f>HYPERLINK("https://klasma.github.io/Logging_2305/klagomålsmail/A 49040-2023 FSC-klagomål mail.docx", "A 49040-2023")</f>
        <v/>
      </c>
      <c r="X224">
        <f>HYPERLINK("https://klasma.github.io/Logging_2305/tillsyn/A 49040-2023 tillsynsbegäran.docx", "A 49040-2023")</f>
        <v/>
      </c>
      <c r="Y224">
        <f>HYPERLINK("https://klasma.github.io/Logging_2305/tillsynsmail/A 49040-2023 tillsynsbegäran mail.docx", "A 49040-2023")</f>
        <v/>
      </c>
    </row>
    <row r="225" ht="15" customHeight="1">
      <c r="A225" t="inlineStr">
        <is>
          <t>A 789-2025</t>
        </is>
      </c>
      <c r="B225" s="1" t="n">
        <v>45665.51072916666</v>
      </c>
      <c r="C225" s="1" t="n">
        <v>45901</v>
      </c>
      <c r="D225" t="inlineStr">
        <is>
          <t>JÄMTLANDS LÄN</t>
        </is>
      </c>
      <c r="E225" t="inlineStr">
        <is>
          <t>BRÄCKE</t>
        </is>
      </c>
      <c r="F225" t="inlineStr">
        <is>
          <t>SCA</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HYPERLINK("https://klasma.github.io/Logging_2305/artfynd/A 789-2025 artfynd.xlsx", "A 789-2025")</f>
        <v/>
      </c>
      <c r="T225">
        <f>HYPERLINK("https://klasma.github.io/Logging_2305/kartor/A 789-2025 karta.png", "A 789-2025")</f>
        <v/>
      </c>
      <c r="V225">
        <f>HYPERLINK("https://klasma.github.io/Logging_2305/klagomål/A 789-2025 FSC-klagomål.docx", "A 789-2025")</f>
        <v/>
      </c>
      <c r="W225">
        <f>HYPERLINK("https://klasma.github.io/Logging_2305/klagomålsmail/A 789-2025 FSC-klagomål mail.docx", "A 789-2025")</f>
        <v/>
      </c>
      <c r="X225">
        <f>HYPERLINK("https://klasma.github.io/Logging_2305/tillsyn/A 789-2025 tillsynsbegäran.docx", "A 789-2025")</f>
        <v/>
      </c>
      <c r="Y225">
        <f>HYPERLINK("https://klasma.github.io/Logging_2305/tillsynsmail/A 789-2025 tillsynsbegäran mail.docx", "A 789-2025")</f>
        <v/>
      </c>
    </row>
    <row r="226" ht="15" customHeight="1">
      <c r="A226" t="inlineStr">
        <is>
          <t>A 40869-2024</t>
        </is>
      </c>
      <c r="B226" s="1" t="n">
        <v>45558.59409722222</v>
      </c>
      <c r="C226" s="1" t="n">
        <v>45901</v>
      </c>
      <c r="D226" t="inlineStr">
        <is>
          <t>JÄMTLANDS LÄN</t>
        </is>
      </c>
      <c r="E226" t="inlineStr">
        <is>
          <t>BRÄCKE</t>
        </is>
      </c>
      <c r="F226" t="inlineStr">
        <is>
          <t>Naturvårdsverket</t>
        </is>
      </c>
      <c r="G226" t="n">
        <v>1.8</v>
      </c>
      <c r="H226" t="n">
        <v>0</v>
      </c>
      <c r="I226" t="n">
        <v>0</v>
      </c>
      <c r="J226" t="n">
        <v>1</v>
      </c>
      <c r="K226" t="n">
        <v>0</v>
      </c>
      <c r="L226" t="n">
        <v>0</v>
      </c>
      <c r="M226" t="n">
        <v>0</v>
      </c>
      <c r="N226" t="n">
        <v>0</v>
      </c>
      <c r="O226" t="n">
        <v>1</v>
      </c>
      <c r="P226" t="n">
        <v>0</v>
      </c>
      <c r="Q226" t="n">
        <v>1</v>
      </c>
      <c r="R226" s="2" t="inlineStr">
        <is>
          <t>Lunglav</t>
        </is>
      </c>
      <c r="S226">
        <f>HYPERLINK("https://klasma.github.io/Logging_2305/artfynd/A 40869-2024 artfynd.xlsx", "A 40869-2024")</f>
        <v/>
      </c>
      <c r="T226">
        <f>HYPERLINK("https://klasma.github.io/Logging_2305/kartor/A 40869-2024 karta.png", "A 40869-2024")</f>
        <v/>
      </c>
      <c r="V226">
        <f>HYPERLINK("https://klasma.github.io/Logging_2305/klagomål/A 40869-2024 FSC-klagomål.docx", "A 40869-2024")</f>
        <v/>
      </c>
      <c r="W226">
        <f>HYPERLINK("https://klasma.github.io/Logging_2305/klagomålsmail/A 40869-2024 FSC-klagomål mail.docx", "A 40869-2024")</f>
        <v/>
      </c>
      <c r="X226">
        <f>HYPERLINK("https://klasma.github.io/Logging_2305/tillsyn/A 40869-2024 tillsynsbegäran.docx", "A 40869-2024")</f>
        <v/>
      </c>
      <c r="Y226">
        <f>HYPERLINK("https://klasma.github.io/Logging_2305/tillsynsmail/A 40869-2024 tillsynsbegäran mail.docx", "A 40869-2024")</f>
        <v/>
      </c>
    </row>
    <row r="227" ht="15" customHeight="1">
      <c r="A227" t="inlineStr">
        <is>
          <t>A 17588-2024</t>
        </is>
      </c>
      <c r="B227" s="1" t="n">
        <v>45415.94054398148</v>
      </c>
      <c r="C227" s="1" t="n">
        <v>45901</v>
      </c>
      <c r="D227" t="inlineStr">
        <is>
          <t>JÄMTLANDS LÄN</t>
        </is>
      </c>
      <c r="E227" t="inlineStr">
        <is>
          <t>BRÄCKE</t>
        </is>
      </c>
      <c r="F227" t="inlineStr">
        <is>
          <t>SCA</t>
        </is>
      </c>
      <c r="G227" t="n">
        <v>1.8</v>
      </c>
      <c r="H227" t="n">
        <v>0</v>
      </c>
      <c r="I227" t="n">
        <v>0</v>
      </c>
      <c r="J227" t="n">
        <v>1</v>
      </c>
      <c r="K227" t="n">
        <v>0</v>
      </c>
      <c r="L227" t="n">
        <v>0</v>
      </c>
      <c r="M227" t="n">
        <v>0</v>
      </c>
      <c r="N227" t="n">
        <v>0</v>
      </c>
      <c r="O227" t="n">
        <v>1</v>
      </c>
      <c r="P227" t="n">
        <v>0</v>
      </c>
      <c r="Q227" t="n">
        <v>1</v>
      </c>
      <c r="R227" s="2" t="inlineStr">
        <is>
          <t>Rosenticka</t>
        </is>
      </c>
      <c r="S227">
        <f>HYPERLINK("https://klasma.github.io/Logging_2305/artfynd/A 17588-2024 artfynd.xlsx", "A 17588-2024")</f>
        <v/>
      </c>
      <c r="T227">
        <f>HYPERLINK("https://klasma.github.io/Logging_2305/kartor/A 17588-2024 karta.png", "A 17588-2024")</f>
        <v/>
      </c>
      <c r="V227">
        <f>HYPERLINK("https://klasma.github.io/Logging_2305/klagomål/A 17588-2024 FSC-klagomål.docx", "A 17588-2024")</f>
        <v/>
      </c>
      <c r="W227">
        <f>HYPERLINK("https://klasma.github.io/Logging_2305/klagomålsmail/A 17588-2024 FSC-klagomål mail.docx", "A 17588-2024")</f>
        <v/>
      </c>
      <c r="X227">
        <f>HYPERLINK("https://klasma.github.io/Logging_2305/tillsyn/A 17588-2024 tillsynsbegäran.docx", "A 17588-2024")</f>
        <v/>
      </c>
      <c r="Y227">
        <f>HYPERLINK("https://klasma.github.io/Logging_2305/tillsynsmail/A 17588-2024 tillsynsbegäran mail.docx", "A 17588-2024")</f>
        <v/>
      </c>
    </row>
    <row r="228" ht="15" customHeight="1">
      <c r="A228" t="inlineStr">
        <is>
          <t>A 20866-2025</t>
        </is>
      </c>
      <c r="B228" s="1" t="n">
        <v>45777.34456018519</v>
      </c>
      <c r="C228" s="1" t="n">
        <v>45901</v>
      </c>
      <c r="D228" t="inlineStr">
        <is>
          <t>JÄMTLANDS LÄN</t>
        </is>
      </c>
      <c r="E228" t="inlineStr">
        <is>
          <t>BRÄCKE</t>
        </is>
      </c>
      <c r="F228" t="inlineStr">
        <is>
          <t>SCA</t>
        </is>
      </c>
      <c r="G228" t="n">
        <v>2.8</v>
      </c>
      <c r="H228" t="n">
        <v>0</v>
      </c>
      <c r="I228" t="n">
        <v>0</v>
      </c>
      <c r="J228" t="n">
        <v>1</v>
      </c>
      <c r="K228" t="n">
        <v>0</v>
      </c>
      <c r="L228" t="n">
        <v>0</v>
      </c>
      <c r="M228" t="n">
        <v>0</v>
      </c>
      <c r="N228" t="n">
        <v>0</v>
      </c>
      <c r="O228" t="n">
        <v>1</v>
      </c>
      <c r="P228" t="n">
        <v>0</v>
      </c>
      <c r="Q228" t="n">
        <v>1</v>
      </c>
      <c r="R228" s="2" t="inlineStr">
        <is>
          <t>Violettgrå tagellav</t>
        </is>
      </c>
      <c r="S228">
        <f>HYPERLINK("https://klasma.github.io/Logging_2305/artfynd/A 20866-2025 artfynd.xlsx", "A 20866-2025")</f>
        <v/>
      </c>
      <c r="T228">
        <f>HYPERLINK("https://klasma.github.io/Logging_2305/kartor/A 20866-2025 karta.png", "A 20866-2025")</f>
        <v/>
      </c>
      <c r="V228">
        <f>HYPERLINK("https://klasma.github.io/Logging_2305/klagomål/A 20866-2025 FSC-klagomål.docx", "A 20866-2025")</f>
        <v/>
      </c>
      <c r="W228">
        <f>HYPERLINK("https://klasma.github.io/Logging_2305/klagomålsmail/A 20866-2025 FSC-klagomål mail.docx", "A 20866-2025")</f>
        <v/>
      </c>
      <c r="X228">
        <f>HYPERLINK("https://klasma.github.io/Logging_2305/tillsyn/A 20866-2025 tillsynsbegäran.docx", "A 20866-2025")</f>
        <v/>
      </c>
      <c r="Y228">
        <f>HYPERLINK("https://klasma.github.io/Logging_2305/tillsynsmail/A 20866-2025 tillsynsbegäran mail.docx", "A 20866-2025")</f>
        <v/>
      </c>
    </row>
    <row r="229" ht="15" customHeight="1">
      <c r="A229" t="inlineStr">
        <is>
          <t>A 15076-2022</t>
        </is>
      </c>
      <c r="B229" s="1" t="n">
        <v>44657</v>
      </c>
      <c r="C229" s="1" t="n">
        <v>45901</v>
      </c>
      <c r="D229" t="inlineStr">
        <is>
          <t>JÄMTLANDS LÄN</t>
        </is>
      </c>
      <c r="E229" t="inlineStr">
        <is>
          <t>BRÄCKE</t>
        </is>
      </c>
      <c r="G229" t="n">
        <v>24.7</v>
      </c>
      <c r="H229" t="n">
        <v>0</v>
      </c>
      <c r="I229" t="n">
        <v>0</v>
      </c>
      <c r="J229" t="n">
        <v>1</v>
      </c>
      <c r="K229" t="n">
        <v>0</v>
      </c>
      <c r="L229" t="n">
        <v>0</v>
      </c>
      <c r="M229" t="n">
        <v>0</v>
      </c>
      <c r="N229" t="n">
        <v>0</v>
      </c>
      <c r="O229" t="n">
        <v>1</v>
      </c>
      <c r="P229" t="n">
        <v>0</v>
      </c>
      <c r="Q229" t="n">
        <v>1</v>
      </c>
      <c r="R229" s="2" t="inlineStr">
        <is>
          <t>Skrovellav</t>
        </is>
      </c>
      <c r="S229">
        <f>HYPERLINK("https://klasma.github.io/Logging_2305/artfynd/A 15076-2022 artfynd.xlsx", "A 15076-2022")</f>
        <v/>
      </c>
      <c r="T229">
        <f>HYPERLINK("https://klasma.github.io/Logging_2305/kartor/A 15076-2022 karta.png", "A 15076-2022")</f>
        <v/>
      </c>
      <c r="V229">
        <f>HYPERLINK("https://klasma.github.io/Logging_2305/klagomål/A 15076-2022 FSC-klagomål.docx", "A 15076-2022")</f>
        <v/>
      </c>
      <c r="W229">
        <f>HYPERLINK("https://klasma.github.io/Logging_2305/klagomålsmail/A 15076-2022 FSC-klagomål mail.docx", "A 15076-2022")</f>
        <v/>
      </c>
      <c r="X229">
        <f>HYPERLINK("https://klasma.github.io/Logging_2305/tillsyn/A 15076-2022 tillsynsbegäran.docx", "A 15076-2022")</f>
        <v/>
      </c>
      <c r="Y229">
        <f>HYPERLINK("https://klasma.github.io/Logging_2305/tillsynsmail/A 15076-2022 tillsynsbegäran mail.docx", "A 15076-2022")</f>
        <v/>
      </c>
    </row>
    <row r="230" ht="15" customHeight="1">
      <c r="A230" t="inlineStr">
        <is>
          <t>A 21428-2025</t>
        </is>
      </c>
      <c r="B230" s="1" t="n">
        <v>45782.51072916666</v>
      </c>
      <c r="C230" s="1" t="n">
        <v>45901</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Lunglav</t>
        </is>
      </c>
      <c r="S230">
        <f>HYPERLINK("https://klasma.github.io/Logging_2305/artfynd/A 21428-2025 artfynd.xlsx", "A 21428-2025")</f>
        <v/>
      </c>
      <c r="T230">
        <f>HYPERLINK("https://klasma.github.io/Logging_2305/kartor/A 21428-2025 karta.png", "A 21428-2025")</f>
        <v/>
      </c>
      <c r="V230">
        <f>HYPERLINK("https://klasma.github.io/Logging_2305/klagomål/A 21428-2025 FSC-klagomål.docx", "A 21428-2025")</f>
        <v/>
      </c>
      <c r="W230">
        <f>HYPERLINK("https://klasma.github.io/Logging_2305/klagomålsmail/A 21428-2025 FSC-klagomål mail.docx", "A 21428-2025")</f>
        <v/>
      </c>
      <c r="X230">
        <f>HYPERLINK("https://klasma.github.io/Logging_2305/tillsyn/A 21428-2025 tillsynsbegäran.docx", "A 21428-2025")</f>
        <v/>
      </c>
      <c r="Y230">
        <f>HYPERLINK("https://klasma.github.io/Logging_2305/tillsynsmail/A 21428-2025 tillsynsbegäran mail.docx", "A 21428-2025")</f>
        <v/>
      </c>
    </row>
    <row r="231" ht="15" customHeight="1">
      <c r="A231" t="inlineStr">
        <is>
          <t>A 55931-2023</t>
        </is>
      </c>
      <c r="B231" s="1" t="n">
        <v>45239</v>
      </c>
      <c r="C231" s="1" t="n">
        <v>45901</v>
      </c>
      <c r="D231" t="inlineStr">
        <is>
          <t>JÄMTLANDS LÄN</t>
        </is>
      </c>
      <c r="E231" t="inlineStr">
        <is>
          <t>BRÄCKE</t>
        </is>
      </c>
      <c r="F231" t="inlineStr">
        <is>
          <t>Kyrkan</t>
        </is>
      </c>
      <c r="G231" t="n">
        <v>1.2</v>
      </c>
      <c r="H231" t="n">
        <v>0</v>
      </c>
      <c r="I231" t="n">
        <v>0</v>
      </c>
      <c r="J231" t="n">
        <v>1</v>
      </c>
      <c r="K231" t="n">
        <v>0</v>
      </c>
      <c r="L231" t="n">
        <v>0</v>
      </c>
      <c r="M231" t="n">
        <v>0</v>
      </c>
      <c r="N231" t="n">
        <v>0</v>
      </c>
      <c r="O231" t="n">
        <v>1</v>
      </c>
      <c r="P231" t="n">
        <v>0</v>
      </c>
      <c r="Q231" t="n">
        <v>1</v>
      </c>
      <c r="R231" s="2" t="inlineStr">
        <is>
          <t>Harticka</t>
        </is>
      </c>
      <c r="S231">
        <f>HYPERLINK("https://klasma.github.io/Logging_2305/artfynd/A 55931-2023 artfynd.xlsx", "A 55931-2023")</f>
        <v/>
      </c>
      <c r="T231">
        <f>HYPERLINK("https://klasma.github.io/Logging_2305/kartor/A 55931-2023 karta.png", "A 55931-2023")</f>
        <v/>
      </c>
      <c r="V231">
        <f>HYPERLINK("https://klasma.github.io/Logging_2305/klagomål/A 55931-2023 FSC-klagomål.docx", "A 55931-2023")</f>
        <v/>
      </c>
      <c r="W231">
        <f>HYPERLINK("https://klasma.github.io/Logging_2305/klagomålsmail/A 55931-2023 FSC-klagomål mail.docx", "A 55931-2023")</f>
        <v/>
      </c>
      <c r="X231">
        <f>HYPERLINK("https://klasma.github.io/Logging_2305/tillsyn/A 55931-2023 tillsynsbegäran.docx", "A 55931-2023")</f>
        <v/>
      </c>
      <c r="Y231">
        <f>HYPERLINK("https://klasma.github.io/Logging_2305/tillsynsmail/A 55931-2023 tillsynsbegäran mail.docx", "A 55931-2023")</f>
        <v/>
      </c>
    </row>
    <row r="232" ht="15" customHeight="1">
      <c r="A232" t="inlineStr">
        <is>
          <t>A 29215-2024</t>
        </is>
      </c>
      <c r="B232" s="1" t="n">
        <v>45482.67827546296</v>
      </c>
      <c r="C232" s="1" t="n">
        <v>45901</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45901</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20768-2024</t>
        </is>
      </c>
      <c r="B234" s="1" t="n">
        <v>45436.94594907408</v>
      </c>
      <c r="C234" s="1" t="n">
        <v>45901</v>
      </c>
      <c r="D234" t="inlineStr">
        <is>
          <t>JÄMTLANDS LÄN</t>
        </is>
      </c>
      <c r="E234" t="inlineStr">
        <is>
          <t>BRÄCKE</t>
        </is>
      </c>
      <c r="F234" t="inlineStr">
        <is>
          <t>SCA</t>
        </is>
      </c>
      <c r="G234" t="n">
        <v>12.6</v>
      </c>
      <c r="H234" t="n">
        <v>1</v>
      </c>
      <c r="I234" t="n">
        <v>0</v>
      </c>
      <c r="J234" t="n">
        <v>0</v>
      </c>
      <c r="K234" t="n">
        <v>1</v>
      </c>
      <c r="L234" t="n">
        <v>0</v>
      </c>
      <c r="M234" t="n">
        <v>0</v>
      </c>
      <c r="N234" t="n">
        <v>0</v>
      </c>
      <c r="O234" t="n">
        <v>1</v>
      </c>
      <c r="P234" t="n">
        <v>1</v>
      </c>
      <c r="Q234" t="n">
        <v>1</v>
      </c>
      <c r="R234" s="2" t="inlineStr">
        <is>
          <t>Doftticka</t>
        </is>
      </c>
      <c r="S234">
        <f>HYPERLINK("https://klasma.github.io/Logging_2305/artfynd/A 20768-2024 artfynd.xlsx", "A 20768-2024")</f>
        <v/>
      </c>
      <c r="T234">
        <f>HYPERLINK("https://klasma.github.io/Logging_2305/kartor/A 20768-2024 karta.png", "A 20768-2024")</f>
        <v/>
      </c>
      <c r="V234">
        <f>HYPERLINK("https://klasma.github.io/Logging_2305/klagomål/A 20768-2024 FSC-klagomål.docx", "A 20768-2024")</f>
        <v/>
      </c>
      <c r="W234">
        <f>HYPERLINK("https://klasma.github.io/Logging_2305/klagomålsmail/A 20768-2024 FSC-klagomål mail.docx", "A 20768-2024")</f>
        <v/>
      </c>
      <c r="X234">
        <f>HYPERLINK("https://klasma.github.io/Logging_2305/tillsyn/A 20768-2024 tillsynsbegäran.docx", "A 20768-2024")</f>
        <v/>
      </c>
      <c r="Y234">
        <f>HYPERLINK("https://klasma.github.io/Logging_2305/tillsynsmail/A 20768-2024 tillsynsbegäran mail.docx", "A 20768-2024")</f>
        <v/>
      </c>
    </row>
    <row r="235" ht="15" customHeight="1">
      <c r="A235" t="inlineStr">
        <is>
          <t>A 12062-2023</t>
        </is>
      </c>
      <c r="B235" s="1" t="n">
        <v>44996</v>
      </c>
      <c r="C235" s="1" t="n">
        <v>45901</v>
      </c>
      <c r="D235" t="inlineStr">
        <is>
          <t>JÄMTLANDS LÄN</t>
        </is>
      </c>
      <c r="E235" t="inlineStr">
        <is>
          <t>BRÄCKE</t>
        </is>
      </c>
      <c r="G235" t="n">
        <v>5.4</v>
      </c>
      <c r="H235" t="n">
        <v>0</v>
      </c>
      <c r="I235" t="n">
        <v>0</v>
      </c>
      <c r="J235" t="n">
        <v>1</v>
      </c>
      <c r="K235" t="n">
        <v>0</v>
      </c>
      <c r="L235" t="n">
        <v>0</v>
      </c>
      <c r="M235" t="n">
        <v>0</v>
      </c>
      <c r="N235" t="n">
        <v>0</v>
      </c>
      <c r="O235" t="n">
        <v>1</v>
      </c>
      <c r="P235" t="n">
        <v>0</v>
      </c>
      <c r="Q235" t="n">
        <v>1</v>
      </c>
      <c r="R235" s="2" t="inlineStr">
        <is>
          <t>Lunglav</t>
        </is>
      </c>
      <c r="S235">
        <f>HYPERLINK("https://klasma.github.io/Logging_2305/artfynd/A 12062-2023 artfynd.xlsx", "A 12062-2023")</f>
        <v/>
      </c>
      <c r="T235">
        <f>HYPERLINK("https://klasma.github.io/Logging_2305/kartor/A 12062-2023 karta.png", "A 12062-2023")</f>
        <v/>
      </c>
      <c r="V235">
        <f>HYPERLINK("https://klasma.github.io/Logging_2305/klagomål/A 12062-2023 FSC-klagomål.docx", "A 12062-2023")</f>
        <v/>
      </c>
      <c r="W235">
        <f>HYPERLINK("https://klasma.github.io/Logging_2305/klagomålsmail/A 12062-2023 FSC-klagomål mail.docx", "A 12062-2023")</f>
        <v/>
      </c>
      <c r="X235">
        <f>HYPERLINK("https://klasma.github.io/Logging_2305/tillsyn/A 12062-2023 tillsynsbegäran.docx", "A 12062-2023")</f>
        <v/>
      </c>
      <c r="Y235">
        <f>HYPERLINK("https://klasma.github.io/Logging_2305/tillsynsmail/A 12062-2023 tillsynsbegäran mail.docx", "A 12062-2023")</f>
        <v/>
      </c>
    </row>
    <row r="236" ht="15" customHeight="1">
      <c r="A236" t="inlineStr">
        <is>
          <t>A 725-2023</t>
        </is>
      </c>
      <c r="B236" s="1" t="n">
        <v>44930</v>
      </c>
      <c r="C236" s="1" t="n">
        <v>45901</v>
      </c>
      <c r="D236" t="inlineStr">
        <is>
          <t>JÄMTLANDS LÄN</t>
        </is>
      </c>
      <c r="E236" t="inlineStr">
        <is>
          <t>BRÄCKE</t>
        </is>
      </c>
      <c r="F236" t="inlineStr">
        <is>
          <t>SCA</t>
        </is>
      </c>
      <c r="G236" t="n">
        <v>0.9</v>
      </c>
      <c r="H236" t="n">
        <v>0</v>
      </c>
      <c r="I236" t="n">
        <v>0</v>
      </c>
      <c r="J236" t="n">
        <v>1</v>
      </c>
      <c r="K236" t="n">
        <v>0</v>
      </c>
      <c r="L236" t="n">
        <v>0</v>
      </c>
      <c r="M236" t="n">
        <v>0</v>
      </c>
      <c r="N236" t="n">
        <v>0</v>
      </c>
      <c r="O236" t="n">
        <v>1</v>
      </c>
      <c r="P236" t="n">
        <v>0</v>
      </c>
      <c r="Q236" t="n">
        <v>1</v>
      </c>
      <c r="R236" s="2" t="inlineStr">
        <is>
          <t>Kolflarnlav</t>
        </is>
      </c>
      <c r="S236">
        <f>HYPERLINK("https://klasma.github.io/Logging_2305/artfynd/A 725-2023 artfynd.xlsx", "A 725-2023")</f>
        <v/>
      </c>
      <c r="T236">
        <f>HYPERLINK("https://klasma.github.io/Logging_2305/kartor/A 725-2023 karta.png", "A 725-2023")</f>
        <v/>
      </c>
      <c r="V236">
        <f>HYPERLINK("https://klasma.github.io/Logging_2305/klagomål/A 725-2023 FSC-klagomål.docx", "A 725-2023")</f>
        <v/>
      </c>
      <c r="W236">
        <f>HYPERLINK("https://klasma.github.io/Logging_2305/klagomålsmail/A 725-2023 FSC-klagomål mail.docx", "A 725-2023")</f>
        <v/>
      </c>
      <c r="X236">
        <f>HYPERLINK("https://klasma.github.io/Logging_2305/tillsyn/A 725-2023 tillsynsbegäran.docx", "A 725-2023")</f>
        <v/>
      </c>
      <c r="Y236">
        <f>HYPERLINK("https://klasma.github.io/Logging_2305/tillsynsmail/A 725-2023 tillsynsbegäran mail.docx", "A 725-2023")</f>
        <v/>
      </c>
    </row>
    <row r="237" ht="15" customHeight="1">
      <c r="A237" t="inlineStr">
        <is>
          <t>A 22651-2025</t>
        </is>
      </c>
      <c r="B237" s="1" t="n">
        <v>45789.46907407408</v>
      </c>
      <c r="C237" s="1" t="n">
        <v>45901</v>
      </c>
      <c r="D237" t="inlineStr">
        <is>
          <t>JÄMTLANDS LÄN</t>
        </is>
      </c>
      <c r="E237" t="inlineStr">
        <is>
          <t>BRÄCKE</t>
        </is>
      </c>
      <c r="F237" t="inlineStr">
        <is>
          <t>SCA</t>
        </is>
      </c>
      <c r="G237" t="n">
        <v>2.3</v>
      </c>
      <c r="H237" t="n">
        <v>1</v>
      </c>
      <c r="I237" t="n">
        <v>1</v>
      </c>
      <c r="J237" t="n">
        <v>0</v>
      </c>
      <c r="K237" t="n">
        <v>0</v>
      </c>
      <c r="L237" t="n">
        <v>0</v>
      </c>
      <c r="M237" t="n">
        <v>0</v>
      </c>
      <c r="N237" t="n">
        <v>0</v>
      </c>
      <c r="O237" t="n">
        <v>0</v>
      </c>
      <c r="P237" t="n">
        <v>0</v>
      </c>
      <c r="Q237" t="n">
        <v>1</v>
      </c>
      <c r="R237" s="2" t="inlineStr">
        <is>
          <t>Guckusko</t>
        </is>
      </c>
      <c r="S237">
        <f>HYPERLINK("https://klasma.github.io/Logging_2305/artfynd/A 22651-2025 artfynd.xlsx", "A 22651-2025")</f>
        <v/>
      </c>
      <c r="T237">
        <f>HYPERLINK("https://klasma.github.io/Logging_2305/kartor/A 22651-2025 karta.png", "A 22651-2025")</f>
        <v/>
      </c>
      <c r="V237">
        <f>HYPERLINK("https://klasma.github.io/Logging_2305/klagomål/A 22651-2025 FSC-klagomål.docx", "A 22651-2025")</f>
        <v/>
      </c>
      <c r="W237">
        <f>HYPERLINK("https://klasma.github.io/Logging_2305/klagomålsmail/A 22651-2025 FSC-klagomål mail.docx", "A 22651-2025")</f>
        <v/>
      </c>
      <c r="X237">
        <f>HYPERLINK("https://klasma.github.io/Logging_2305/tillsyn/A 22651-2025 tillsynsbegäran.docx", "A 22651-2025")</f>
        <v/>
      </c>
      <c r="Y237">
        <f>HYPERLINK("https://klasma.github.io/Logging_2305/tillsynsmail/A 22651-2025 tillsynsbegäran mail.docx", "A 22651-2025")</f>
        <v/>
      </c>
    </row>
    <row r="238" ht="15" customHeight="1">
      <c r="A238" t="inlineStr">
        <is>
          <t>A 23460-2025</t>
        </is>
      </c>
      <c r="B238" s="1" t="n">
        <v>45792.42776620371</v>
      </c>
      <c r="C238" s="1" t="n">
        <v>45901</v>
      </c>
      <c r="D238" t="inlineStr">
        <is>
          <t>JÄMTLANDS LÄN</t>
        </is>
      </c>
      <c r="E238" t="inlineStr">
        <is>
          <t>BRÄCKE</t>
        </is>
      </c>
      <c r="F238" t="inlineStr">
        <is>
          <t>SCA</t>
        </is>
      </c>
      <c r="G238" t="n">
        <v>2.3</v>
      </c>
      <c r="H238" t="n">
        <v>0</v>
      </c>
      <c r="I238" t="n">
        <v>1</v>
      </c>
      <c r="J238" t="n">
        <v>0</v>
      </c>
      <c r="K238" t="n">
        <v>0</v>
      </c>
      <c r="L238" t="n">
        <v>0</v>
      </c>
      <c r="M238" t="n">
        <v>0</v>
      </c>
      <c r="N238" t="n">
        <v>0</v>
      </c>
      <c r="O238" t="n">
        <v>0</v>
      </c>
      <c r="P238" t="n">
        <v>0</v>
      </c>
      <c r="Q238" t="n">
        <v>1</v>
      </c>
      <c r="R238" s="2" t="inlineStr">
        <is>
          <t>Underviol</t>
        </is>
      </c>
      <c r="S238">
        <f>HYPERLINK("https://klasma.github.io/Logging_2305/artfynd/A 23460-2025 artfynd.xlsx", "A 23460-2025")</f>
        <v/>
      </c>
      <c r="T238">
        <f>HYPERLINK("https://klasma.github.io/Logging_2305/kartor/A 23460-2025 karta.png", "A 23460-2025")</f>
        <v/>
      </c>
      <c r="V238">
        <f>HYPERLINK("https://klasma.github.io/Logging_2305/klagomål/A 23460-2025 FSC-klagomål.docx", "A 23460-2025")</f>
        <v/>
      </c>
      <c r="W238">
        <f>HYPERLINK("https://klasma.github.io/Logging_2305/klagomålsmail/A 23460-2025 FSC-klagomål mail.docx", "A 23460-2025")</f>
        <v/>
      </c>
      <c r="X238">
        <f>HYPERLINK("https://klasma.github.io/Logging_2305/tillsyn/A 23460-2025 tillsynsbegäran.docx", "A 23460-2025")</f>
        <v/>
      </c>
      <c r="Y238">
        <f>HYPERLINK("https://klasma.github.io/Logging_2305/tillsynsmail/A 23460-2025 tillsynsbegäran mail.docx", "A 23460-2025")</f>
        <v/>
      </c>
    </row>
    <row r="239" ht="15" customHeight="1">
      <c r="A239" t="inlineStr">
        <is>
          <t>A 8730-2025</t>
        </is>
      </c>
      <c r="B239" s="1" t="n">
        <v>45712.53157407408</v>
      </c>
      <c r="C239" s="1" t="n">
        <v>45901</v>
      </c>
      <c r="D239" t="inlineStr">
        <is>
          <t>JÄMTLANDS LÄN</t>
        </is>
      </c>
      <c r="E239" t="inlineStr">
        <is>
          <t>BRÄCKE</t>
        </is>
      </c>
      <c r="F239" t="inlineStr">
        <is>
          <t>SCA</t>
        </is>
      </c>
      <c r="G239" t="n">
        <v>7.7</v>
      </c>
      <c r="H239" t="n">
        <v>0</v>
      </c>
      <c r="I239" t="n">
        <v>0</v>
      </c>
      <c r="J239" t="n">
        <v>1</v>
      </c>
      <c r="K239" t="n">
        <v>0</v>
      </c>
      <c r="L239" t="n">
        <v>0</v>
      </c>
      <c r="M239" t="n">
        <v>0</v>
      </c>
      <c r="N239" t="n">
        <v>0</v>
      </c>
      <c r="O239" t="n">
        <v>1</v>
      </c>
      <c r="P239" t="n">
        <v>0</v>
      </c>
      <c r="Q239" t="n">
        <v>1</v>
      </c>
      <c r="R239" s="2" t="inlineStr">
        <is>
          <t>Lunglav</t>
        </is>
      </c>
      <c r="S239">
        <f>HYPERLINK("https://klasma.github.io/Logging_2305/artfynd/A 8730-2025 artfynd.xlsx", "A 8730-2025")</f>
        <v/>
      </c>
      <c r="T239">
        <f>HYPERLINK("https://klasma.github.io/Logging_2305/kartor/A 8730-2025 karta.png", "A 8730-2025")</f>
        <v/>
      </c>
      <c r="V239">
        <f>HYPERLINK("https://klasma.github.io/Logging_2305/klagomål/A 8730-2025 FSC-klagomål.docx", "A 8730-2025")</f>
        <v/>
      </c>
      <c r="W239">
        <f>HYPERLINK("https://klasma.github.io/Logging_2305/klagomålsmail/A 8730-2025 FSC-klagomål mail.docx", "A 8730-2025")</f>
        <v/>
      </c>
      <c r="X239">
        <f>HYPERLINK("https://klasma.github.io/Logging_2305/tillsyn/A 8730-2025 tillsynsbegäran.docx", "A 8730-2025")</f>
        <v/>
      </c>
      <c r="Y239">
        <f>HYPERLINK("https://klasma.github.io/Logging_2305/tillsynsmail/A 8730-2025 tillsynsbegäran mail.docx", "A 8730-2025")</f>
        <v/>
      </c>
    </row>
    <row r="240" ht="15" customHeight="1">
      <c r="A240" t="inlineStr">
        <is>
          <t>A 2882-2025</t>
        </is>
      </c>
      <c r="B240" s="1" t="n">
        <v>45677.69878472222</v>
      </c>
      <c r="C240" s="1" t="n">
        <v>45901</v>
      </c>
      <c r="D240" t="inlineStr">
        <is>
          <t>JÄMTLANDS LÄN</t>
        </is>
      </c>
      <c r="E240" t="inlineStr">
        <is>
          <t>BRÄCKE</t>
        </is>
      </c>
      <c r="F240" t="inlineStr">
        <is>
          <t>SCA</t>
        </is>
      </c>
      <c r="G240" t="n">
        <v>2.7</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2882-2025 artfynd.xlsx", "A 2882-2025")</f>
        <v/>
      </c>
      <c r="T240">
        <f>HYPERLINK("https://klasma.github.io/Logging_2305/kartor/A 2882-2025 karta.png", "A 2882-2025")</f>
        <v/>
      </c>
      <c r="V240">
        <f>HYPERLINK("https://klasma.github.io/Logging_2305/klagomål/A 2882-2025 FSC-klagomål.docx", "A 2882-2025")</f>
        <v/>
      </c>
      <c r="W240">
        <f>HYPERLINK("https://klasma.github.io/Logging_2305/klagomålsmail/A 2882-2025 FSC-klagomål mail.docx", "A 2882-2025")</f>
        <v/>
      </c>
      <c r="X240">
        <f>HYPERLINK("https://klasma.github.io/Logging_2305/tillsyn/A 2882-2025 tillsynsbegäran.docx", "A 2882-2025")</f>
        <v/>
      </c>
      <c r="Y240">
        <f>HYPERLINK("https://klasma.github.io/Logging_2305/tillsynsmail/A 2882-2025 tillsynsbegäran mail.docx", "A 2882-2025")</f>
        <v/>
      </c>
    </row>
    <row r="241" ht="15" customHeight="1">
      <c r="A241" t="inlineStr">
        <is>
          <t>A 17996-2025</t>
        </is>
      </c>
      <c r="B241" s="1" t="n">
        <v>45761.40716435185</v>
      </c>
      <c r="C241" s="1" t="n">
        <v>45901</v>
      </c>
      <c r="D241" t="inlineStr">
        <is>
          <t>JÄMTLANDS LÄN</t>
        </is>
      </c>
      <c r="E241" t="inlineStr">
        <is>
          <t>BRÄCKE</t>
        </is>
      </c>
      <c r="F241" t="inlineStr">
        <is>
          <t>SCA</t>
        </is>
      </c>
      <c r="G241" t="n">
        <v>1.3</v>
      </c>
      <c r="H241" t="n">
        <v>0</v>
      </c>
      <c r="I241" t="n">
        <v>1</v>
      </c>
      <c r="J241" t="n">
        <v>0</v>
      </c>
      <c r="K241" t="n">
        <v>0</v>
      </c>
      <c r="L241" t="n">
        <v>0</v>
      </c>
      <c r="M241" t="n">
        <v>0</v>
      </c>
      <c r="N241" t="n">
        <v>0</v>
      </c>
      <c r="O241" t="n">
        <v>0</v>
      </c>
      <c r="P241" t="n">
        <v>0</v>
      </c>
      <c r="Q241" t="n">
        <v>1</v>
      </c>
      <c r="R241" s="2" t="inlineStr">
        <is>
          <t>Rödgul trumpetsvamp</t>
        </is>
      </c>
      <c r="S241">
        <f>HYPERLINK("https://klasma.github.io/Logging_2305/artfynd/A 17996-2025 artfynd.xlsx", "A 17996-2025")</f>
        <v/>
      </c>
      <c r="T241">
        <f>HYPERLINK("https://klasma.github.io/Logging_2305/kartor/A 17996-2025 karta.png", "A 17996-2025")</f>
        <v/>
      </c>
      <c r="V241">
        <f>HYPERLINK("https://klasma.github.io/Logging_2305/klagomål/A 17996-2025 FSC-klagomål.docx", "A 17996-2025")</f>
        <v/>
      </c>
      <c r="W241">
        <f>HYPERLINK("https://klasma.github.io/Logging_2305/klagomålsmail/A 17996-2025 FSC-klagomål mail.docx", "A 17996-2025")</f>
        <v/>
      </c>
      <c r="X241">
        <f>HYPERLINK("https://klasma.github.io/Logging_2305/tillsyn/A 17996-2025 tillsynsbegäran.docx", "A 17996-2025")</f>
        <v/>
      </c>
      <c r="Y241">
        <f>HYPERLINK("https://klasma.github.io/Logging_2305/tillsynsmail/A 17996-2025 tillsynsbegäran mail.docx", "A 17996-2025")</f>
        <v/>
      </c>
    </row>
    <row r="242" ht="15" customHeight="1">
      <c r="A242" t="inlineStr">
        <is>
          <t>A 235-2022</t>
        </is>
      </c>
      <c r="B242" s="1" t="n">
        <v>44564</v>
      </c>
      <c r="C242" s="1" t="n">
        <v>45901</v>
      </c>
      <c r="D242" t="inlineStr">
        <is>
          <t>JÄMTLANDS LÄN</t>
        </is>
      </c>
      <c r="E242" t="inlineStr">
        <is>
          <t>BRÄCKE</t>
        </is>
      </c>
      <c r="F242" t="inlineStr">
        <is>
          <t>SCA</t>
        </is>
      </c>
      <c r="G242" t="n">
        <v>5.8</v>
      </c>
      <c r="H242" t="n">
        <v>0</v>
      </c>
      <c r="I242" t="n">
        <v>0</v>
      </c>
      <c r="J242" t="n">
        <v>1</v>
      </c>
      <c r="K242" t="n">
        <v>0</v>
      </c>
      <c r="L242" t="n">
        <v>0</v>
      </c>
      <c r="M242" t="n">
        <v>0</v>
      </c>
      <c r="N242" t="n">
        <v>0</v>
      </c>
      <c r="O242" t="n">
        <v>1</v>
      </c>
      <c r="P242" t="n">
        <v>0</v>
      </c>
      <c r="Q242" t="n">
        <v>1</v>
      </c>
      <c r="R242" s="2" t="inlineStr">
        <is>
          <t>Harticka</t>
        </is>
      </c>
      <c r="S242">
        <f>HYPERLINK("https://klasma.github.io/Logging_2305/artfynd/A 235-2022 artfynd.xlsx", "A 235-2022")</f>
        <v/>
      </c>
      <c r="T242">
        <f>HYPERLINK("https://klasma.github.io/Logging_2305/kartor/A 235-2022 karta.png", "A 235-2022")</f>
        <v/>
      </c>
      <c r="V242">
        <f>HYPERLINK("https://klasma.github.io/Logging_2305/klagomål/A 235-2022 FSC-klagomål.docx", "A 235-2022")</f>
        <v/>
      </c>
      <c r="W242">
        <f>HYPERLINK("https://klasma.github.io/Logging_2305/klagomålsmail/A 235-2022 FSC-klagomål mail.docx", "A 235-2022")</f>
        <v/>
      </c>
      <c r="X242">
        <f>HYPERLINK("https://klasma.github.io/Logging_2305/tillsyn/A 235-2022 tillsynsbegäran.docx", "A 235-2022")</f>
        <v/>
      </c>
      <c r="Y242">
        <f>HYPERLINK("https://klasma.github.io/Logging_2305/tillsynsmail/A 235-2022 tillsynsbegäran mail.docx", "A 235-2022")</f>
        <v/>
      </c>
    </row>
    <row r="243" ht="15" customHeight="1">
      <c r="A243" t="inlineStr">
        <is>
          <t>A 24094-2025</t>
        </is>
      </c>
      <c r="B243" s="1" t="n">
        <v>45796.57335648148</v>
      </c>
      <c r="C243" s="1" t="n">
        <v>45901</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Vedskivlav</t>
        </is>
      </c>
      <c r="S243">
        <f>HYPERLINK("https://klasma.github.io/Logging_2305/artfynd/A 24094-2025 artfynd.xlsx", "A 24094-2025")</f>
        <v/>
      </c>
      <c r="T243">
        <f>HYPERLINK("https://klasma.github.io/Logging_2305/kartor/A 24094-2025 karta.png", "A 24094-2025")</f>
        <v/>
      </c>
      <c r="V243">
        <f>HYPERLINK("https://klasma.github.io/Logging_2305/klagomål/A 24094-2025 FSC-klagomål.docx", "A 24094-2025")</f>
        <v/>
      </c>
      <c r="W243">
        <f>HYPERLINK("https://klasma.github.io/Logging_2305/klagomålsmail/A 24094-2025 FSC-klagomål mail.docx", "A 24094-2025")</f>
        <v/>
      </c>
      <c r="X243">
        <f>HYPERLINK("https://klasma.github.io/Logging_2305/tillsyn/A 24094-2025 tillsynsbegäran.docx", "A 24094-2025")</f>
        <v/>
      </c>
      <c r="Y243">
        <f>HYPERLINK("https://klasma.github.io/Logging_2305/tillsynsmail/A 24094-2025 tillsynsbegäran mail.docx", "A 24094-2025")</f>
        <v/>
      </c>
    </row>
    <row r="244" ht="15" customHeight="1">
      <c r="A244" t="inlineStr">
        <is>
          <t>A 29546-2024</t>
        </is>
      </c>
      <c r="B244" s="1" t="n">
        <v>45484.50435185185</v>
      </c>
      <c r="C244" s="1" t="n">
        <v>45901</v>
      </c>
      <c r="D244" t="inlineStr">
        <is>
          <t>JÄMTLANDS LÄN</t>
        </is>
      </c>
      <c r="E244" t="inlineStr">
        <is>
          <t>BRÄCKE</t>
        </is>
      </c>
      <c r="F244" t="inlineStr">
        <is>
          <t>Övriga Aktiebolag</t>
        </is>
      </c>
      <c r="G244" t="n">
        <v>3.1</v>
      </c>
      <c r="H244" t="n">
        <v>1</v>
      </c>
      <c r="I244" t="n">
        <v>0</v>
      </c>
      <c r="J244" t="n">
        <v>1</v>
      </c>
      <c r="K244" t="n">
        <v>0</v>
      </c>
      <c r="L244" t="n">
        <v>0</v>
      </c>
      <c r="M244" t="n">
        <v>0</v>
      </c>
      <c r="N244" t="n">
        <v>0</v>
      </c>
      <c r="O244" t="n">
        <v>1</v>
      </c>
      <c r="P244" t="n">
        <v>0</v>
      </c>
      <c r="Q244" t="n">
        <v>1</v>
      </c>
      <c r="R244" s="2" t="inlineStr">
        <is>
          <t>Spillkråka</t>
        </is>
      </c>
      <c r="S244">
        <f>HYPERLINK("https://klasma.github.io/Logging_2305/artfynd/A 29546-2024 artfynd.xlsx", "A 29546-2024")</f>
        <v/>
      </c>
      <c r="T244">
        <f>HYPERLINK("https://klasma.github.io/Logging_2305/kartor/A 29546-2024 karta.png", "A 29546-2024")</f>
        <v/>
      </c>
      <c r="V244">
        <f>HYPERLINK("https://klasma.github.io/Logging_2305/klagomål/A 29546-2024 FSC-klagomål.docx", "A 29546-2024")</f>
        <v/>
      </c>
      <c r="W244">
        <f>HYPERLINK("https://klasma.github.io/Logging_2305/klagomålsmail/A 29546-2024 FSC-klagomål mail.docx", "A 29546-2024")</f>
        <v/>
      </c>
      <c r="X244">
        <f>HYPERLINK("https://klasma.github.io/Logging_2305/tillsyn/A 29546-2024 tillsynsbegäran.docx", "A 29546-2024")</f>
        <v/>
      </c>
      <c r="Y244">
        <f>HYPERLINK("https://klasma.github.io/Logging_2305/tillsynsmail/A 29546-2024 tillsynsbegäran mail.docx", "A 29546-2024")</f>
        <v/>
      </c>
      <c r="Z244">
        <f>HYPERLINK("https://klasma.github.io/Logging_2305/fåglar/A 29546-2024 prioriterade fågelarter.docx", "A 29546-2024")</f>
        <v/>
      </c>
    </row>
    <row r="245" ht="15" customHeight="1">
      <c r="A245" t="inlineStr">
        <is>
          <t>A 15189-2025</t>
        </is>
      </c>
      <c r="B245" s="1" t="n">
        <v>45744.55259259259</v>
      </c>
      <c r="C245" s="1" t="n">
        <v>45901</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45800-2024</t>
        </is>
      </c>
      <c r="B246" s="1" t="n">
        <v>45579.67771990741</v>
      </c>
      <c r="C246" s="1" t="n">
        <v>45901</v>
      </c>
      <c r="D246" t="inlineStr">
        <is>
          <t>JÄMTLANDS LÄN</t>
        </is>
      </c>
      <c r="E246" t="inlineStr">
        <is>
          <t>BRÄCKE</t>
        </is>
      </c>
      <c r="F246" t="inlineStr">
        <is>
          <t>SCA</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HYPERLINK("https://klasma.github.io/Logging_2305/artfynd/A 45800-2024 artfynd.xlsx", "A 45800-2024")</f>
        <v/>
      </c>
      <c r="T246">
        <f>HYPERLINK("https://klasma.github.io/Logging_2305/kartor/A 45800-2024 karta.png", "A 45800-2024")</f>
        <v/>
      </c>
      <c r="V246">
        <f>HYPERLINK("https://klasma.github.io/Logging_2305/klagomål/A 45800-2024 FSC-klagomål.docx", "A 45800-2024")</f>
        <v/>
      </c>
      <c r="W246">
        <f>HYPERLINK("https://klasma.github.io/Logging_2305/klagomålsmail/A 45800-2024 FSC-klagomål mail.docx", "A 45800-2024")</f>
        <v/>
      </c>
      <c r="X246">
        <f>HYPERLINK("https://klasma.github.io/Logging_2305/tillsyn/A 45800-2024 tillsynsbegäran.docx", "A 45800-2024")</f>
        <v/>
      </c>
      <c r="Y246">
        <f>HYPERLINK("https://klasma.github.io/Logging_2305/tillsynsmail/A 45800-2024 tillsynsbegäran mail.docx", "A 45800-2024")</f>
        <v/>
      </c>
    </row>
    <row r="247" ht="15" customHeight="1">
      <c r="A247" t="inlineStr">
        <is>
          <t>A 16573-2023</t>
        </is>
      </c>
      <c r="B247" s="1" t="n">
        <v>45029</v>
      </c>
      <c r="C247" s="1" t="n">
        <v>45901</v>
      </c>
      <c r="D247" t="inlineStr">
        <is>
          <t>JÄMTLANDS LÄN</t>
        </is>
      </c>
      <c r="E247" t="inlineStr">
        <is>
          <t>BRÄCKE</t>
        </is>
      </c>
      <c r="F247" t="inlineStr">
        <is>
          <t>SCA</t>
        </is>
      </c>
      <c r="G247" t="n">
        <v>9.5</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16573-2023 artfynd.xlsx", "A 16573-2023")</f>
        <v/>
      </c>
      <c r="T247">
        <f>HYPERLINK("https://klasma.github.io/Logging_2305/kartor/A 16573-2023 karta.png", "A 16573-2023")</f>
        <v/>
      </c>
      <c r="V247">
        <f>HYPERLINK("https://klasma.github.io/Logging_2305/klagomål/A 16573-2023 FSC-klagomål.docx", "A 16573-2023")</f>
        <v/>
      </c>
      <c r="W247">
        <f>HYPERLINK("https://klasma.github.io/Logging_2305/klagomålsmail/A 16573-2023 FSC-klagomål mail.docx", "A 16573-2023")</f>
        <v/>
      </c>
      <c r="X247">
        <f>HYPERLINK("https://klasma.github.io/Logging_2305/tillsyn/A 16573-2023 tillsynsbegäran.docx", "A 16573-2023")</f>
        <v/>
      </c>
      <c r="Y247">
        <f>HYPERLINK("https://klasma.github.io/Logging_2305/tillsynsmail/A 16573-2023 tillsynsbegäran mail.docx", "A 16573-2023")</f>
        <v/>
      </c>
      <c r="Z247">
        <f>HYPERLINK("https://klasma.github.io/Logging_2305/fåglar/A 16573-2023 prioriterade fågelarter.docx", "A 16573-2023")</f>
        <v/>
      </c>
    </row>
    <row r="248" ht="15" customHeight="1">
      <c r="A248" t="inlineStr">
        <is>
          <t>A 40097-2023</t>
        </is>
      </c>
      <c r="B248" s="1" t="n">
        <v>45168</v>
      </c>
      <c r="C248" s="1" t="n">
        <v>45901</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36312-2024</t>
        </is>
      </c>
      <c r="B249" s="1" t="n">
        <v>45534.63096064814</v>
      </c>
      <c r="C249" s="1" t="n">
        <v>45901</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24851-2025</t>
        </is>
      </c>
      <c r="B250" s="1" t="n">
        <v>45799.46967592592</v>
      </c>
      <c r="C250" s="1" t="n">
        <v>45901</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51910-2024</t>
        </is>
      </c>
      <c r="B251" s="1" t="n">
        <v>45607.59954861111</v>
      </c>
      <c r="C251" s="1" t="n">
        <v>45901</v>
      </c>
      <c r="D251" t="inlineStr">
        <is>
          <t>JÄMTLANDS LÄN</t>
        </is>
      </c>
      <c r="E251" t="inlineStr">
        <is>
          <t>BRÄCKE</t>
        </is>
      </c>
      <c r="G251" t="n">
        <v>2.7</v>
      </c>
      <c r="H251" t="n">
        <v>0</v>
      </c>
      <c r="I251" t="n">
        <v>0</v>
      </c>
      <c r="J251" t="n">
        <v>1</v>
      </c>
      <c r="K251" t="n">
        <v>0</v>
      </c>
      <c r="L251" t="n">
        <v>0</v>
      </c>
      <c r="M251" t="n">
        <v>0</v>
      </c>
      <c r="N251" t="n">
        <v>0</v>
      </c>
      <c r="O251" t="n">
        <v>1</v>
      </c>
      <c r="P251" t="n">
        <v>0</v>
      </c>
      <c r="Q251" t="n">
        <v>1</v>
      </c>
      <c r="R251" s="2" t="inlineStr">
        <is>
          <t>Slåtterfibbla</t>
        </is>
      </c>
      <c r="S251">
        <f>HYPERLINK("https://klasma.github.io/Logging_2305/artfynd/A 51910-2024 artfynd.xlsx", "A 51910-2024")</f>
        <v/>
      </c>
      <c r="T251">
        <f>HYPERLINK("https://klasma.github.io/Logging_2305/kartor/A 51910-2024 karta.png", "A 51910-2024")</f>
        <v/>
      </c>
      <c r="V251">
        <f>HYPERLINK("https://klasma.github.io/Logging_2305/klagomål/A 51910-2024 FSC-klagomål.docx", "A 51910-2024")</f>
        <v/>
      </c>
      <c r="W251">
        <f>HYPERLINK("https://klasma.github.io/Logging_2305/klagomålsmail/A 51910-2024 FSC-klagomål mail.docx", "A 51910-2024")</f>
        <v/>
      </c>
      <c r="X251">
        <f>HYPERLINK("https://klasma.github.io/Logging_2305/tillsyn/A 51910-2024 tillsynsbegäran.docx", "A 51910-2024")</f>
        <v/>
      </c>
      <c r="Y251">
        <f>HYPERLINK("https://klasma.github.io/Logging_2305/tillsynsmail/A 51910-2024 tillsynsbegäran mail.docx", "A 51910-2024")</f>
        <v/>
      </c>
    </row>
    <row r="252" ht="15" customHeight="1">
      <c r="A252" t="inlineStr">
        <is>
          <t>A 15462-2025</t>
        </is>
      </c>
      <c r="B252" s="1" t="n">
        <v>45747.51086805556</v>
      </c>
      <c r="C252" s="1" t="n">
        <v>45901</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2463-2025</t>
        </is>
      </c>
      <c r="B253" s="1" t="n">
        <v>45674.46915509259</v>
      </c>
      <c r="C253" s="1" t="n">
        <v>45901</v>
      </c>
      <c r="D253" t="inlineStr">
        <is>
          <t>JÄMTLANDS LÄN</t>
        </is>
      </c>
      <c r="E253" t="inlineStr">
        <is>
          <t>BRÄCKE</t>
        </is>
      </c>
      <c r="F253" t="inlineStr">
        <is>
          <t>SCA</t>
        </is>
      </c>
      <c r="G253" t="n">
        <v>3.9</v>
      </c>
      <c r="H253" t="n">
        <v>0</v>
      </c>
      <c r="I253" t="n">
        <v>1</v>
      </c>
      <c r="J253" t="n">
        <v>0</v>
      </c>
      <c r="K253" t="n">
        <v>0</v>
      </c>
      <c r="L253" t="n">
        <v>0</v>
      </c>
      <c r="M253" t="n">
        <v>0</v>
      </c>
      <c r="N253" t="n">
        <v>0</v>
      </c>
      <c r="O253" t="n">
        <v>0</v>
      </c>
      <c r="P253" t="n">
        <v>0</v>
      </c>
      <c r="Q253" t="n">
        <v>1</v>
      </c>
      <c r="R253" s="2" t="inlineStr">
        <is>
          <t>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27061-2025</t>
        </is>
      </c>
      <c r="B254" s="1" t="n">
        <v>45811.6360300926</v>
      </c>
      <c r="C254" s="1" t="n">
        <v>45901</v>
      </c>
      <c r="D254" t="inlineStr">
        <is>
          <t>JÄMTLANDS LÄN</t>
        </is>
      </c>
      <c r="E254" t="inlineStr">
        <is>
          <t>BRÄCKE</t>
        </is>
      </c>
      <c r="F254" t="inlineStr">
        <is>
          <t>SCA</t>
        </is>
      </c>
      <c r="G254" t="n">
        <v>18.9</v>
      </c>
      <c r="H254" t="n">
        <v>0</v>
      </c>
      <c r="I254" t="n">
        <v>0</v>
      </c>
      <c r="J254" t="n">
        <v>1</v>
      </c>
      <c r="K254" t="n">
        <v>0</v>
      </c>
      <c r="L254" t="n">
        <v>0</v>
      </c>
      <c r="M254" t="n">
        <v>0</v>
      </c>
      <c r="N254" t="n">
        <v>0</v>
      </c>
      <c r="O254" t="n">
        <v>1</v>
      </c>
      <c r="P254" t="n">
        <v>0</v>
      </c>
      <c r="Q254" t="n">
        <v>1</v>
      </c>
      <c r="R254" s="2" t="inlineStr">
        <is>
          <t>Lunglav</t>
        </is>
      </c>
      <c r="S254">
        <f>HYPERLINK("https://klasma.github.io/Logging_2305/artfynd/A 27061-2025 artfynd.xlsx", "A 27061-2025")</f>
        <v/>
      </c>
      <c r="T254">
        <f>HYPERLINK("https://klasma.github.io/Logging_2305/kartor/A 27061-2025 karta.png", "A 27061-2025")</f>
        <v/>
      </c>
      <c r="V254">
        <f>HYPERLINK("https://klasma.github.io/Logging_2305/klagomål/A 27061-2025 FSC-klagomål.docx", "A 27061-2025")</f>
        <v/>
      </c>
      <c r="W254">
        <f>HYPERLINK("https://klasma.github.io/Logging_2305/klagomålsmail/A 27061-2025 FSC-klagomål mail.docx", "A 27061-2025")</f>
        <v/>
      </c>
      <c r="X254">
        <f>HYPERLINK("https://klasma.github.io/Logging_2305/tillsyn/A 27061-2025 tillsynsbegäran.docx", "A 27061-2025")</f>
        <v/>
      </c>
      <c r="Y254">
        <f>HYPERLINK("https://klasma.github.io/Logging_2305/tillsynsmail/A 27061-2025 tillsynsbegäran mail.docx", "A 27061-2025")</f>
        <v/>
      </c>
    </row>
    <row r="255" ht="15" customHeight="1">
      <c r="A255" t="inlineStr">
        <is>
          <t>A 53832-2024</t>
        </is>
      </c>
      <c r="B255" s="1" t="n">
        <v>45615</v>
      </c>
      <c r="C255" s="1" t="n">
        <v>45901</v>
      </c>
      <c r="D255" t="inlineStr">
        <is>
          <t>JÄMTLANDS LÄN</t>
        </is>
      </c>
      <c r="E255" t="inlineStr">
        <is>
          <t>BRÄCKE</t>
        </is>
      </c>
      <c r="F255" t="inlineStr">
        <is>
          <t>SCA</t>
        </is>
      </c>
      <c r="G255" t="n">
        <v>4</v>
      </c>
      <c r="H255" t="n">
        <v>0</v>
      </c>
      <c r="I255" t="n">
        <v>1</v>
      </c>
      <c r="J255" t="n">
        <v>0</v>
      </c>
      <c r="K255" t="n">
        <v>0</v>
      </c>
      <c r="L255" t="n">
        <v>0</v>
      </c>
      <c r="M255" t="n">
        <v>0</v>
      </c>
      <c r="N255" t="n">
        <v>0</v>
      </c>
      <c r="O255" t="n">
        <v>0</v>
      </c>
      <c r="P255" t="n">
        <v>0</v>
      </c>
      <c r="Q255" t="n">
        <v>1</v>
      </c>
      <c r="R255" s="2" t="inlineStr">
        <is>
          <t>Dropptaggsvamp</t>
        </is>
      </c>
      <c r="S255">
        <f>HYPERLINK("https://klasma.github.io/Logging_2305/artfynd/A 53832-2024 artfynd.xlsx", "A 53832-2024")</f>
        <v/>
      </c>
      <c r="T255">
        <f>HYPERLINK("https://klasma.github.io/Logging_2305/kartor/A 53832-2024 karta.png", "A 53832-2024")</f>
        <v/>
      </c>
      <c r="V255">
        <f>HYPERLINK("https://klasma.github.io/Logging_2305/klagomål/A 53832-2024 FSC-klagomål.docx", "A 53832-2024")</f>
        <v/>
      </c>
      <c r="W255">
        <f>HYPERLINK("https://klasma.github.io/Logging_2305/klagomålsmail/A 53832-2024 FSC-klagomål mail.docx", "A 53832-2024")</f>
        <v/>
      </c>
      <c r="X255">
        <f>HYPERLINK("https://klasma.github.io/Logging_2305/tillsyn/A 53832-2024 tillsynsbegäran.docx", "A 53832-2024")</f>
        <v/>
      </c>
      <c r="Y255">
        <f>HYPERLINK("https://klasma.github.io/Logging_2305/tillsynsmail/A 53832-2024 tillsynsbegäran mail.docx", "A 53832-2024")</f>
        <v/>
      </c>
    </row>
    <row r="256" ht="15" customHeight="1">
      <c r="A256" t="inlineStr">
        <is>
          <t>A 16366-2023</t>
        </is>
      </c>
      <c r="B256" s="1" t="n">
        <v>45028</v>
      </c>
      <c r="C256" s="1" t="n">
        <v>45901</v>
      </c>
      <c r="D256" t="inlineStr">
        <is>
          <t>JÄMTLANDS LÄN</t>
        </is>
      </c>
      <c r="E256" t="inlineStr">
        <is>
          <t>BRÄCKE</t>
        </is>
      </c>
      <c r="G256" t="n">
        <v>9.1</v>
      </c>
      <c r="H256" t="n">
        <v>0</v>
      </c>
      <c r="I256" t="n">
        <v>0</v>
      </c>
      <c r="J256" t="n">
        <v>1</v>
      </c>
      <c r="K256" t="n">
        <v>0</v>
      </c>
      <c r="L256" t="n">
        <v>0</v>
      </c>
      <c r="M256" t="n">
        <v>0</v>
      </c>
      <c r="N256" t="n">
        <v>0</v>
      </c>
      <c r="O256" t="n">
        <v>1</v>
      </c>
      <c r="P256" t="n">
        <v>0</v>
      </c>
      <c r="Q256" t="n">
        <v>1</v>
      </c>
      <c r="R256" s="2" t="inlineStr">
        <is>
          <t>Lunglav</t>
        </is>
      </c>
      <c r="S256">
        <f>HYPERLINK("https://klasma.github.io/Logging_2305/artfynd/A 16366-2023 artfynd.xlsx", "A 16366-2023")</f>
        <v/>
      </c>
      <c r="T256">
        <f>HYPERLINK("https://klasma.github.io/Logging_2305/kartor/A 16366-2023 karta.png", "A 16366-2023")</f>
        <v/>
      </c>
      <c r="V256">
        <f>HYPERLINK("https://klasma.github.io/Logging_2305/klagomål/A 16366-2023 FSC-klagomål.docx", "A 16366-2023")</f>
        <v/>
      </c>
      <c r="W256">
        <f>HYPERLINK("https://klasma.github.io/Logging_2305/klagomålsmail/A 16366-2023 FSC-klagomål mail.docx", "A 16366-2023")</f>
        <v/>
      </c>
      <c r="X256">
        <f>HYPERLINK("https://klasma.github.io/Logging_2305/tillsyn/A 16366-2023 tillsynsbegäran.docx", "A 16366-2023")</f>
        <v/>
      </c>
      <c r="Y256">
        <f>HYPERLINK("https://klasma.github.io/Logging_2305/tillsynsmail/A 16366-2023 tillsynsbegäran mail.docx", "A 16366-2023")</f>
        <v/>
      </c>
    </row>
    <row r="257" ht="15" customHeight="1">
      <c r="A257" t="inlineStr">
        <is>
          <t>A 14251-2025</t>
        </is>
      </c>
      <c r="B257" s="1" t="n">
        <v>45740.61586805555</v>
      </c>
      <c r="C257" s="1" t="n">
        <v>45901</v>
      </c>
      <c r="D257" t="inlineStr">
        <is>
          <t>JÄMTLANDS LÄN</t>
        </is>
      </c>
      <c r="E257" t="inlineStr">
        <is>
          <t>BRÄCKE</t>
        </is>
      </c>
      <c r="F257" t="inlineStr">
        <is>
          <t>SCA</t>
        </is>
      </c>
      <c r="G257" t="n">
        <v>28.5</v>
      </c>
      <c r="H257" t="n">
        <v>1</v>
      </c>
      <c r="I257" t="n">
        <v>0</v>
      </c>
      <c r="J257" t="n">
        <v>1</v>
      </c>
      <c r="K257" t="n">
        <v>0</v>
      </c>
      <c r="L257" t="n">
        <v>0</v>
      </c>
      <c r="M257" t="n">
        <v>0</v>
      </c>
      <c r="N257" t="n">
        <v>0</v>
      </c>
      <c r="O257" t="n">
        <v>1</v>
      </c>
      <c r="P257" t="n">
        <v>0</v>
      </c>
      <c r="Q257" t="n">
        <v>1</v>
      </c>
      <c r="R257" s="2" t="inlineStr">
        <is>
          <t>Järpe</t>
        </is>
      </c>
      <c r="S257">
        <f>HYPERLINK("https://klasma.github.io/Logging_2305/artfynd/A 14251-2025 artfynd.xlsx", "A 14251-2025")</f>
        <v/>
      </c>
      <c r="T257">
        <f>HYPERLINK("https://klasma.github.io/Logging_2305/kartor/A 14251-2025 karta.png", "A 14251-2025")</f>
        <v/>
      </c>
      <c r="V257">
        <f>HYPERLINK("https://klasma.github.io/Logging_2305/klagomål/A 14251-2025 FSC-klagomål.docx", "A 14251-2025")</f>
        <v/>
      </c>
      <c r="W257">
        <f>HYPERLINK("https://klasma.github.io/Logging_2305/klagomålsmail/A 14251-2025 FSC-klagomål mail.docx", "A 14251-2025")</f>
        <v/>
      </c>
      <c r="X257">
        <f>HYPERLINK("https://klasma.github.io/Logging_2305/tillsyn/A 14251-2025 tillsynsbegäran.docx", "A 14251-2025")</f>
        <v/>
      </c>
      <c r="Y257">
        <f>HYPERLINK("https://klasma.github.io/Logging_2305/tillsynsmail/A 14251-2025 tillsynsbegäran mail.docx", "A 14251-2025")</f>
        <v/>
      </c>
      <c r="Z257">
        <f>HYPERLINK("https://klasma.github.io/Logging_2305/fåglar/A 14251-2025 prioriterade fågelarter.docx", "A 14251-2025")</f>
        <v/>
      </c>
    </row>
    <row r="258" ht="15" customHeight="1">
      <c r="A258" t="inlineStr">
        <is>
          <t>A 14628-2022</t>
        </is>
      </c>
      <c r="B258" s="1" t="n">
        <v>44655</v>
      </c>
      <c r="C258" s="1" t="n">
        <v>45901</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27860-2025</t>
        </is>
      </c>
      <c r="B259" s="1" t="n">
        <v>45817.41630787037</v>
      </c>
      <c r="C259" s="1" t="n">
        <v>45901</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41486-2024</t>
        </is>
      </c>
      <c r="B260" s="1" t="n">
        <v>45560.44907407407</v>
      </c>
      <c r="C260" s="1" t="n">
        <v>45901</v>
      </c>
      <c r="D260" t="inlineStr">
        <is>
          <t>JÄMTLANDS LÄN</t>
        </is>
      </c>
      <c r="E260" t="inlineStr">
        <is>
          <t>BRÄCKE</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HYPERLINK("https://klasma.github.io/Logging_2305/artfynd/A 41486-2024 artfynd.xlsx", "A 41486-2024")</f>
        <v/>
      </c>
      <c r="T260">
        <f>HYPERLINK("https://klasma.github.io/Logging_2305/kartor/A 41486-2024 karta.png", "A 41486-2024")</f>
        <v/>
      </c>
      <c r="V260">
        <f>HYPERLINK("https://klasma.github.io/Logging_2305/klagomål/A 41486-2024 FSC-klagomål.docx", "A 41486-2024")</f>
        <v/>
      </c>
      <c r="W260">
        <f>HYPERLINK("https://klasma.github.io/Logging_2305/klagomålsmail/A 41486-2024 FSC-klagomål mail.docx", "A 41486-2024")</f>
        <v/>
      </c>
      <c r="X260">
        <f>HYPERLINK("https://klasma.github.io/Logging_2305/tillsyn/A 41486-2024 tillsynsbegäran.docx", "A 41486-2024")</f>
        <v/>
      </c>
      <c r="Y260">
        <f>HYPERLINK("https://klasma.github.io/Logging_2305/tillsynsmail/A 41486-2024 tillsynsbegäran mail.docx", "A 41486-2024")</f>
        <v/>
      </c>
    </row>
    <row r="261" ht="15" customHeight="1">
      <c r="A261" t="inlineStr">
        <is>
          <t>A 28676-2025</t>
        </is>
      </c>
      <c r="B261" s="1" t="n">
        <v>45819.67771990741</v>
      </c>
      <c r="C261" s="1" t="n">
        <v>45901</v>
      </c>
      <c r="D261" t="inlineStr">
        <is>
          <t>JÄMTLANDS LÄN</t>
        </is>
      </c>
      <c r="E261" t="inlineStr">
        <is>
          <t>BRÄCKE</t>
        </is>
      </c>
      <c r="G261" t="n">
        <v>1.2</v>
      </c>
      <c r="H261" t="n">
        <v>0</v>
      </c>
      <c r="I261" t="n">
        <v>1</v>
      </c>
      <c r="J261" t="n">
        <v>0</v>
      </c>
      <c r="K261" t="n">
        <v>0</v>
      </c>
      <c r="L261" t="n">
        <v>0</v>
      </c>
      <c r="M261" t="n">
        <v>0</v>
      </c>
      <c r="N261" t="n">
        <v>0</v>
      </c>
      <c r="O261" t="n">
        <v>0</v>
      </c>
      <c r="P261" t="n">
        <v>0</v>
      </c>
      <c r="Q261" t="n">
        <v>1</v>
      </c>
      <c r="R261" s="2" t="inlineStr">
        <is>
          <t>Rödgul trumpetsvamp</t>
        </is>
      </c>
      <c r="S261">
        <f>HYPERLINK("https://klasma.github.io/Logging_2305/artfynd/A 28676-2025 artfynd.xlsx", "A 28676-2025")</f>
        <v/>
      </c>
      <c r="T261">
        <f>HYPERLINK("https://klasma.github.io/Logging_2305/kartor/A 28676-2025 karta.png", "A 28676-2025")</f>
        <v/>
      </c>
      <c r="V261">
        <f>HYPERLINK("https://klasma.github.io/Logging_2305/klagomål/A 28676-2025 FSC-klagomål.docx", "A 28676-2025")</f>
        <v/>
      </c>
      <c r="W261">
        <f>HYPERLINK("https://klasma.github.io/Logging_2305/klagomålsmail/A 28676-2025 FSC-klagomål mail.docx", "A 28676-2025")</f>
        <v/>
      </c>
      <c r="X261">
        <f>HYPERLINK("https://klasma.github.io/Logging_2305/tillsyn/A 28676-2025 tillsynsbegäran.docx", "A 28676-2025")</f>
        <v/>
      </c>
      <c r="Y261">
        <f>HYPERLINK("https://klasma.github.io/Logging_2305/tillsynsmail/A 28676-2025 tillsynsbegäran mail.docx", "A 28676-2025")</f>
        <v/>
      </c>
    </row>
    <row r="262" ht="15" customHeight="1">
      <c r="A262" t="inlineStr">
        <is>
          <t>A 15366-2022</t>
        </is>
      </c>
      <c r="B262" s="1" t="n">
        <v>44659</v>
      </c>
      <c r="C262" s="1" t="n">
        <v>45901</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62079-2022</t>
        </is>
      </c>
      <c r="B263" s="1" t="n">
        <v>44918</v>
      </c>
      <c r="C263" s="1" t="n">
        <v>45901</v>
      </c>
      <c r="D263" t="inlineStr">
        <is>
          <t>JÄMTLANDS LÄN</t>
        </is>
      </c>
      <c r="E263" t="inlineStr">
        <is>
          <t>BRÄCKE</t>
        </is>
      </c>
      <c r="F263" t="inlineStr">
        <is>
          <t>SCA</t>
        </is>
      </c>
      <c r="G263" t="n">
        <v>3</v>
      </c>
      <c r="H263" t="n">
        <v>0</v>
      </c>
      <c r="I263" t="n">
        <v>0</v>
      </c>
      <c r="J263" t="n">
        <v>1</v>
      </c>
      <c r="K263" t="n">
        <v>0</v>
      </c>
      <c r="L263" t="n">
        <v>0</v>
      </c>
      <c r="M263" t="n">
        <v>0</v>
      </c>
      <c r="N263" t="n">
        <v>0</v>
      </c>
      <c r="O263" t="n">
        <v>1</v>
      </c>
      <c r="P263" t="n">
        <v>0</v>
      </c>
      <c r="Q263" t="n">
        <v>1</v>
      </c>
      <c r="R263" s="2" t="inlineStr">
        <is>
          <t>Garnlav</t>
        </is>
      </c>
      <c r="S263">
        <f>HYPERLINK("https://klasma.github.io/Logging_2305/artfynd/A 62079-2022 artfynd.xlsx", "A 62079-2022")</f>
        <v/>
      </c>
      <c r="T263">
        <f>HYPERLINK("https://klasma.github.io/Logging_2305/kartor/A 62079-2022 karta.png", "A 62079-2022")</f>
        <v/>
      </c>
      <c r="V263">
        <f>HYPERLINK("https://klasma.github.io/Logging_2305/klagomål/A 62079-2022 FSC-klagomål.docx", "A 62079-2022")</f>
        <v/>
      </c>
      <c r="W263">
        <f>HYPERLINK("https://klasma.github.io/Logging_2305/klagomålsmail/A 62079-2022 FSC-klagomål mail.docx", "A 62079-2022")</f>
        <v/>
      </c>
      <c r="X263">
        <f>HYPERLINK("https://klasma.github.io/Logging_2305/tillsyn/A 62079-2022 tillsynsbegäran.docx", "A 62079-2022")</f>
        <v/>
      </c>
      <c r="Y263">
        <f>HYPERLINK("https://klasma.github.io/Logging_2305/tillsynsmail/A 62079-2022 tillsynsbegäran mail.docx", "A 62079-2022")</f>
        <v/>
      </c>
    </row>
    <row r="264" ht="15" customHeight="1">
      <c r="A264" t="inlineStr">
        <is>
          <t>A 49325-2023</t>
        </is>
      </c>
      <c r="B264" s="1" t="n">
        <v>45210</v>
      </c>
      <c r="C264" s="1" t="n">
        <v>45901</v>
      </c>
      <c r="D264" t="inlineStr">
        <is>
          <t>JÄMTLANDS LÄN</t>
        </is>
      </c>
      <c r="E264" t="inlineStr">
        <is>
          <t>BRÄCKE</t>
        </is>
      </c>
      <c r="F264" t="inlineStr">
        <is>
          <t>SCA</t>
        </is>
      </c>
      <c r="G264" t="n">
        <v>7</v>
      </c>
      <c r="H264" t="n">
        <v>1</v>
      </c>
      <c r="I264" t="n">
        <v>0</v>
      </c>
      <c r="J264" t="n">
        <v>0</v>
      </c>
      <c r="K264" t="n">
        <v>1</v>
      </c>
      <c r="L264" t="n">
        <v>0</v>
      </c>
      <c r="M264" t="n">
        <v>0</v>
      </c>
      <c r="N264" t="n">
        <v>0</v>
      </c>
      <c r="O264" t="n">
        <v>1</v>
      </c>
      <c r="P264" t="n">
        <v>1</v>
      </c>
      <c r="Q264" t="n">
        <v>1</v>
      </c>
      <c r="R264" s="2" t="inlineStr">
        <is>
          <t>Doftticka</t>
        </is>
      </c>
      <c r="S264">
        <f>HYPERLINK("https://klasma.github.io/Logging_2305/artfynd/A 49325-2023 artfynd.xlsx", "A 49325-2023")</f>
        <v/>
      </c>
      <c r="T264">
        <f>HYPERLINK("https://klasma.github.io/Logging_2305/kartor/A 49325-2023 karta.png", "A 49325-2023")</f>
        <v/>
      </c>
      <c r="V264">
        <f>HYPERLINK("https://klasma.github.io/Logging_2305/klagomål/A 49325-2023 FSC-klagomål.docx", "A 49325-2023")</f>
        <v/>
      </c>
      <c r="W264">
        <f>HYPERLINK("https://klasma.github.io/Logging_2305/klagomålsmail/A 49325-2023 FSC-klagomål mail.docx", "A 49325-2023")</f>
        <v/>
      </c>
      <c r="X264">
        <f>HYPERLINK("https://klasma.github.io/Logging_2305/tillsyn/A 49325-2023 tillsynsbegäran.docx", "A 49325-2023")</f>
        <v/>
      </c>
      <c r="Y264">
        <f>HYPERLINK("https://klasma.github.io/Logging_2305/tillsynsmail/A 49325-2023 tillsynsbegäran mail.docx", "A 49325-2023")</f>
        <v/>
      </c>
    </row>
    <row r="265" ht="15" customHeight="1">
      <c r="A265" t="inlineStr">
        <is>
          <t>A 58777-2023</t>
        </is>
      </c>
      <c r="B265" s="1" t="n">
        <v>45251.96747685185</v>
      </c>
      <c r="C265" s="1" t="n">
        <v>45901</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37248-2025</t>
        </is>
      </c>
      <c r="B266" s="1" t="n">
        <v>45876.40665509259</v>
      </c>
      <c r="C266" s="1" t="n">
        <v>45901</v>
      </c>
      <c r="D266" t="inlineStr">
        <is>
          <t>JÄMTLANDS LÄN</t>
        </is>
      </c>
      <c r="E266" t="inlineStr">
        <is>
          <t>BRÄCKE</t>
        </is>
      </c>
      <c r="F266" t="inlineStr">
        <is>
          <t>SCA</t>
        </is>
      </c>
      <c r="G266" t="n">
        <v>5</v>
      </c>
      <c r="H266" t="n">
        <v>0</v>
      </c>
      <c r="I266" t="n">
        <v>1</v>
      </c>
      <c r="J266" t="n">
        <v>0</v>
      </c>
      <c r="K266" t="n">
        <v>0</v>
      </c>
      <c r="L266" t="n">
        <v>0</v>
      </c>
      <c r="M266" t="n">
        <v>0</v>
      </c>
      <c r="N266" t="n">
        <v>0</v>
      </c>
      <c r="O266" t="n">
        <v>0</v>
      </c>
      <c r="P266" t="n">
        <v>0</v>
      </c>
      <c r="Q266" t="n">
        <v>1</v>
      </c>
      <c r="R266" s="2" t="inlineStr">
        <is>
          <t>Vedticka</t>
        </is>
      </c>
      <c r="S266">
        <f>HYPERLINK("https://klasma.github.io/Logging_2305/artfynd/A 37248-2025 artfynd.xlsx", "A 37248-2025")</f>
        <v/>
      </c>
      <c r="T266">
        <f>HYPERLINK("https://klasma.github.io/Logging_2305/kartor/A 37248-2025 karta.png", "A 37248-2025")</f>
        <v/>
      </c>
      <c r="V266">
        <f>HYPERLINK("https://klasma.github.io/Logging_2305/klagomål/A 37248-2025 FSC-klagomål.docx", "A 37248-2025")</f>
        <v/>
      </c>
      <c r="W266">
        <f>HYPERLINK("https://klasma.github.io/Logging_2305/klagomålsmail/A 37248-2025 FSC-klagomål mail.docx", "A 37248-2025")</f>
        <v/>
      </c>
      <c r="X266">
        <f>HYPERLINK("https://klasma.github.io/Logging_2305/tillsyn/A 37248-2025 tillsynsbegäran.docx", "A 37248-2025")</f>
        <v/>
      </c>
      <c r="Y266">
        <f>HYPERLINK("https://klasma.github.io/Logging_2305/tillsynsmail/A 37248-2025 tillsynsbegäran mail.docx", "A 37248-2025")</f>
        <v/>
      </c>
    </row>
    <row r="267" ht="15" customHeight="1">
      <c r="A267" t="inlineStr">
        <is>
          <t>A 31450-2025</t>
        </is>
      </c>
      <c r="B267" s="1" t="n">
        <v>45833.53162037037</v>
      </c>
      <c r="C267" s="1" t="n">
        <v>45901</v>
      </c>
      <c r="D267" t="inlineStr">
        <is>
          <t>JÄMTLANDS LÄN</t>
        </is>
      </c>
      <c r="E267" t="inlineStr">
        <is>
          <t>BRÄCKE</t>
        </is>
      </c>
      <c r="F267" t="inlineStr">
        <is>
          <t>SCA</t>
        </is>
      </c>
      <c r="G267" t="n">
        <v>1.6</v>
      </c>
      <c r="H267" t="n">
        <v>1</v>
      </c>
      <c r="I267" t="n">
        <v>1</v>
      </c>
      <c r="J267" t="n">
        <v>0</v>
      </c>
      <c r="K267" t="n">
        <v>0</v>
      </c>
      <c r="L267" t="n">
        <v>0</v>
      </c>
      <c r="M267" t="n">
        <v>0</v>
      </c>
      <c r="N267" t="n">
        <v>0</v>
      </c>
      <c r="O267" t="n">
        <v>0</v>
      </c>
      <c r="P267" t="n">
        <v>0</v>
      </c>
      <c r="Q267" t="n">
        <v>1</v>
      </c>
      <c r="R267" s="2" t="inlineStr">
        <is>
          <t>Plattlummer</t>
        </is>
      </c>
      <c r="S267">
        <f>HYPERLINK("https://klasma.github.io/Logging_2305/artfynd/A 31450-2025 artfynd.xlsx", "A 31450-2025")</f>
        <v/>
      </c>
      <c r="T267">
        <f>HYPERLINK("https://klasma.github.io/Logging_2305/kartor/A 31450-2025 karta.png", "A 31450-2025")</f>
        <v/>
      </c>
      <c r="V267">
        <f>HYPERLINK("https://klasma.github.io/Logging_2305/klagomål/A 31450-2025 FSC-klagomål.docx", "A 31450-2025")</f>
        <v/>
      </c>
      <c r="W267">
        <f>HYPERLINK("https://klasma.github.io/Logging_2305/klagomålsmail/A 31450-2025 FSC-klagomål mail.docx", "A 31450-2025")</f>
        <v/>
      </c>
      <c r="X267">
        <f>HYPERLINK("https://klasma.github.io/Logging_2305/tillsyn/A 31450-2025 tillsynsbegäran.docx", "A 31450-2025")</f>
        <v/>
      </c>
      <c r="Y267">
        <f>HYPERLINK("https://klasma.github.io/Logging_2305/tillsynsmail/A 31450-2025 tillsynsbegäran mail.docx", "A 31450-2025")</f>
        <v/>
      </c>
    </row>
    <row r="268" ht="15" customHeight="1">
      <c r="A268" t="inlineStr">
        <is>
          <t>A 50513-2023</t>
        </is>
      </c>
      <c r="B268" s="1" t="n">
        <v>45216</v>
      </c>
      <c r="C268" s="1" t="n">
        <v>45901</v>
      </c>
      <c r="D268" t="inlineStr">
        <is>
          <t>JÄMTLANDS LÄN</t>
        </is>
      </c>
      <c r="E268" t="inlineStr">
        <is>
          <t>BRÄCKE</t>
        </is>
      </c>
      <c r="F268" t="inlineStr">
        <is>
          <t>SCA</t>
        </is>
      </c>
      <c r="G268" t="n">
        <v>1.7</v>
      </c>
      <c r="H268" t="n">
        <v>1</v>
      </c>
      <c r="I268" t="n">
        <v>0</v>
      </c>
      <c r="J268" t="n">
        <v>0</v>
      </c>
      <c r="K268" t="n">
        <v>0</v>
      </c>
      <c r="L268" t="n">
        <v>0</v>
      </c>
      <c r="M268" t="n">
        <v>0</v>
      </c>
      <c r="N268" t="n">
        <v>0</v>
      </c>
      <c r="O268" t="n">
        <v>0</v>
      </c>
      <c r="P268" t="n">
        <v>0</v>
      </c>
      <c r="Q268" t="n">
        <v>1</v>
      </c>
      <c r="R268" s="2" t="inlineStr">
        <is>
          <t>Grönsiska</t>
        </is>
      </c>
      <c r="S268">
        <f>HYPERLINK("https://klasma.github.io/Logging_2305/artfynd/A 50513-2023 artfynd.xlsx", "A 50513-2023")</f>
        <v/>
      </c>
      <c r="T268">
        <f>HYPERLINK("https://klasma.github.io/Logging_2305/kartor/A 50513-2023 karta.png", "A 50513-2023")</f>
        <v/>
      </c>
      <c r="V268">
        <f>HYPERLINK("https://klasma.github.io/Logging_2305/klagomål/A 50513-2023 FSC-klagomål.docx", "A 50513-2023")</f>
        <v/>
      </c>
      <c r="W268">
        <f>HYPERLINK("https://klasma.github.io/Logging_2305/klagomålsmail/A 50513-2023 FSC-klagomål mail.docx", "A 50513-2023")</f>
        <v/>
      </c>
      <c r="X268">
        <f>HYPERLINK("https://klasma.github.io/Logging_2305/tillsyn/A 50513-2023 tillsynsbegäran.docx", "A 50513-2023")</f>
        <v/>
      </c>
      <c r="Y268">
        <f>HYPERLINK("https://klasma.github.io/Logging_2305/tillsynsmail/A 50513-2023 tillsynsbegäran mail.docx", "A 50513-2023")</f>
        <v/>
      </c>
      <c r="Z268">
        <f>HYPERLINK("https://klasma.github.io/Logging_2305/fåglar/A 50513-2023 prioriterade fågelarter.docx", "A 50513-2023")</f>
        <v/>
      </c>
    </row>
    <row r="269" ht="15" customHeight="1">
      <c r="A269" t="inlineStr">
        <is>
          <t>A 19431-2021</t>
        </is>
      </c>
      <c r="B269" s="1" t="n">
        <v>44309</v>
      </c>
      <c r="C269" s="1" t="n">
        <v>45901</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37922-2025</t>
        </is>
      </c>
      <c r="B270" s="1" t="n">
        <v>45881.5750462963</v>
      </c>
      <c r="C270" s="1" t="n">
        <v>45901</v>
      </c>
      <c r="D270" t="inlineStr">
        <is>
          <t>JÄMTLANDS LÄN</t>
        </is>
      </c>
      <c r="E270" t="inlineStr">
        <is>
          <t>BRÄCKE</t>
        </is>
      </c>
      <c r="F270" t="inlineStr">
        <is>
          <t>SCA</t>
        </is>
      </c>
      <c r="G270" t="n">
        <v>2.1</v>
      </c>
      <c r="H270" t="n">
        <v>1</v>
      </c>
      <c r="I270" t="n">
        <v>1</v>
      </c>
      <c r="J270" t="n">
        <v>0</v>
      </c>
      <c r="K270" t="n">
        <v>0</v>
      </c>
      <c r="L270" t="n">
        <v>0</v>
      </c>
      <c r="M270" t="n">
        <v>0</v>
      </c>
      <c r="N270" t="n">
        <v>0</v>
      </c>
      <c r="O270" t="n">
        <v>0</v>
      </c>
      <c r="P270" t="n">
        <v>0</v>
      </c>
      <c r="Q270" t="n">
        <v>1</v>
      </c>
      <c r="R270" s="2" t="inlineStr">
        <is>
          <t>Plattlummer</t>
        </is>
      </c>
      <c r="S270">
        <f>HYPERLINK("https://klasma.github.io/Logging_2305/artfynd/A 37922-2025 artfynd.xlsx", "A 37922-2025")</f>
        <v/>
      </c>
      <c r="T270">
        <f>HYPERLINK("https://klasma.github.io/Logging_2305/kartor/A 37922-2025 karta.png", "A 37922-2025")</f>
        <v/>
      </c>
      <c r="V270">
        <f>HYPERLINK("https://klasma.github.io/Logging_2305/klagomål/A 37922-2025 FSC-klagomål.docx", "A 37922-2025")</f>
        <v/>
      </c>
      <c r="W270">
        <f>HYPERLINK("https://klasma.github.io/Logging_2305/klagomålsmail/A 37922-2025 FSC-klagomål mail.docx", "A 37922-2025")</f>
        <v/>
      </c>
      <c r="X270">
        <f>HYPERLINK("https://klasma.github.io/Logging_2305/tillsyn/A 37922-2025 tillsynsbegäran.docx", "A 37922-2025")</f>
        <v/>
      </c>
      <c r="Y270">
        <f>HYPERLINK("https://klasma.github.io/Logging_2305/tillsynsmail/A 37922-2025 tillsynsbegäran mail.docx", "A 37922-2025")</f>
        <v/>
      </c>
    </row>
    <row r="271" ht="15" customHeight="1">
      <c r="A271" t="inlineStr">
        <is>
          <t>A 37976-2025</t>
        </is>
      </c>
      <c r="B271" s="1" t="n">
        <v>45881.67775462963</v>
      </c>
      <c r="C271" s="1" t="n">
        <v>45901</v>
      </c>
      <c r="D271" t="inlineStr">
        <is>
          <t>JÄMTLANDS LÄN</t>
        </is>
      </c>
      <c r="E271" t="inlineStr">
        <is>
          <t>BRÄCKE</t>
        </is>
      </c>
      <c r="F271" t="inlineStr">
        <is>
          <t>SCA</t>
        </is>
      </c>
      <c r="G271" t="n">
        <v>11.3</v>
      </c>
      <c r="H271" t="n">
        <v>0</v>
      </c>
      <c r="I271" t="n">
        <v>0</v>
      </c>
      <c r="J271" t="n">
        <v>1</v>
      </c>
      <c r="K271" t="n">
        <v>0</v>
      </c>
      <c r="L271" t="n">
        <v>0</v>
      </c>
      <c r="M271" t="n">
        <v>0</v>
      </c>
      <c r="N271" t="n">
        <v>0</v>
      </c>
      <c r="O271" t="n">
        <v>1</v>
      </c>
      <c r="P271" t="n">
        <v>0</v>
      </c>
      <c r="Q271" t="n">
        <v>1</v>
      </c>
      <c r="R271" s="2" t="inlineStr">
        <is>
          <t>Lunglav</t>
        </is>
      </c>
      <c r="S271">
        <f>HYPERLINK("https://klasma.github.io/Logging_2305/artfynd/A 37976-2025 artfynd.xlsx", "A 37976-2025")</f>
        <v/>
      </c>
      <c r="T271">
        <f>HYPERLINK("https://klasma.github.io/Logging_2305/kartor/A 37976-2025 karta.png", "A 37976-2025")</f>
        <v/>
      </c>
      <c r="V271">
        <f>HYPERLINK("https://klasma.github.io/Logging_2305/klagomål/A 37976-2025 FSC-klagomål.docx", "A 37976-2025")</f>
        <v/>
      </c>
      <c r="W271">
        <f>HYPERLINK("https://klasma.github.io/Logging_2305/klagomålsmail/A 37976-2025 FSC-klagomål mail.docx", "A 37976-2025")</f>
        <v/>
      </c>
      <c r="X271">
        <f>HYPERLINK("https://klasma.github.io/Logging_2305/tillsyn/A 37976-2025 tillsynsbegäran.docx", "A 37976-2025")</f>
        <v/>
      </c>
      <c r="Y271">
        <f>HYPERLINK("https://klasma.github.io/Logging_2305/tillsynsmail/A 37976-2025 tillsynsbegäran mail.docx", "A 37976-2025")</f>
        <v/>
      </c>
    </row>
    <row r="272" ht="15" customHeight="1">
      <c r="A272" t="inlineStr">
        <is>
          <t>A 38158-2025</t>
        </is>
      </c>
      <c r="B272" s="1" t="n">
        <v>45882.61518518518</v>
      </c>
      <c r="C272" s="1" t="n">
        <v>45901</v>
      </c>
      <c r="D272" t="inlineStr">
        <is>
          <t>JÄMTLANDS LÄN</t>
        </is>
      </c>
      <c r="E272" t="inlineStr">
        <is>
          <t>BRÄCKE</t>
        </is>
      </c>
      <c r="F272" t="inlineStr">
        <is>
          <t>SCA</t>
        </is>
      </c>
      <c r="G272" t="n">
        <v>19.9</v>
      </c>
      <c r="H272" t="n">
        <v>0</v>
      </c>
      <c r="I272" t="n">
        <v>0</v>
      </c>
      <c r="J272" t="n">
        <v>1</v>
      </c>
      <c r="K272" t="n">
        <v>0</v>
      </c>
      <c r="L272" t="n">
        <v>0</v>
      </c>
      <c r="M272" t="n">
        <v>0</v>
      </c>
      <c r="N272" t="n">
        <v>0</v>
      </c>
      <c r="O272" t="n">
        <v>1</v>
      </c>
      <c r="P272" t="n">
        <v>0</v>
      </c>
      <c r="Q272" t="n">
        <v>1</v>
      </c>
      <c r="R272" s="2" t="inlineStr">
        <is>
          <t>Rödbrun klubbdyna</t>
        </is>
      </c>
      <c r="S272">
        <f>HYPERLINK("https://klasma.github.io/Logging_2305/artfynd/A 38158-2025 artfynd.xlsx", "A 38158-2025")</f>
        <v/>
      </c>
      <c r="T272">
        <f>HYPERLINK("https://klasma.github.io/Logging_2305/kartor/A 38158-2025 karta.png", "A 38158-2025")</f>
        <v/>
      </c>
      <c r="V272">
        <f>HYPERLINK("https://klasma.github.io/Logging_2305/klagomål/A 38158-2025 FSC-klagomål.docx", "A 38158-2025")</f>
        <v/>
      </c>
      <c r="W272">
        <f>HYPERLINK("https://klasma.github.io/Logging_2305/klagomålsmail/A 38158-2025 FSC-klagomål mail.docx", "A 38158-2025")</f>
        <v/>
      </c>
      <c r="X272">
        <f>HYPERLINK("https://klasma.github.io/Logging_2305/tillsyn/A 38158-2025 tillsynsbegäran.docx", "A 38158-2025")</f>
        <v/>
      </c>
      <c r="Y272">
        <f>HYPERLINK("https://klasma.github.io/Logging_2305/tillsynsmail/A 38158-2025 tillsynsbegäran mail.docx", "A 38158-2025")</f>
        <v/>
      </c>
    </row>
    <row r="273" ht="15" customHeight="1">
      <c r="A273" t="inlineStr">
        <is>
          <t>A 4851-2025</t>
        </is>
      </c>
      <c r="B273" s="1" t="n">
        <v>45688.67340277778</v>
      </c>
      <c r="C273" s="1" t="n">
        <v>45901</v>
      </c>
      <c r="D273" t="inlineStr">
        <is>
          <t>JÄMTLANDS LÄN</t>
        </is>
      </c>
      <c r="E273" t="inlineStr">
        <is>
          <t>BRÄCKE</t>
        </is>
      </c>
      <c r="F273" t="inlineStr">
        <is>
          <t>SCA</t>
        </is>
      </c>
      <c r="G273" t="n">
        <v>9.9</v>
      </c>
      <c r="H273" t="n">
        <v>0</v>
      </c>
      <c r="I273" t="n">
        <v>0</v>
      </c>
      <c r="J273" t="n">
        <v>1</v>
      </c>
      <c r="K273" t="n">
        <v>0</v>
      </c>
      <c r="L273" t="n">
        <v>0</v>
      </c>
      <c r="M273" t="n">
        <v>0</v>
      </c>
      <c r="N273" t="n">
        <v>0</v>
      </c>
      <c r="O273" t="n">
        <v>1</v>
      </c>
      <c r="P273" t="n">
        <v>0</v>
      </c>
      <c r="Q273" t="n">
        <v>1</v>
      </c>
      <c r="R273" s="2" t="inlineStr">
        <is>
          <t>Lunglav</t>
        </is>
      </c>
      <c r="S273">
        <f>HYPERLINK("https://klasma.github.io/Logging_2305/artfynd/A 4851-2025 artfynd.xlsx", "A 4851-2025")</f>
        <v/>
      </c>
      <c r="T273">
        <f>HYPERLINK("https://klasma.github.io/Logging_2305/kartor/A 4851-2025 karta.png", "A 4851-2025")</f>
        <v/>
      </c>
      <c r="V273">
        <f>HYPERLINK("https://klasma.github.io/Logging_2305/klagomål/A 4851-2025 FSC-klagomål.docx", "A 4851-2025")</f>
        <v/>
      </c>
      <c r="W273">
        <f>HYPERLINK("https://klasma.github.io/Logging_2305/klagomålsmail/A 4851-2025 FSC-klagomål mail.docx", "A 4851-2025")</f>
        <v/>
      </c>
      <c r="X273">
        <f>HYPERLINK("https://klasma.github.io/Logging_2305/tillsyn/A 4851-2025 tillsynsbegäran.docx", "A 4851-2025")</f>
        <v/>
      </c>
      <c r="Y273">
        <f>HYPERLINK("https://klasma.github.io/Logging_2305/tillsynsmail/A 4851-2025 tillsynsbegäran mail.docx", "A 4851-2025")</f>
        <v/>
      </c>
    </row>
    <row r="274" ht="15" customHeight="1">
      <c r="A274" t="inlineStr">
        <is>
          <t>A 12525-2025</t>
        </is>
      </c>
      <c r="B274" s="1" t="n">
        <v>45730.67770833334</v>
      </c>
      <c r="C274" s="1" t="n">
        <v>45901</v>
      </c>
      <c r="D274" t="inlineStr">
        <is>
          <t>JÄMTLANDS LÄN</t>
        </is>
      </c>
      <c r="E274" t="inlineStr">
        <is>
          <t>BRÄCKE</t>
        </is>
      </c>
      <c r="F274" t="inlineStr">
        <is>
          <t>SCA</t>
        </is>
      </c>
      <c r="G274" t="n">
        <v>3.5</v>
      </c>
      <c r="H274" t="n">
        <v>1</v>
      </c>
      <c r="I274" t="n">
        <v>0</v>
      </c>
      <c r="J274" t="n">
        <v>0</v>
      </c>
      <c r="K274" t="n">
        <v>0</v>
      </c>
      <c r="L274" t="n">
        <v>0</v>
      </c>
      <c r="M274" t="n">
        <v>0</v>
      </c>
      <c r="N274" t="n">
        <v>0</v>
      </c>
      <c r="O274" t="n">
        <v>0</v>
      </c>
      <c r="P274" t="n">
        <v>0</v>
      </c>
      <c r="Q274" t="n">
        <v>1</v>
      </c>
      <c r="R274" s="2" t="inlineStr">
        <is>
          <t>Fläcknycklar</t>
        </is>
      </c>
      <c r="S274">
        <f>HYPERLINK("https://klasma.github.io/Logging_2305/artfynd/A 12525-2025 artfynd.xlsx", "A 12525-2025")</f>
        <v/>
      </c>
      <c r="T274">
        <f>HYPERLINK("https://klasma.github.io/Logging_2305/kartor/A 12525-2025 karta.png", "A 12525-2025")</f>
        <v/>
      </c>
      <c r="V274">
        <f>HYPERLINK("https://klasma.github.io/Logging_2305/klagomål/A 12525-2025 FSC-klagomål.docx", "A 12525-2025")</f>
        <v/>
      </c>
      <c r="W274">
        <f>HYPERLINK("https://klasma.github.io/Logging_2305/klagomålsmail/A 12525-2025 FSC-klagomål mail.docx", "A 12525-2025")</f>
        <v/>
      </c>
      <c r="X274">
        <f>HYPERLINK("https://klasma.github.io/Logging_2305/tillsyn/A 12525-2025 tillsynsbegäran.docx", "A 12525-2025")</f>
        <v/>
      </c>
      <c r="Y274">
        <f>HYPERLINK("https://klasma.github.io/Logging_2305/tillsynsmail/A 12525-2025 tillsynsbegäran mail.docx", "A 12525-2025")</f>
        <v/>
      </c>
    </row>
    <row r="275" ht="15" customHeight="1">
      <c r="A275" t="inlineStr">
        <is>
          <t>A 34226-2025</t>
        </is>
      </c>
      <c r="B275" s="1" t="n">
        <v>45845.656875</v>
      </c>
      <c r="C275" s="1" t="n">
        <v>45901</v>
      </c>
      <c r="D275" t="inlineStr">
        <is>
          <t>JÄMTLANDS LÄN</t>
        </is>
      </c>
      <c r="E275" t="inlineStr">
        <is>
          <t>BRÄCKE</t>
        </is>
      </c>
      <c r="F275" t="inlineStr">
        <is>
          <t>SCA</t>
        </is>
      </c>
      <c r="G275" t="n">
        <v>9</v>
      </c>
      <c r="H275" t="n">
        <v>1</v>
      </c>
      <c r="I275" t="n">
        <v>0</v>
      </c>
      <c r="J275" t="n">
        <v>1</v>
      </c>
      <c r="K275" t="n">
        <v>0</v>
      </c>
      <c r="L275" t="n">
        <v>0</v>
      </c>
      <c r="M275" t="n">
        <v>0</v>
      </c>
      <c r="N275" t="n">
        <v>0</v>
      </c>
      <c r="O275" t="n">
        <v>1</v>
      </c>
      <c r="P275" t="n">
        <v>0</v>
      </c>
      <c r="Q275" t="n">
        <v>1</v>
      </c>
      <c r="R275" s="2" t="inlineStr">
        <is>
          <t>Talltita</t>
        </is>
      </c>
      <c r="S275">
        <f>HYPERLINK("https://klasma.github.io/Logging_2305/artfynd/A 34226-2025 artfynd.xlsx", "A 34226-2025")</f>
        <v/>
      </c>
      <c r="T275">
        <f>HYPERLINK("https://klasma.github.io/Logging_2305/kartor/A 34226-2025 karta.png", "A 34226-2025")</f>
        <v/>
      </c>
      <c r="V275">
        <f>HYPERLINK("https://klasma.github.io/Logging_2305/klagomål/A 34226-2025 FSC-klagomål.docx", "A 34226-2025")</f>
        <v/>
      </c>
      <c r="W275">
        <f>HYPERLINK("https://klasma.github.io/Logging_2305/klagomålsmail/A 34226-2025 FSC-klagomål mail.docx", "A 34226-2025")</f>
        <v/>
      </c>
      <c r="X275">
        <f>HYPERLINK("https://klasma.github.io/Logging_2305/tillsyn/A 34226-2025 tillsynsbegäran.docx", "A 34226-2025")</f>
        <v/>
      </c>
      <c r="Y275">
        <f>HYPERLINK("https://klasma.github.io/Logging_2305/tillsynsmail/A 34226-2025 tillsynsbegäran mail.docx", "A 34226-2025")</f>
        <v/>
      </c>
      <c r="Z275">
        <f>HYPERLINK("https://klasma.github.io/Logging_2305/fåglar/A 34226-2025 prioriterade fågelarter.docx", "A 34226-2025")</f>
        <v/>
      </c>
    </row>
    <row r="276" ht="15" customHeight="1">
      <c r="A276" t="inlineStr">
        <is>
          <t>A 34300-2025</t>
        </is>
      </c>
      <c r="B276" s="1" t="n">
        <v>45846.34518518519</v>
      </c>
      <c r="C276" s="1" t="n">
        <v>45901</v>
      </c>
      <c r="D276" t="inlineStr">
        <is>
          <t>JÄMTLANDS LÄN</t>
        </is>
      </c>
      <c r="E276" t="inlineStr">
        <is>
          <t>BRÄCKE</t>
        </is>
      </c>
      <c r="F276" t="inlineStr">
        <is>
          <t>Naturvårdsverket</t>
        </is>
      </c>
      <c r="G276" t="n">
        <v>2.3</v>
      </c>
      <c r="H276" t="n">
        <v>0</v>
      </c>
      <c r="I276" t="n">
        <v>0</v>
      </c>
      <c r="J276" t="n">
        <v>0</v>
      </c>
      <c r="K276" t="n">
        <v>1</v>
      </c>
      <c r="L276" t="n">
        <v>0</v>
      </c>
      <c r="M276" t="n">
        <v>0</v>
      </c>
      <c r="N276" t="n">
        <v>0</v>
      </c>
      <c r="O276" t="n">
        <v>1</v>
      </c>
      <c r="P276" t="n">
        <v>1</v>
      </c>
      <c r="Q276" t="n">
        <v>1</v>
      </c>
      <c r="R276" s="2" t="inlineStr">
        <is>
          <t>Rotfingersvamp</t>
        </is>
      </c>
      <c r="S276">
        <f>HYPERLINK("https://klasma.github.io/Logging_2305/artfynd/A 34300-2025 artfynd.xlsx", "A 34300-2025")</f>
        <v/>
      </c>
      <c r="T276">
        <f>HYPERLINK("https://klasma.github.io/Logging_2305/kartor/A 34300-2025 karta.png", "A 34300-2025")</f>
        <v/>
      </c>
      <c r="V276">
        <f>HYPERLINK("https://klasma.github.io/Logging_2305/klagomål/A 34300-2025 FSC-klagomål.docx", "A 34300-2025")</f>
        <v/>
      </c>
      <c r="W276">
        <f>HYPERLINK("https://klasma.github.io/Logging_2305/klagomålsmail/A 34300-2025 FSC-klagomål mail.docx", "A 34300-2025")</f>
        <v/>
      </c>
      <c r="X276">
        <f>HYPERLINK("https://klasma.github.io/Logging_2305/tillsyn/A 34300-2025 tillsynsbegäran.docx", "A 34300-2025")</f>
        <v/>
      </c>
      <c r="Y276">
        <f>HYPERLINK("https://klasma.github.io/Logging_2305/tillsynsmail/A 34300-2025 tillsynsbegäran mail.docx", "A 34300-2025")</f>
        <v/>
      </c>
    </row>
    <row r="277" ht="15" customHeight="1">
      <c r="A277" t="inlineStr">
        <is>
          <t>A 2466-2025</t>
        </is>
      </c>
      <c r="B277" s="1" t="n">
        <v>45674.46958333333</v>
      </c>
      <c r="C277" s="1" t="n">
        <v>45901</v>
      </c>
      <c r="D277" t="inlineStr">
        <is>
          <t>JÄMTLANDS LÄN</t>
        </is>
      </c>
      <c r="E277" t="inlineStr">
        <is>
          <t>BRÄCKE</t>
        </is>
      </c>
      <c r="F277" t="inlineStr">
        <is>
          <t>SCA</t>
        </is>
      </c>
      <c r="G277" t="n">
        <v>2.4</v>
      </c>
      <c r="H277" t="n">
        <v>0</v>
      </c>
      <c r="I277" t="n">
        <v>0</v>
      </c>
      <c r="J277" t="n">
        <v>1</v>
      </c>
      <c r="K277" t="n">
        <v>0</v>
      </c>
      <c r="L277" t="n">
        <v>0</v>
      </c>
      <c r="M277" t="n">
        <v>0</v>
      </c>
      <c r="N277" t="n">
        <v>0</v>
      </c>
      <c r="O277" t="n">
        <v>1</v>
      </c>
      <c r="P277" t="n">
        <v>0</v>
      </c>
      <c r="Q277" t="n">
        <v>1</v>
      </c>
      <c r="R277" s="2" t="inlineStr">
        <is>
          <t>Lunglav</t>
        </is>
      </c>
      <c r="S277">
        <f>HYPERLINK("https://klasma.github.io/Logging_2305/artfynd/A 2466-2025 artfynd.xlsx", "A 2466-2025")</f>
        <v/>
      </c>
      <c r="T277">
        <f>HYPERLINK("https://klasma.github.io/Logging_2305/kartor/A 2466-2025 karta.png", "A 2466-2025")</f>
        <v/>
      </c>
      <c r="V277">
        <f>HYPERLINK("https://klasma.github.io/Logging_2305/klagomål/A 2466-2025 FSC-klagomål.docx", "A 2466-2025")</f>
        <v/>
      </c>
      <c r="W277">
        <f>HYPERLINK("https://klasma.github.io/Logging_2305/klagomålsmail/A 2466-2025 FSC-klagomål mail.docx", "A 2466-2025")</f>
        <v/>
      </c>
      <c r="X277">
        <f>HYPERLINK("https://klasma.github.io/Logging_2305/tillsyn/A 2466-2025 tillsynsbegäran.docx", "A 2466-2025")</f>
        <v/>
      </c>
      <c r="Y277">
        <f>HYPERLINK("https://klasma.github.io/Logging_2305/tillsynsmail/A 2466-2025 tillsynsbegäran mail.docx", "A 2466-2025")</f>
        <v/>
      </c>
    </row>
    <row r="278" ht="15" customHeight="1">
      <c r="A278" t="inlineStr">
        <is>
          <t>A 39085-2025</t>
        </is>
      </c>
      <c r="B278" s="1" t="n">
        <v>45888.49021990741</v>
      </c>
      <c r="C278" s="1" t="n">
        <v>45901</v>
      </c>
      <c r="D278" t="inlineStr">
        <is>
          <t>JÄMTLANDS LÄN</t>
        </is>
      </c>
      <c r="E278" t="inlineStr">
        <is>
          <t>BRÄCKE</t>
        </is>
      </c>
      <c r="F278" t="inlineStr">
        <is>
          <t>SCA</t>
        </is>
      </c>
      <c r="G278" t="n">
        <v>3.3</v>
      </c>
      <c r="H278" t="n">
        <v>0</v>
      </c>
      <c r="I278" t="n">
        <v>0</v>
      </c>
      <c r="J278" t="n">
        <v>1</v>
      </c>
      <c r="K278" t="n">
        <v>0</v>
      </c>
      <c r="L278" t="n">
        <v>0</v>
      </c>
      <c r="M278" t="n">
        <v>0</v>
      </c>
      <c r="N278" t="n">
        <v>0</v>
      </c>
      <c r="O278" t="n">
        <v>1</v>
      </c>
      <c r="P278" t="n">
        <v>0</v>
      </c>
      <c r="Q278" t="n">
        <v>1</v>
      </c>
      <c r="R278" s="2" t="inlineStr">
        <is>
          <t>Lunglav</t>
        </is>
      </c>
      <c r="S278">
        <f>HYPERLINK("https://klasma.github.io/Logging_2305/artfynd/A 39085-2025 artfynd.xlsx", "A 39085-2025")</f>
        <v/>
      </c>
      <c r="T278">
        <f>HYPERLINK("https://klasma.github.io/Logging_2305/kartor/A 39085-2025 karta.png", "A 39085-2025")</f>
        <v/>
      </c>
      <c r="V278">
        <f>HYPERLINK("https://klasma.github.io/Logging_2305/klagomål/A 39085-2025 FSC-klagomål.docx", "A 39085-2025")</f>
        <v/>
      </c>
      <c r="W278">
        <f>HYPERLINK("https://klasma.github.io/Logging_2305/klagomålsmail/A 39085-2025 FSC-klagomål mail.docx", "A 39085-2025")</f>
        <v/>
      </c>
      <c r="X278">
        <f>HYPERLINK("https://klasma.github.io/Logging_2305/tillsyn/A 39085-2025 tillsynsbegäran.docx", "A 39085-2025")</f>
        <v/>
      </c>
      <c r="Y278">
        <f>HYPERLINK("https://klasma.github.io/Logging_2305/tillsynsmail/A 39085-2025 tillsynsbegäran mail.docx", "A 39085-2025")</f>
        <v/>
      </c>
    </row>
    <row r="279" ht="15" customHeight="1">
      <c r="A279" t="inlineStr">
        <is>
          <t>A 34615-2025</t>
        </is>
      </c>
      <c r="B279" s="1" t="n">
        <v>45847.6778125</v>
      </c>
      <c r="C279" s="1" t="n">
        <v>45901</v>
      </c>
      <c r="D279" t="inlineStr">
        <is>
          <t>JÄMTLANDS LÄN</t>
        </is>
      </c>
      <c r="E279" t="inlineStr">
        <is>
          <t>BRÄCKE</t>
        </is>
      </c>
      <c r="F279" t="inlineStr">
        <is>
          <t>SCA</t>
        </is>
      </c>
      <c r="G279" t="n">
        <v>2.7</v>
      </c>
      <c r="H279" t="n">
        <v>0</v>
      </c>
      <c r="I279" t="n">
        <v>0</v>
      </c>
      <c r="J279" t="n">
        <v>0</v>
      </c>
      <c r="K279" t="n">
        <v>1</v>
      </c>
      <c r="L279" t="n">
        <v>0</v>
      </c>
      <c r="M279" t="n">
        <v>0</v>
      </c>
      <c r="N279" t="n">
        <v>0</v>
      </c>
      <c r="O279" t="n">
        <v>1</v>
      </c>
      <c r="P279" t="n">
        <v>1</v>
      </c>
      <c r="Q279" t="n">
        <v>1</v>
      </c>
      <c r="R279" s="2" t="inlineStr">
        <is>
          <t>Jättemusseron</t>
        </is>
      </c>
      <c r="S279">
        <f>HYPERLINK("https://klasma.github.io/Logging_2305/artfynd/A 34615-2025 artfynd.xlsx", "A 34615-2025")</f>
        <v/>
      </c>
      <c r="T279">
        <f>HYPERLINK("https://klasma.github.io/Logging_2305/kartor/A 34615-2025 karta.png", "A 34615-2025")</f>
        <v/>
      </c>
      <c r="V279">
        <f>HYPERLINK("https://klasma.github.io/Logging_2305/klagomål/A 34615-2025 FSC-klagomål.docx", "A 34615-2025")</f>
        <v/>
      </c>
      <c r="W279">
        <f>HYPERLINK("https://klasma.github.io/Logging_2305/klagomålsmail/A 34615-2025 FSC-klagomål mail.docx", "A 34615-2025")</f>
        <v/>
      </c>
      <c r="X279">
        <f>HYPERLINK("https://klasma.github.io/Logging_2305/tillsyn/A 34615-2025 tillsynsbegäran.docx", "A 34615-2025")</f>
        <v/>
      </c>
      <c r="Y279">
        <f>HYPERLINK("https://klasma.github.io/Logging_2305/tillsynsmail/A 34615-2025 tillsynsbegäran mail.docx", "A 34615-2025")</f>
        <v/>
      </c>
    </row>
    <row r="280" ht="15" customHeight="1">
      <c r="A280" t="inlineStr">
        <is>
          <t>A 34911-2025</t>
        </is>
      </c>
      <c r="B280" s="1" t="n">
        <v>45849.53545138889</v>
      </c>
      <c r="C280" s="1" t="n">
        <v>45901</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3234-2025</t>
        </is>
      </c>
      <c r="B281" s="1" t="n">
        <v>45679.49020833334</v>
      </c>
      <c r="C281" s="1" t="n">
        <v>45901</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35210-2025</t>
        </is>
      </c>
      <c r="B282" s="1" t="n">
        <v>45853.44842592593</v>
      </c>
      <c r="C282" s="1" t="n">
        <v>45901</v>
      </c>
      <c r="D282" t="inlineStr">
        <is>
          <t>JÄMTLANDS LÄN</t>
        </is>
      </c>
      <c r="E282" t="inlineStr">
        <is>
          <t>BRÄCKE</t>
        </is>
      </c>
      <c r="F282" t="inlineStr">
        <is>
          <t>SCA</t>
        </is>
      </c>
      <c r="G282" t="n">
        <v>2.6</v>
      </c>
      <c r="H282" t="n">
        <v>0</v>
      </c>
      <c r="I282" t="n">
        <v>0</v>
      </c>
      <c r="J282" t="n">
        <v>1</v>
      </c>
      <c r="K282" t="n">
        <v>0</v>
      </c>
      <c r="L282" t="n">
        <v>0</v>
      </c>
      <c r="M282" t="n">
        <v>0</v>
      </c>
      <c r="N282" t="n">
        <v>0</v>
      </c>
      <c r="O282" t="n">
        <v>1</v>
      </c>
      <c r="P282" t="n">
        <v>0</v>
      </c>
      <c r="Q282" t="n">
        <v>1</v>
      </c>
      <c r="R282" s="2" t="inlineStr">
        <is>
          <t>Lunglav</t>
        </is>
      </c>
      <c r="S282">
        <f>HYPERLINK("https://klasma.github.io/Logging_2305/artfynd/A 35210-2025 artfynd.xlsx", "A 35210-2025")</f>
        <v/>
      </c>
      <c r="T282">
        <f>HYPERLINK("https://klasma.github.io/Logging_2305/kartor/A 35210-2025 karta.png", "A 35210-2025")</f>
        <v/>
      </c>
      <c r="V282">
        <f>HYPERLINK("https://klasma.github.io/Logging_2305/klagomål/A 35210-2025 FSC-klagomål.docx", "A 35210-2025")</f>
        <v/>
      </c>
      <c r="W282">
        <f>HYPERLINK("https://klasma.github.io/Logging_2305/klagomålsmail/A 35210-2025 FSC-klagomål mail.docx", "A 35210-2025")</f>
        <v/>
      </c>
      <c r="X282">
        <f>HYPERLINK("https://klasma.github.io/Logging_2305/tillsyn/A 35210-2025 tillsynsbegäran.docx", "A 35210-2025")</f>
        <v/>
      </c>
      <c r="Y282">
        <f>HYPERLINK("https://klasma.github.io/Logging_2305/tillsynsmail/A 35210-2025 tillsynsbegäran mail.docx", "A 35210-2025")</f>
        <v/>
      </c>
    </row>
    <row r="283" ht="15" customHeight="1">
      <c r="A283" t="inlineStr">
        <is>
          <t>A 35328-2025</t>
        </is>
      </c>
      <c r="B283" s="1" t="n">
        <v>45854.53034722222</v>
      </c>
      <c r="C283" s="1" t="n">
        <v>45901</v>
      </c>
      <c r="D283" t="inlineStr">
        <is>
          <t>JÄMTLANDS LÄN</t>
        </is>
      </c>
      <c r="E283" t="inlineStr">
        <is>
          <t>BRÄCKE</t>
        </is>
      </c>
      <c r="F283" t="inlineStr">
        <is>
          <t>Sveaskog</t>
        </is>
      </c>
      <c r="G283" t="n">
        <v>4.8</v>
      </c>
      <c r="H283" t="n">
        <v>0</v>
      </c>
      <c r="I283" t="n">
        <v>0</v>
      </c>
      <c r="J283" t="n">
        <v>1</v>
      </c>
      <c r="K283" t="n">
        <v>0</v>
      </c>
      <c r="L283" t="n">
        <v>0</v>
      </c>
      <c r="M283" t="n">
        <v>0</v>
      </c>
      <c r="N283" t="n">
        <v>0</v>
      </c>
      <c r="O283" t="n">
        <v>1</v>
      </c>
      <c r="P283" t="n">
        <v>0</v>
      </c>
      <c r="Q283" t="n">
        <v>1</v>
      </c>
      <c r="R283" s="2" t="inlineStr">
        <is>
          <t>Lunglav</t>
        </is>
      </c>
      <c r="S283">
        <f>HYPERLINK("https://klasma.github.io/Logging_2305/artfynd/A 35328-2025 artfynd.xlsx", "A 35328-2025")</f>
        <v/>
      </c>
      <c r="T283">
        <f>HYPERLINK("https://klasma.github.io/Logging_2305/kartor/A 35328-2025 karta.png", "A 35328-2025")</f>
        <v/>
      </c>
      <c r="V283">
        <f>HYPERLINK("https://klasma.github.io/Logging_2305/klagomål/A 35328-2025 FSC-klagomål.docx", "A 35328-2025")</f>
        <v/>
      </c>
      <c r="W283">
        <f>HYPERLINK("https://klasma.github.io/Logging_2305/klagomålsmail/A 35328-2025 FSC-klagomål mail.docx", "A 35328-2025")</f>
        <v/>
      </c>
      <c r="X283">
        <f>HYPERLINK("https://klasma.github.io/Logging_2305/tillsyn/A 35328-2025 tillsynsbegäran.docx", "A 35328-2025")</f>
        <v/>
      </c>
      <c r="Y283">
        <f>HYPERLINK("https://klasma.github.io/Logging_2305/tillsynsmail/A 35328-2025 tillsynsbegäran mail.docx", "A 35328-2025")</f>
        <v/>
      </c>
    </row>
    <row r="284" ht="15" customHeight="1">
      <c r="A284" t="inlineStr">
        <is>
          <t>A 57797-2023</t>
        </is>
      </c>
      <c r="B284" s="1" t="n">
        <v>45246</v>
      </c>
      <c r="C284" s="1" t="n">
        <v>45901</v>
      </c>
      <c r="D284" t="inlineStr">
        <is>
          <t>JÄMTLANDS LÄN</t>
        </is>
      </c>
      <c r="E284" t="inlineStr">
        <is>
          <t>BRÄCKE</t>
        </is>
      </c>
      <c r="F284" t="inlineStr">
        <is>
          <t>SCA</t>
        </is>
      </c>
      <c r="G284" t="n">
        <v>2.7</v>
      </c>
      <c r="H284" t="n">
        <v>0</v>
      </c>
      <c r="I284" t="n">
        <v>1</v>
      </c>
      <c r="J284" t="n">
        <v>0</v>
      </c>
      <c r="K284" t="n">
        <v>0</v>
      </c>
      <c r="L284" t="n">
        <v>0</v>
      </c>
      <c r="M284" t="n">
        <v>0</v>
      </c>
      <c r="N284" t="n">
        <v>0</v>
      </c>
      <c r="O284" t="n">
        <v>0</v>
      </c>
      <c r="P284" t="n">
        <v>0</v>
      </c>
      <c r="Q284" t="n">
        <v>1</v>
      </c>
      <c r="R284" s="2" t="inlineStr">
        <is>
          <t>Korallblylav</t>
        </is>
      </c>
      <c r="S284">
        <f>HYPERLINK("https://klasma.github.io/Logging_2305/artfynd/A 57797-2023 artfynd.xlsx", "A 57797-2023")</f>
        <v/>
      </c>
      <c r="T284">
        <f>HYPERLINK("https://klasma.github.io/Logging_2305/kartor/A 57797-2023 karta.png", "A 57797-2023")</f>
        <v/>
      </c>
      <c r="V284">
        <f>HYPERLINK("https://klasma.github.io/Logging_2305/klagomål/A 57797-2023 FSC-klagomål.docx", "A 57797-2023")</f>
        <v/>
      </c>
      <c r="W284">
        <f>HYPERLINK("https://klasma.github.io/Logging_2305/klagomålsmail/A 57797-2023 FSC-klagomål mail.docx", "A 57797-2023")</f>
        <v/>
      </c>
      <c r="X284">
        <f>HYPERLINK("https://klasma.github.io/Logging_2305/tillsyn/A 57797-2023 tillsynsbegäran.docx", "A 57797-2023")</f>
        <v/>
      </c>
      <c r="Y284">
        <f>HYPERLINK("https://klasma.github.io/Logging_2305/tillsynsmail/A 57797-2023 tillsynsbegäran mail.docx", "A 57797-2023")</f>
        <v/>
      </c>
    </row>
    <row r="285" ht="15" customHeight="1">
      <c r="A285" t="inlineStr">
        <is>
          <t>A 40100-2023</t>
        </is>
      </c>
      <c r="B285" s="1" t="n">
        <v>45168</v>
      </c>
      <c r="C285" s="1" t="n">
        <v>45901</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40792-2025</t>
        </is>
      </c>
      <c r="B286" s="1" t="n">
        <v>45897.44855324074</v>
      </c>
      <c r="C286" s="1" t="n">
        <v>45901</v>
      </c>
      <c r="D286" t="inlineStr">
        <is>
          <t>JÄMTLANDS LÄN</t>
        </is>
      </c>
      <c r="E286" t="inlineStr">
        <is>
          <t>BRÄCKE</t>
        </is>
      </c>
      <c r="F286" t="inlineStr">
        <is>
          <t>SCA</t>
        </is>
      </c>
      <c r="G286" t="n">
        <v>1.7</v>
      </c>
      <c r="H286" t="n">
        <v>0</v>
      </c>
      <c r="I286" t="n">
        <v>0</v>
      </c>
      <c r="J286" t="n">
        <v>1</v>
      </c>
      <c r="K286" t="n">
        <v>0</v>
      </c>
      <c r="L286" t="n">
        <v>0</v>
      </c>
      <c r="M286" t="n">
        <v>0</v>
      </c>
      <c r="N286" t="n">
        <v>0</v>
      </c>
      <c r="O286" t="n">
        <v>1</v>
      </c>
      <c r="P286" t="n">
        <v>0</v>
      </c>
      <c r="Q286" t="n">
        <v>1</v>
      </c>
      <c r="R286" s="2" t="inlineStr">
        <is>
          <t>Lunglav</t>
        </is>
      </c>
      <c r="S286">
        <f>HYPERLINK("https://klasma.github.io/Logging_2305/artfynd/A 40792-2025 artfynd.xlsx", "A 40792-2025")</f>
        <v/>
      </c>
      <c r="T286">
        <f>HYPERLINK("https://klasma.github.io/Logging_2305/kartor/A 40792-2025 karta.png", "A 40792-2025")</f>
        <v/>
      </c>
      <c r="V286">
        <f>HYPERLINK("https://klasma.github.io/Logging_2305/klagomål/A 40792-2025 FSC-klagomål.docx", "A 40792-2025")</f>
        <v/>
      </c>
      <c r="W286">
        <f>HYPERLINK("https://klasma.github.io/Logging_2305/klagomålsmail/A 40792-2025 FSC-klagomål mail.docx", "A 40792-2025")</f>
        <v/>
      </c>
      <c r="X286">
        <f>HYPERLINK("https://klasma.github.io/Logging_2305/tillsyn/A 40792-2025 tillsynsbegäran.docx", "A 40792-2025")</f>
        <v/>
      </c>
      <c r="Y286">
        <f>HYPERLINK("https://klasma.github.io/Logging_2305/tillsynsmail/A 40792-2025 tillsynsbegäran mail.docx", "A 40792-2025")</f>
        <v/>
      </c>
    </row>
    <row r="287" ht="15" customHeight="1">
      <c r="A287" t="inlineStr">
        <is>
          <t>A 40842-2025</t>
        </is>
      </c>
      <c r="B287" s="1" t="n">
        <v>45897.53200231482</v>
      </c>
      <c r="C287" s="1" t="n">
        <v>45901</v>
      </c>
      <c r="D287" t="inlineStr">
        <is>
          <t>JÄMTLANDS LÄN</t>
        </is>
      </c>
      <c r="E287" t="inlineStr">
        <is>
          <t>BRÄCKE</t>
        </is>
      </c>
      <c r="F287" t="inlineStr">
        <is>
          <t>SCA</t>
        </is>
      </c>
      <c r="G287" t="n">
        <v>0.5</v>
      </c>
      <c r="H287" t="n">
        <v>0</v>
      </c>
      <c r="I287" t="n">
        <v>0</v>
      </c>
      <c r="J287" t="n">
        <v>1</v>
      </c>
      <c r="K287" t="n">
        <v>0</v>
      </c>
      <c r="L287" t="n">
        <v>0</v>
      </c>
      <c r="M287" t="n">
        <v>0</v>
      </c>
      <c r="N287" t="n">
        <v>0</v>
      </c>
      <c r="O287" t="n">
        <v>1</v>
      </c>
      <c r="P287" t="n">
        <v>0</v>
      </c>
      <c r="Q287" t="n">
        <v>1</v>
      </c>
      <c r="R287" s="2" t="inlineStr">
        <is>
          <t>Lunglav</t>
        </is>
      </c>
      <c r="S287">
        <f>HYPERLINK("https://klasma.github.io/Logging_2305/artfynd/A 40842-2025 artfynd.xlsx", "A 40842-2025")</f>
        <v/>
      </c>
      <c r="T287">
        <f>HYPERLINK("https://klasma.github.io/Logging_2305/kartor/A 40842-2025 karta.png", "A 40842-2025")</f>
        <v/>
      </c>
      <c r="V287">
        <f>HYPERLINK("https://klasma.github.io/Logging_2305/klagomål/A 40842-2025 FSC-klagomål.docx", "A 40842-2025")</f>
        <v/>
      </c>
      <c r="W287">
        <f>HYPERLINK("https://klasma.github.io/Logging_2305/klagomålsmail/A 40842-2025 FSC-klagomål mail.docx", "A 40842-2025")</f>
        <v/>
      </c>
      <c r="X287">
        <f>HYPERLINK("https://klasma.github.io/Logging_2305/tillsyn/A 40842-2025 tillsynsbegäran.docx", "A 40842-2025")</f>
        <v/>
      </c>
      <c r="Y287">
        <f>HYPERLINK("https://klasma.github.io/Logging_2305/tillsynsmail/A 40842-2025 tillsynsbegäran mail.docx", "A 40842-2025")</f>
        <v/>
      </c>
    </row>
    <row r="288" ht="15" customHeight="1">
      <c r="A288" t="inlineStr">
        <is>
          <t>A 40914-2025</t>
        </is>
      </c>
      <c r="B288" s="1" t="n">
        <v>45897.61741898148</v>
      </c>
      <c r="C288" s="1" t="n">
        <v>45901</v>
      </c>
      <c r="D288" t="inlineStr">
        <is>
          <t>JÄMTLANDS LÄN</t>
        </is>
      </c>
      <c r="E288" t="inlineStr">
        <is>
          <t>BRÄCKE</t>
        </is>
      </c>
      <c r="F288" t="inlineStr">
        <is>
          <t>SCA</t>
        </is>
      </c>
      <c r="G288" t="n">
        <v>2.1</v>
      </c>
      <c r="H288" t="n">
        <v>0</v>
      </c>
      <c r="I288" t="n">
        <v>0</v>
      </c>
      <c r="J288" t="n">
        <v>1</v>
      </c>
      <c r="K288" t="n">
        <v>0</v>
      </c>
      <c r="L288" t="n">
        <v>0</v>
      </c>
      <c r="M288" t="n">
        <v>0</v>
      </c>
      <c r="N288" t="n">
        <v>0</v>
      </c>
      <c r="O288" t="n">
        <v>1</v>
      </c>
      <c r="P288" t="n">
        <v>0</v>
      </c>
      <c r="Q288" t="n">
        <v>1</v>
      </c>
      <c r="R288" s="2" t="inlineStr">
        <is>
          <t>Lunglav</t>
        </is>
      </c>
      <c r="S288">
        <f>HYPERLINK("https://klasma.github.io/Logging_2305/artfynd/A 40914-2025 artfynd.xlsx", "A 40914-2025")</f>
        <v/>
      </c>
      <c r="T288">
        <f>HYPERLINK("https://klasma.github.io/Logging_2305/kartor/A 40914-2025 karta.png", "A 40914-2025")</f>
        <v/>
      </c>
      <c r="V288">
        <f>HYPERLINK("https://klasma.github.io/Logging_2305/klagomål/A 40914-2025 FSC-klagomål.docx", "A 40914-2025")</f>
        <v/>
      </c>
      <c r="W288">
        <f>HYPERLINK("https://klasma.github.io/Logging_2305/klagomålsmail/A 40914-2025 FSC-klagomål mail.docx", "A 40914-2025")</f>
        <v/>
      </c>
      <c r="X288">
        <f>HYPERLINK("https://klasma.github.io/Logging_2305/tillsyn/A 40914-2025 tillsynsbegäran.docx", "A 40914-2025")</f>
        <v/>
      </c>
      <c r="Y288">
        <f>HYPERLINK("https://klasma.github.io/Logging_2305/tillsynsmail/A 40914-2025 tillsynsbegäran mail.docx", "A 40914-2025")</f>
        <v/>
      </c>
    </row>
    <row r="289" ht="15" customHeight="1">
      <c r="A289" t="inlineStr">
        <is>
          <t>A 41059-2025</t>
        </is>
      </c>
      <c r="B289" s="1" t="n">
        <v>45898.40703703704</v>
      </c>
      <c r="C289" s="1" t="n">
        <v>45901</v>
      </c>
      <c r="D289" t="inlineStr">
        <is>
          <t>JÄMTLANDS LÄN</t>
        </is>
      </c>
      <c r="E289" t="inlineStr">
        <is>
          <t>BRÄCKE</t>
        </is>
      </c>
      <c r="F289" t="inlineStr">
        <is>
          <t>SCA</t>
        </is>
      </c>
      <c r="G289" t="n">
        <v>8.9</v>
      </c>
      <c r="H289" t="n">
        <v>0</v>
      </c>
      <c r="I289" t="n">
        <v>0</v>
      </c>
      <c r="J289" t="n">
        <v>1</v>
      </c>
      <c r="K289" t="n">
        <v>0</v>
      </c>
      <c r="L289" t="n">
        <v>0</v>
      </c>
      <c r="M289" t="n">
        <v>0</v>
      </c>
      <c r="N289" t="n">
        <v>0</v>
      </c>
      <c r="O289" t="n">
        <v>1</v>
      </c>
      <c r="P289" t="n">
        <v>0</v>
      </c>
      <c r="Q289" t="n">
        <v>1</v>
      </c>
      <c r="R289" s="2" t="inlineStr">
        <is>
          <t>Lunglav</t>
        </is>
      </c>
      <c r="S289">
        <f>HYPERLINK("https://klasma.github.io/Logging_2305/artfynd/A 41059-2025 artfynd.xlsx", "A 41059-2025")</f>
        <v/>
      </c>
      <c r="T289">
        <f>HYPERLINK("https://klasma.github.io/Logging_2305/kartor/A 41059-2025 karta.png", "A 41059-2025")</f>
        <v/>
      </c>
      <c r="V289">
        <f>HYPERLINK("https://klasma.github.io/Logging_2305/klagomål/A 41059-2025 FSC-klagomål.docx", "A 41059-2025")</f>
        <v/>
      </c>
      <c r="W289">
        <f>HYPERLINK("https://klasma.github.io/Logging_2305/klagomålsmail/A 41059-2025 FSC-klagomål mail.docx", "A 41059-2025")</f>
        <v/>
      </c>
      <c r="X289">
        <f>HYPERLINK("https://klasma.github.io/Logging_2305/tillsyn/A 41059-2025 tillsynsbegäran.docx", "A 41059-2025")</f>
        <v/>
      </c>
      <c r="Y289">
        <f>HYPERLINK("https://klasma.github.io/Logging_2305/tillsynsmail/A 41059-2025 tillsynsbegäran mail.docx", "A 41059-2025")</f>
        <v/>
      </c>
    </row>
    <row r="290" ht="15" customHeight="1">
      <c r="A290" t="inlineStr">
        <is>
          <t>A 35579-2025</t>
        </is>
      </c>
      <c r="B290" s="1" t="n">
        <v>45856.67818287037</v>
      </c>
      <c r="C290" s="1" t="n">
        <v>45901</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Tallticka</t>
        </is>
      </c>
      <c r="S290">
        <f>HYPERLINK("https://klasma.github.io/Logging_2305/artfynd/A 35579-2025 artfynd.xlsx", "A 35579-2025")</f>
        <v/>
      </c>
      <c r="T290">
        <f>HYPERLINK("https://klasma.github.io/Logging_2305/kartor/A 35579-2025 karta.png", "A 35579-2025")</f>
        <v/>
      </c>
      <c r="V290">
        <f>HYPERLINK("https://klasma.github.io/Logging_2305/klagomål/A 35579-2025 FSC-klagomål.docx", "A 35579-2025")</f>
        <v/>
      </c>
      <c r="W290">
        <f>HYPERLINK("https://klasma.github.io/Logging_2305/klagomålsmail/A 35579-2025 FSC-klagomål mail.docx", "A 35579-2025")</f>
        <v/>
      </c>
      <c r="X290">
        <f>HYPERLINK("https://klasma.github.io/Logging_2305/tillsyn/A 35579-2025 tillsynsbegäran.docx", "A 35579-2025")</f>
        <v/>
      </c>
      <c r="Y290">
        <f>HYPERLINK("https://klasma.github.io/Logging_2305/tillsynsmail/A 35579-2025 tillsynsbegäran mail.docx", "A 35579-2025")</f>
        <v/>
      </c>
    </row>
    <row r="291" ht="15" customHeight="1">
      <c r="A291" t="inlineStr">
        <is>
          <t>A 10736-2025</t>
        </is>
      </c>
      <c r="B291" s="1" t="n">
        <v>45722.40664351852</v>
      </c>
      <c r="C291" s="1" t="n">
        <v>45901</v>
      </c>
      <c r="D291" t="inlineStr">
        <is>
          <t>JÄMTLANDS LÄN</t>
        </is>
      </c>
      <c r="E291" t="inlineStr">
        <is>
          <t>BRÄCKE</t>
        </is>
      </c>
      <c r="F291" t="inlineStr">
        <is>
          <t>SCA</t>
        </is>
      </c>
      <c r="G291" t="n">
        <v>5</v>
      </c>
      <c r="H291" t="n">
        <v>1</v>
      </c>
      <c r="I291" t="n">
        <v>0</v>
      </c>
      <c r="J291" t="n">
        <v>0</v>
      </c>
      <c r="K291" t="n">
        <v>0</v>
      </c>
      <c r="L291" t="n">
        <v>0</v>
      </c>
      <c r="M291" t="n">
        <v>0</v>
      </c>
      <c r="N291" t="n">
        <v>0</v>
      </c>
      <c r="O291" t="n">
        <v>0</v>
      </c>
      <c r="P291" t="n">
        <v>0</v>
      </c>
      <c r="Q291" t="n">
        <v>1</v>
      </c>
      <c r="R291" s="2" t="inlineStr">
        <is>
          <t>Järnsparv</t>
        </is>
      </c>
      <c r="S291">
        <f>HYPERLINK("https://klasma.github.io/Logging_2305/artfynd/A 10736-2025 artfynd.xlsx", "A 10736-2025")</f>
        <v/>
      </c>
      <c r="T291">
        <f>HYPERLINK("https://klasma.github.io/Logging_2305/kartor/A 10736-2025 karta.png", "A 10736-2025")</f>
        <v/>
      </c>
      <c r="V291">
        <f>HYPERLINK("https://klasma.github.io/Logging_2305/klagomål/A 10736-2025 FSC-klagomål.docx", "A 10736-2025")</f>
        <v/>
      </c>
      <c r="W291">
        <f>HYPERLINK("https://klasma.github.io/Logging_2305/klagomålsmail/A 10736-2025 FSC-klagomål mail.docx", "A 10736-2025")</f>
        <v/>
      </c>
      <c r="X291">
        <f>HYPERLINK("https://klasma.github.io/Logging_2305/tillsyn/A 10736-2025 tillsynsbegäran.docx", "A 10736-2025")</f>
        <v/>
      </c>
      <c r="Y291">
        <f>HYPERLINK("https://klasma.github.io/Logging_2305/tillsynsmail/A 10736-2025 tillsynsbegäran mail.docx", "A 10736-2025")</f>
        <v/>
      </c>
      <c r="Z291">
        <f>HYPERLINK("https://klasma.github.io/Logging_2305/fåglar/A 10736-2025 prioriterade fågelarter.docx", "A 10736-2025")</f>
        <v/>
      </c>
    </row>
    <row r="292" ht="15" customHeight="1">
      <c r="A292" t="inlineStr">
        <is>
          <t>A 40835-2025</t>
        </is>
      </c>
      <c r="B292" s="1" t="n">
        <v>45897.5114699074</v>
      </c>
      <c r="C292" s="1" t="n">
        <v>45901</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9204-2025</t>
        </is>
      </c>
      <c r="B293" s="1" t="n">
        <v>45714.48988425926</v>
      </c>
      <c r="C293" s="1" t="n">
        <v>45901</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44323-2023</t>
        </is>
      </c>
      <c r="B294" s="1" t="n">
        <v>45188</v>
      </c>
      <c r="C294" s="1" t="n">
        <v>45901</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31479-2024</t>
        </is>
      </c>
      <c r="B295" s="1" t="n">
        <v>45505.95263888889</v>
      </c>
      <c r="C295" s="1" t="n">
        <v>45901</v>
      </c>
      <c r="D295" t="inlineStr">
        <is>
          <t>JÄMTLANDS LÄN</t>
        </is>
      </c>
      <c r="E295" t="inlineStr">
        <is>
          <t>BRÄCKE</t>
        </is>
      </c>
      <c r="F295" t="inlineStr">
        <is>
          <t>SCA</t>
        </is>
      </c>
      <c r="G295" t="n">
        <v>3</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31479-2024 artfynd.xlsx", "A 31479-2024")</f>
        <v/>
      </c>
      <c r="T295">
        <f>HYPERLINK("https://klasma.github.io/Logging_2305/kartor/A 31479-2024 karta.png", "A 31479-2024")</f>
        <v/>
      </c>
      <c r="V295">
        <f>HYPERLINK("https://klasma.github.io/Logging_2305/klagomål/A 31479-2024 FSC-klagomål.docx", "A 31479-2024")</f>
        <v/>
      </c>
      <c r="W295">
        <f>HYPERLINK("https://klasma.github.io/Logging_2305/klagomålsmail/A 31479-2024 FSC-klagomål mail.docx", "A 31479-2024")</f>
        <v/>
      </c>
      <c r="X295">
        <f>HYPERLINK("https://klasma.github.io/Logging_2305/tillsyn/A 31479-2024 tillsynsbegäran.docx", "A 31479-2024")</f>
        <v/>
      </c>
      <c r="Y295">
        <f>HYPERLINK("https://klasma.github.io/Logging_2305/tillsynsmail/A 31479-2024 tillsynsbegäran mail.docx", "A 31479-2024")</f>
        <v/>
      </c>
    </row>
    <row r="296" ht="15" customHeight="1">
      <c r="A296" t="inlineStr">
        <is>
          <t>A 50837-2023</t>
        </is>
      </c>
      <c r="B296" s="1" t="n">
        <v>45217</v>
      </c>
      <c r="C296" s="1" t="n">
        <v>45901</v>
      </c>
      <c r="D296" t="inlineStr">
        <is>
          <t>JÄMTLANDS LÄN</t>
        </is>
      </c>
      <c r="E296" t="inlineStr">
        <is>
          <t>BRÄCKE</t>
        </is>
      </c>
      <c r="F296" t="inlineStr">
        <is>
          <t>SCA</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HYPERLINK("https://klasma.github.io/Logging_2305/artfynd/A 50837-2023 artfynd.xlsx", "A 50837-2023")</f>
        <v/>
      </c>
      <c r="T296">
        <f>HYPERLINK("https://klasma.github.io/Logging_2305/kartor/A 50837-2023 karta.png", "A 50837-2023")</f>
        <v/>
      </c>
      <c r="V296">
        <f>HYPERLINK("https://klasma.github.io/Logging_2305/klagomål/A 50837-2023 FSC-klagomål.docx", "A 50837-2023")</f>
        <v/>
      </c>
      <c r="W296">
        <f>HYPERLINK("https://klasma.github.io/Logging_2305/klagomålsmail/A 50837-2023 FSC-klagomål mail.docx", "A 50837-2023")</f>
        <v/>
      </c>
      <c r="X296">
        <f>HYPERLINK("https://klasma.github.io/Logging_2305/tillsyn/A 50837-2023 tillsynsbegäran.docx", "A 50837-2023")</f>
        <v/>
      </c>
      <c r="Y296">
        <f>HYPERLINK("https://klasma.github.io/Logging_2305/tillsynsmail/A 50837-2023 tillsynsbegäran mail.docx", "A 50837-2023")</f>
        <v/>
      </c>
      <c r="Z296">
        <f>HYPERLINK("https://klasma.github.io/Logging_2305/fåglar/A 50837-2023 prioriterade fågelarter.docx", "A 50837-2023")</f>
        <v/>
      </c>
    </row>
    <row r="297" ht="15" customHeight="1">
      <c r="A297" t="inlineStr">
        <is>
          <t>A 724-2023</t>
        </is>
      </c>
      <c r="B297" s="1" t="n">
        <v>44930.94215277778</v>
      </c>
      <c r="C297" s="1" t="n">
        <v>45901</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2063-2024</t>
        </is>
      </c>
      <c r="B298" s="1" t="n">
        <v>45308</v>
      </c>
      <c r="C298" s="1" t="n">
        <v>45901</v>
      </c>
      <c r="D298" t="inlineStr">
        <is>
          <t>JÄMTLANDS LÄN</t>
        </is>
      </c>
      <c r="E298" t="inlineStr">
        <is>
          <t>BRÄCKE</t>
        </is>
      </c>
      <c r="F298" t="inlineStr">
        <is>
          <t>SCA</t>
        </is>
      </c>
      <c r="G298" t="n">
        <v>5.7</v>
      </c>
      <c r="H298" t="n">
        <v>0</v>
      </c>
      <c r="I298" t="n">
        <v>0</v>
      </c>
      <c r="J298" t="n">
        <v>0</v>
      </c>
      <c r="K298" t="n">
        <v>1</v>
      </c>
      <c r="L298" t="n">
        <v>0</v>
      </c>
      <c r="M298" t="n">
        <v>0</v>
      </c>
      <c r="N298" t="n">
        <v>0</v>
      </c>
      <c r="O298" t="n">
        <v>1</v>
      </c>
      <c r="P298" t="n">
        <v>1</v>
      </c>
      <c r="Q298" t="n">
        <v>1</v>
      </c>
      <c r="R298" s="2" t="inlineStr">
        <is>
          <t>Gräddporing</t>
        </is>
      </c>
      <c r="S298">
        <f>HYPERLINK("https://klasma.github.io/Logging_2305/artfynd/A 2063-2024 artfynd.xlsx", "A 2063-2024")</f>
        <v/>
      </c>
      <c r="T298">
        <f>HYPERLINK("https://klasma.github.io/Logging_2305/kartor/A 2063-2024 karta.png", "A 2063-2024")</f>
        <v/>
      </c>
      <c r="V298">
        <f>HYPERLINK("https://klasma.github.io/Logging_2305/klagomål/A 2063-2024 FSC-klagomål.docx", "A 2063-2024")</f>
        <v/>
      </c>
      <c r="W298">
        <f>HYPERLINK("https://klasma.github.io/Logging_2305/klagomålsmail/A 2063-2024 FSC-klagomål mail.docx", "A 2063-2024")</f>
        <v/>
      </c>
      <c r="X298">
        <f>HYPERLINK("https://klasma.github.io/Logging_2305/tillsyn/A 2063-2024 tillsynsbegäran.docx", "A 2063-2024")</f>
        <v/>
      </c>
      <c r="Y298">
        <f>HYPERLINK("https://klasma.github.io/Logging_2305/tillsynsmail/A 2063-2024 tillsynsbegäran mail.docx", "A 2063-2024")</f>
        <v/>
      </c>
    </row>
    <row r="299" ht="15" customHeight="1">
      <c r="A299" t="inlineStr">
        <is>
          <t>A 7686-2025</t>
        </is>
      </c>
      <c r="B299" s="1" t="n">
        <v>45706.38579861111</v>
      </c>
      <c r="C299" s="1" t="n">
        <v>45901</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24552-2022</t>
        </is>
      </c>
      <c r="B300" s="1" t="n">
        <v>44726</v>
      </c>
      <c r="C300" s="1" t="n">
        <v>45901</v>
      </c>
      <c r="D300" t="inlineStr">
        <is>
          <t>JÄMTLANDS LÄN</t>
        </is>
      </c>
      <c r="E300" t="inlineStr">
        <is>
          <t>BRÄCKE</t>
        </is>
      </c>
      <c r="G300" t="n">
        <v>2.6</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HYPERLINK("https://klasma.github.io/Logging_2305/artfynd/A 24552-2022 artfynd.xlsx", "A 24552-2022")</f>
        <v/>
      </c>
      <c r="T300">
        <f>HYPERLINK("https://klasma.github.io/Logging_2305/kartor/A 24552-2022 karta.png", "A 24552-2022")</f>
        <v/>
      </c>
      <c r="V300">
        <f>HYPERLINK("https://klasma.github.io/Logging_2305/klagomål/A 24552-2022 FSC-klagomål.docx", "A 24552-2022")</f>
        <v/>
      </c>
      <c r="W300">
        <f>HYPERLINK("https://klasma.github.io/Logging_2305/klagomålsmail/A 24552-2022 FSC-klagomål mail.docx", "A 24552-2022")</f>
        <v/>
      </c>
      <c r="X300">
        <f>HYPERLINK("https://klasma.github.io/Logging_2305/tillsyn/A 24552-2022 tillsynsbegäran.docx", "A 24552-2022")</f>
        <v/>
      </c>
      <c r="Y300">
        <f>HYPERLINK("https://klasma.github.io/Logging_2305/tillsynsmail/A 24552-2022 tillsynsbegäran mail.docx", "A 24552-2022")</f>
        <v/>
      </c>
    </row>
    <row r="301" ht="15" customHeight="1">
      <c r="A301" t="inlineStr">
        <is>
          <t>A 11614-2024</t>
        </is>
      </c>
      <c r="B301" s="1" t="n">
        <v>45373.42134259259</v>
      </c>
      <c r="C301" s="1" t="n">
        <v>45901</v>
      </c>
      <c r="D301" t="inlineStr">
        <is>
          <t>JÄMTLANDS LÄN</t>
        </is>
      </c>
      <c r="E301" t="inlineStr">
        <is>
          <t>BRÄCKE</t>
        </is>
      </c>
      <c r="G301" t="n">
        <v>4.3</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11614-2024 artfynd.xlsx", "A 11614-2024")</f>
        <v/>
      </c>
      <c r="T301">
        <f>HYPERLINK("https://klasma.github.io/Logging_2305/kartor/A 11614-2024 karta.png", "A 11614-2024")</f>
        <v/>
      </c>
      <c r="V301">
        <f>HYPERLINK("https://klasma.github.io/Logging_2305/klagomål/A 11614-2024 FSC-klagomål.docx", "A 11614-2024")</f>
        <v/>
      </c>
      <c r="W301">
        <f>HYPERLINK("https://klasma.github.io/Logging_2305/klagomålsmail/A 11614-2024 FSC-klagomål mail.docx", "A 11614-2024")</f>
        <v/>
      </c>
      <c r="X301">
        <f>HYPERLINK("https://klasma.github.io/Logging_2305/tillsyn/A 11614-2024 tillsynsbegäran.docx", "A 11614-2024")</f>
        <v/>
      </c>
      <c r="Y301">
        <f>HYPERLINK("https://klasma.github.io/Logging_2305/tillsynsmail/A 11614-2024 tillsynsbegäran mail.docx", "A 11614-2024")</f>
        <v/>
      </c>
    </row>
    <row r="302" ht="15" customHeight="1">
      <c r="A302" t="inlineStr">
        <is>
          <t>A 30336-2024</t>
        </is>
      </c>
      <c r="B302" s="1" t="n">
        <v>45490.95415509259</v>
      </c>
      <c r="C302" s="1" t="n">
        <v>45901</v>
      </c>
      <c r="D302" t="inlineStr">
        <is>
          <t>JÄMTLANDS LÄN</t>
        </is>
      </c>
      <c r="E302" t="inlineStr">
        <is>
          <t>BRÄCKE</t>
        </is>
      </c>
      <c r="F302" t="inlineStr">
        <is>
          <t>SCA</t>
        </is>
      </c>
      <c r="G302" t="n">
        <v>2.8</v>
      </c>
      <c r="H302" t="n">
        <v>0</v>
      </c>
      <c r="I302" t="n">
        <v>1</v>
      </c>
      <c r="J302" t="n">
        <v>0</v>
      </c>
      <c r="K302" t="n">
        <v>0</v>
      </c>
      <c r="L302" t="n">
        <v>0</v>
      </c>
      <c r="M302" t="n">
        <v>0</v>
      </c>
      <c r="N302" t="n">
        <v>0</v>
      </c>
      <c r="O302" t="n">
        <v>0</v>
      </c>
      <c r="P302" t="n">
        <v>0</v>
      </c>
      <c r="Q302" t="n">
        <v>1</v>
      </c>
      <c r="R302" s="2" t="inlineStr">
        <is>
          <t>Skinnlav</t>
        </is>
      </c>
      <c r="S302">
        <f>HYPERLINK("https://klasma.github.io/Logging_2305/artfynd/A 30336-2024 artfynd.xlsx", "A 30336-2024")</f>
        <v/>
      </c>
      <c r="T302">
        <f>HYPERLINK("https://klasma.github.io/Logging_2305/kartor/A 30336-2024 karta.png", "A 30336-2024")</f>
        <v/>
      </c>
      <c r="V302">
        <f>HYPERLINK("https://klasma.github.io/Logging_2305/klagomål/A 30336-2024 FSC-klagomål.docx", "A 30336-2024")</f>
        <v/>
      </c>
      <c r="W302">
        <f>HYPERLINK("https://klasma.github.io/Logging_2305/klagomålsmail/A 30336-2024 FSC-klagomål mail.docx", "A 30336-2024")</f>
        <v/>
      </c>
      <c r="X302">
        <f>HYPERLINK("https://klasma.github.io/Logging_2305/tillsyn/A 30336-2024 tillsynsbegäran.docx", "A 30336-2024")</f>
        <v/>
      </c>
      <c r="Y302">
        <f>HYPERLINK("https://klasma.github.io/Logging_2305/tillsynsmail/A 30336-2024 tillsynsbegäran mail.docx", "A 30336-2024")</f>
        <v/>
      </c>
    </row>
    <row r="303" ht="15" customHeight="1">
      <c r="A303" t="inlineStr">
        <is>
          <t>A 35023-2022</t>
        </is>
      </c>
      <c r="B303" s="1" t="n">
        <v>44796</v>
      </c>
      <c r="C303" s="1" t="n">
        <v>45901</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698-2025</t>
        </is>
      </c>
      <c r="B304" s="1" t="n">
        <v>45665.34416666667</v>
      </c>
      <c r="C304" s="1" t="n">
        <v>45901</v>
      </c>
      <c r="D304" t="inlineStr">
        <is>
          <t>JÄMTLANDS LÄN</t>
        </is>
      </c>
      <c r="E304" t="inlineStr">
        <is>
          <t>BRÄCKE</t>
        </is>
      </c>
      <c r="F304" t="inlineStr">
        <is>
          <t>SCA</t>
        </is>
      </c>
      <c r="G304" t="n">
        <v>4.6</v>
      </c>
      <c r="H304" t="n">
        <v>0</v>
      </c>
      <c r="I304" t="n">
        <v>0</v>
      </c>
      <c r="J304" t="n">
        <v>1</v>
      </c>
      <c r="K304" t="n">
        <v>0</v>
      </c>
      <c r="L304" t="n">
        <v>0</v>
      </c>
      <c r="M304" t="n">
        <v>0</v>
      </c>
      <c r="N304" t="n">
        <v>0</v>
      </c>
      <c r="O304" t="n">
        <v>1</v>
      </c>
      <c r="P304" t="n">
        <v>0</v>
      </c>
      <c r="Q304" t="n">
        <v>1</v>
      </c>
      <c r="R304" s="2" t="inlineStr">
        <is>
          <t>Lunglav</t>
        </is>
      </c>
      <c r="S304">
        <f>HYPERLINK("https://klasma.github.io/Logging_2305/artfynd/A 698-2025 artfynd.xlsx", "A 698-2025")</f>
        <v/>
      </c>
      <c r="T304">
        <f>HYPERLINK("https://klasma.github.io/Logging_2305/kartor/A 698-2025 karta.png", "A 698-2025")</f>
        <v/>
      </c>
      <c r="V304">
        <f>HYPERLINK("https://klasma.github.io/Logging_2305/klagomål/A 698-2025 FSC-klagomål.docx", "A 698-2025")</f>
        <v/>
      </c>
      <c r="W304">
        <f>HYPERLINK("https://klasma.github.io/Logging_2305/klagomålsmail/A 698-2025 FSC-klagomål mail.docx", "A 698-2025")</f>
        <v/>
      </c>
      <c r="X304">
        <f>HYPERLINK("https://klasma.github.io/Logging_2305/tillsyn/A 698-2025 tillsynsbegäran.docx", "A 698-2025")</f>
        <v/>
      </c>
      <c r="Y304">
        <f>HYPERLINK("https://klasma.github.io/Logging_2305/tillsynsmail/A 698-2025 tillsynsbegäran mail.docx", "A 698-2025")</f>
        <v/>
      </c>
    </row>
    <row r="305" ht="15" customHeight="1">
      <c r="A305" t="inlineStr">
        <is>
          <t>A 11549-2025</t>
        </is>
      </c>
      <c r="B305" s="1" t="n">
        <v>45727.34460648148</v>
      </c>
      <c r="C305" s="1" t="n">
        <v>45901</v>
      </c>
      <c r="D305" t="inlineStr">
        <is>
          <t>JÄMTLANDS LÄN</t>
        </is>
      </c>
      <c r="E305" t="inlineStr">
        <is>
          <t>BRÄCKE</t>
        </is>
      </c>
      <c r="F305" t="inlineStr">
        <is>
          <t>SCA</t>
        </is>
      </c>
      <c r="G305" t="n">
        <v>6.4</v>
      </c>
      <c r="H305" t="n">
        <v>0</v>
      </c>
      <c r="I305" t="n">
        <v>0</v>
      </c>
      <c r="J305" t="n">
        <v>1</v>
      </c>
      <c r="K305" t="n">
        <v>0</v>
      </c>
      <c r="L305" t="n">
        <v>0</v>
      </c>
      <c r="M305" t="n">
        <v>0</v>
      </c>
      <c r="N305" t="n">
        <v>0</v>
      </c>
      <c r="O305" t="n">
        <v>1</v>
      </c>
      <c r="P305" t="n">
        <v>0</v>
      </c>
      <c r="Q305" t="n">
        <v>1</v>
      </c>
      <c r="R305" s="2" t="inlineStr">
        <is>
          <t>Vedtrappmossa</t>
        </is>
      </c>
      <c r="S305">
        <f>HYPERLINK("https://klasma.github.io/Logging_2305/artfynd/A 11549-2025 artfynd.xlsx", "A 11549-2025")</f>
        <v/>
      </c>
      <c r="T305">
        <f>HYPERLINK("https://klasma.github.io/Logging_2305/kartor/A 11549-2025 karta.png", "A 11549-2025")</f>
        <v/>
      </c>
      <c r="V305">
        <f>HYPERLINK("https://klasma.github.io/Logging_2305/klagomål/A 11549-2025 FSC-klagomål.docx", "A 11549-2025")</f>
        <v/>
      </c>
      <c r="W305">
        <f>HYPERLINK("https://klasma.github.io/Logging_2305/klagomålsmail/A 11549-2025 FSC-klagomål mail.docx", "A 11549-2025")</f>
        <v/>
      </c>
      <c r="X305">
        <f>HYPERLINK("https://klasma.github.io/Logging_2305/tillsyn/A 11549-2025 tillsynsbegäran.docx", "A 11549-2025")</f>
        <v/>
      </c>
      <c r="Y305">
        <f>HYPERLINK("https://klasma.github.io/Logging_2305/tillsynsmail/A 11549-2025 tillsynsbegäran mail.docx", "A 11549-2025")</f>
        <v/>
      </c>
    </row>
    <row r="306" ht="15" customHeight="1">
      <c r="A306" t="inlineStr">
        <is>
          <t>A 33479-2024</t>
        </is>
      </c>
      <c r="B306" s="1" t="n">
        <v>45519.60824074074</v>
      </c>
      <c r="C306" s="1" t="n">
        <v>45901</v>
      </c>
      <c r="D306" t="inlineStr">
        <is>
          <t>JÄMTLANDS LÄN</t>
        </is>
      </c>
      <c r="E306" t="inlineStr">
        <is>
          <t>BRÄCKE</t>
        </is>
      </c>
      <c r="F306" t="inlineStr">
        <is>
          <t>SCA</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HYPERLINK("https://klasma.github.io/Logging_2305/artfynd/A 33479-2024 artfynd.xlsx", "A 33479-2024")</f>
        <v/>
      </c>
      <c r="T306">
        <f>HYPERLINK("https://klasma.github.io/Logging_2305/kartor/A 33479-2024 karta.png", "A 33479-2024")</f>
        <v/>
      </c>
      <c r="V306">
        <f>HYPERLINK("https://klasma.github.io/Logging_2305/klagomål/A 33479-2024 FSC-klagomål.docx", "A 33479-2024")</f>
        <v/>
      </c>
      <c r="W306">
        <f>HYPERLINK("https://klasma.github.io/Logging_2305/klagomålsmail/A 33479-2024 FSC-klagomål mail.docx", "A 33479-2024")</f>
        <v/>
      </c>
      <c r="X306">
        <f>HYPERLINK("https://klasma.github.io/Logging_2305/tillsyn/A 33479-2024 tillsynsbegäran.docx", "A 33479-2024")</f>
        <v/>
      </c>
      <c r="Y306">
        <f>HYPERLINK("https://klasma.github.io/Logging_2305/tillsynsmail/A 33479-2024 tillsynsbegäran mail.docx", "A 33479-2024")</f>
        <v/>
      </c>
    </row>
    <row r="307" ht="15" customHeight="1">
      <c r="A307" t="inlineStr">
        <is>
          <t>A 57553-2024</t>
        </is>
      </c>
      <c r="B307" s="1" t="n">
        <v>45630.44898148148</v>
      </c>
      <c r="C307" s="1" t="n">
        <v>45901</v>
      </c>
      <c r="D307" t="inlineStr">
        <is>
          <t>JÄMTLANDS LÄN</t>
        </is>
      </c>
      <c r="E307" t="inlineStr">
        <is>
          <t>BRÄCKE</t>
        </is>
      </c>
      <c r="F307" t="inlineStr">
        <is>
          <t>SCA</t>
        </is>
      </c>
      <c r="G307" t="n">
        <v>8</v>
      </c>
      <c r="H307" t="n">
        <v>0</v>
      </c>
      <c r="I307" t="n">
        <v>0</v>
      </c>
      <c r="J307" t="n">
        <v>1</v>
      </c>
      <c r="K307" t="n">
        <v>0</v>
      </c>
      <c r="L307" t="n">
        <v>0</v>
      </c>
      <c r="M307" t="n">
        <v>0</v>
      </c>
      <c r="N307" t="n">
        <v>0</v>
      </c>
      <c r="O307" t="n">
        <v>1</v>
      </c>
      <c r="P307" t="n">
        <v>0</v>
      </c>
      <c r="Q307" t="n">
        <v>1</v>
      </c>
      <c r="R307" s="2" t="inlineStr">
        <is>
          <t>Lunglav</t>
        </is>
      </c>
      <c r="S307">
        <f>HYPERLINK("https://klasma.github.io/Logging_2305/artfynd/A 57553-2024 artfynd.xlsx", "A 57553-2024")</f>
        <v/>
      </c>
      <c r="T307">
        <f>HYPERLINK("https://klasma.github.io/Logging_2305/kartor/A 57553-2024 karta.png", "A 57553-2024")</f>
        <v/>
      </c>
      <c r="V307">
        <f>HYPERLINK("https://klasma.github.io/Logging_2305/klagomål/A 57553-2024 FSC-klagomål.docx", "A 57553-2024")</f>
        <v/>
      </c>
      <c r="W307">
        <f>HYPERLINK("https://klasma.github.io/Logging_2305/klagomålsmail/A 57553-2024 FSC-klagomål mail.docx", "A 57553-2024")</f>
        <v/>
      </c>
      <c r="X307">
        <f>HYPERLINK("https://klasma.github.io/Logging_2305/tillsyn/A 57553-2024 tillsynsbegäran.docx", "A 57553-2024")</f>
        <v/>
      </c>
      <c r="Y307">
        <f>HYPERLINK("https://klasma.github.io/Logging_2305/tillsynsmail/A 57553-2024 tillsynsbegäran mail.docx", "A 57553-2024")</f>
        <v/>
      </c>
    </row>
    <row r="308" ht="15" customHeight="1">
      <c r="A308" t="inlineStr">
        <is>
          <t>A 14374-2024</t>
        </is>
      </c>
      <c r="B308" s="1" t="n">
        <v>45393</v>
      </c>
      <c r="C308" s="1" t="n">
        <v>45901</v>
      </c>
      <c r="D308" t="inlineStr">
        <is>
          <t>JÄMTLANDS LÄN</t>
        </is>
      </c>
      <c r="E308" t="inlineStr">
        <is>
          <t>BRÄCKE</t>
        </is>
      </c>
      <c r="F308" t="inlineStr">
        <is>
          <t>SCA</t>
        </is>
      </c>
      <c r="G308" t="n">
        <v>0.8</v>
      </c>
      <c r="H308" t="n">
        <v>1</v>
      </c>
      <c r="I308" t="n">
        <v>0</v>
      </c>
      <c r="J308" t="n">
        <v>1</v>
      </c>
      <c r="K308" t="n">
        <v>0</v>
      </c>
      <c r="L308" t="n">
        <v>0</v>
      </c>
      <c r="M308" t="n">
        <v>0</v>
      </c>
      <c r="N308" t="n">
        <v>0</v>
      </c>
      <c r="O308" t="n">
        <v>1</v>
      </c>
      <c r="P308" t="n">
        <v>0</v>
      </c>
      <c r="Q308" t="n">
        <v>1</v>
      </c>
      <c r="R308" s="2" t="inlineStr">
        <is>
          <t>Kungsörn</t>
        </is>
      </c>
      <c r="S308">
        <f>HYPERLINK("https://klasma.github.io/Logging_2305/artfynd/A 14374-2024 artfynd.xlsx", "A 14374-2024")</f>
        <v/>
      </c>
      <c r="T308">
        <f>HYPERLINK("https://klasma.github.io/Logging_2305/kartor/A 14374-2024 karta.png", "A 14374-2024")</f>
        <v/>
      </c>
      <c r="V308">
        <f>HYPERLINK("https://klasma.github.io/Logging_2305/klagomål/A 14374-2024 FSC-klagomål.docx", "A 14374-2024")</f>
        <v/>
      </c>
      <c r="W308">
        <f>HYPERLINK("https://klasma.github.io/Logging_2305/klagomålsmail/A 14374-2024 FSC-klagomål mail.docx", "A 14374-2024")</f>
        <v/>
      </c>
      <c r="X308">
        <f>HYPERLINK("https://klasma.github.io/Logging_2305/tillsyn/A 14374-2024 tillsynsbegäran.docx", "A 14374-2024")</f>
        <v/>
      </c>
      <c r="Y308">
        <f>HYPERLINK("https://klasma.github.io/Logging_2305/tillsynsmail/A 14374-2024 tillsynsbegäran mail.docx", "A 14374-2024")</f>
        <v/>
      </c>
      <c r="Z308">
        <f>HYPERLINK("https://klasma.github.io/Logging_2305/fåglar/A 14374-2024 prioriterade fågelarter.docx", "A 14374-2024")</f>
        <v/>
      </c>
    </row>
    <row r="309" ht="15" customHeight="1">
      <c r="A309" t="inlineStr">
        <is>
          <t>A 12296-2025</t>
        </is>
      </c>
      <c r="B309" s="1" t="n">
        <v>45729.69829861111</v>
      </c>
      <c r="C309" s="1" t="n">
        <v>45901</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56156-2024</t>
        </is>
      </c>
      <c r="B310" s="1" t="n">
        <v>45624.53180555555</v>
      </c>
      <c r="C310" s="1" t="n">
        <v>45901</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45901</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45901</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45901</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45901</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45901</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45901</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45901</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45901</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62970-2020</t>
        </is>
      </c>
      <c r="B319" s="1" t="n">
        <v>44162</v>
      </c>
      <c r="C319" s="1" t="n">
        <v>45901</v>
      </c>
      <c r="D319" t="inlineStr">
        <is>
          <t>JÄMTLANDS LÄN</t>
        </is>
      </c>
      <c r="E319" t="inlineStr">
        <is>
          <t>BRÄCKE</t>
        </is>
      </c>
      <c r="G319" t="n">
        <v>2.4</v>
      </c>
      <c r="H319" t="n">
        <v>0</v>
      </c>
      <c r="I319" t="n">
        <v>0</v>
      </c>
      <c r="J319" t="n">
        <v>0</v>
      </c>
      <c r="K319" t="n">
        <v>0</v>
      </c>
      <c r="L319" t="n">
        <v>0</v>
      </c>
      <c r="M319" t="n">
        <v>0</v>
      </c>
      <c r="N319" t="n">
        <v>0</v>
      </c>
      <c r="O319" t="n">
        <v>0</v>
      </c>
      <c r="P319" t="n">
        <v>0</v>
      </c>
      <c r="Q319" t="n">
        <v>0</v>
      </c>
      <c r="R319" s="2" t="inlineStr"/>
    </row>
    <row r="320" ht="15" customHeight="1">
      <c r="A320" t="inlineStr">
        <is>
          <t>A 36840-2022</t>
        </is>
      </c>
      <c r="B320" s="1" t="n">
        <v>44805</v>
      </c>
      <c r="C320" s="1" t="n">
        <v>45901</v>
      </c>
      <c r="D320" t="inlineStr">
        <is>
          <t>JÄMTLANDS LÄN</t>
        </is>
      </c>
      <c r="E320" t="inlineStr">
        <is>
          <t>BRÄCKE</t>
        </is>
      </c>
      <c r="G320" t="n">
        <v>1.2</v>
      </c>
      <c r="H320" t="n">
        <v>0</v>
      </c>
      <c r="I320" t="n">
        <v>0</v>
      </c>
      <c r="J320" t="n">
        <v>0</v>
      </c>
      <c r="K320" t="n">
        <v>0</v>
      </c>
      <c r="L320" t="n">
        <v>0</v>
      </c>
      <c r="M320" t="n">
        <v>0</v>
      </c>
      <c r="N320" t="n">
        <v>0</v>
      </c>
      <c r="O320" t="n">
        <v>0</v>
      </c>
      <c r="P320" t="n">
        <v>0</v>
      </c>
      <c r="Q320" t="n">
        <v>0</v>
      </c>
      <c r="R320" s="2" t="inlineStr"/>
    </row>
    <row r="321" ht="15" customHeight="1">
      <c r="A321" t="inlineStr">
        <is>
          <t>A 44752-2022</t>
        </is>
      </c>
      <c r="B321" s="1" t="n">
        <v>44840</v>
      </c>
      <c r="C321" s="1" t="n">
        <v>45901</v>
      </c>
      <c r="D321" t="inlineStr">
        <is>
          <t>JÄMTLANDS LÄN</t>
        </is>
      </c>
      <c r="E321" t="inlineStr">
        <is>
          <t>BRÄCKE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51022-2022</t>
        </is>
      </c>
      <c r="B322" s="1" t="n">
        <v>44867</v>
      </c>
      <c r="C322" s="1" t="n">
        <v>45901</v>
      </c>
      <c r="D322" t="inlineStr">
        <is>
          <t>JÄMTLANDS LÄN</t>
        </is>
      </c>
      <c r="E322" t="inlineStr">
        <is>
          <t>BRÄCKE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45901</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45901</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45901</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44908-2020</t>
        </is>
      </c>
      <c r="B326" s="1" t="n">
        <v>44088</v>
      </c>
      <c r="C326" s="1" t="n">
        <v>45901</v>
      </c>
      <c r="D326" t="inlineStr">
        <is>
          <t>JÄMTLANDS LÄN</t>
        </is>
      </c>
      <c r="E326" t="inlineStr">
        <is>
          <t>BRÄCKE</t>
        </is>
      </c>
      <c r="G326" t="n">
        <v>6.1</v>
      </c>
      <c r="H326" t="n">
        <v>0</v>
      </c>
      <c r="I326" t="n">
        <v>0</v>
      </c>
      <c r="J326" t="n">
        <v>0</v>
      </c>
      <c r="K326" t="n">
        <v>0</v>
      </c>
      <c r="L326" t="n">
        <v>0</v>
      </c>
      <c r="M326" t="n">
        <v>0</v>
      </c>
      <c r="N326" t="n">
        <v>0</v>
      </c>
      <c r="O326" t="n">
        <v>0</v>
      </c>
      <c r="P326" t="n">
        <v>0</v>
      </c>
      <c r="Q326" t="n">
        <v>0</v>
      </c>
      <c r="R326" s="2" t="inlineStr"/>
    </row>
    <row r="327" ht="15" customHeight="1">
      <c r="A327" t="inlineStr">
        <is>
          <t>A 59322-2021</t>
        </is>
      </c>
      <c r="B327" s="1" t="n">
        <v>44490.94116898148</v>
      </c>
      <c r="C327" s="1" t="n">
        <v>45901</v>
      </c>
      <c r="D327" t="inlineStr">
        <is>
          <t>JÄMTLANDS LÄN</t>
        </is>
      </c>
      <c r="E327" t="inlineStr">
        <is>
          <t>BRÄCKE</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66443-2020</t>
        </is>
      </c>
      <c r="B328" s="1" t="n">
        <v>44176</v>
      </c>
      <c r="C328" s="1" t="n">
        <v>45901</v>
      </c>
      <c r="D328" t="inlineStr">
        <is>
          <t>JÄMTLANDS LÄN</t>
        </is>
      </c>
      <c r="E328" t="inlineStr">
        <is>
          <t>BRÄCKE</t>
        </is>
      </c>
      <c r="G328" t="n">
        <v>2.8</v>
      </c>
      <c r="H328" t="n">
        <v>0</v>
      </c>
      <c r="I328" t="n">
        <v>0</v>
      </c>
      <c r="J328" t="n">
        <v>0</v>
      </c>
      <c r="K328" t="n">
        <v>0</v>
      </c>
      <c r="L328" t="n">
        <v>0</v>
      </c>
      <c r="M328" t="n">
        <v>0</v>
      </c>
      <c r="N328" t="n">
        <v>0</v>
      </c>
      <c r="O328" t="n">
        <v>0</v>
      </c>
      <c r="P328" t="n">
        <v>0</v>
      </c>
      <c r="Q328" t="n">
        <v>0</v>
      </c>
      <c r="R328" s="2" t="inlineStr"/>
    </row>
    <row r="329" ht="15" customHeight="1">
      <c r="A329" t="inlineStr">
        <is>
          <t>A 18006-2021</t>
        </is>
      </c>
      <c r="B329" s="1" t="n">
        <v>44301</v>
      </c>
      <c r="C329" s="1" t="n">
        <v>45901</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1027-2021</t>
        </is>
      </c>
      <c r="B330" s="1" t="n">
        <v>44207</v>
      </c>
      <c r="C330" s="1" t="n">
        <v>45901</v>
      </c>
      <c r="D330" t="inlineStr">
        <is>
          <t>JÄMTLANDS LÄN</t>
        </is>
      </c>
      <c r="E330" t="inlineStr">
        <is>
          <t>BRÄCKE</t>
        </is>
      </c>
      <c r="G330" t="n">
        <v>2.7</v>
      </c>
      <c r="H330" t="n">
        <v>0</v>
      </c>
      <c r="I330" t="n">
        <v>0</v>
      </c>
      <c r="J330" t="n">
        <v>0</v>
      </c>
      <c r="K330" t="n">
        <v>0</v>
      </c>
      <c r="L330" t="n">
        <v>0</v>
      </c>
      <c r="M330" t="n">
        <v>0</v>
      </c>
      <c r="N330" t="n">
        <v>0</v>
      </c>
      <c r="O330" t="n">
        <v>0</v>
      </c>
      <c r="P330" t="n">
        <v>0</v>
      </c>
      <c r="Q330" t="n">
        <v>0</v>
      </c>
      <c r="R330" s="2" t="inlineStr"/>
    </row>
    <row r="331" ht="15" customHeight="1">
      <c r="A331" t="inlineStr">
        <is>
          <t>A 5380-2022</t>
        </is>
      </c>
      <c r="B331" s="1" t="n">
        <v>44594</v>
      </c>
      <c r="C331" s="1" t="n">
        <v>45901</v>
      </c>
      <c r="D331" t="inlineStr">
        <is>
          <t>JÄMTLANDS LÄN</t>
        </is>
      </c>
      <c r="E331" t="inlineStr">
        <is>
          <t>BRÄCKE</t>
        </is>
      </c>
      <c r="F331" t="inlineStr">
        <is>
          <t>SCA</t>
        </is>
      </c>
      <c r="G331" t="n">
        <v>18.3</v>
      </c>
      <c r="H331" t="n">
        <v>0</v>
      </c>
      <c r="I331" t="n">
        <v>0</v>
      </c>
      <c r="J331" t="n">
        <v>0</v>
      </c>
      <c r="K331" t="n">
        <v>0</v>
      </c>
      <c r="L331" t="n">
        <v>0</v>
      </c>
      <c r="M331" t="n">
        <v>0</v>
      </c>
      <c r="N331" t="n">
        <v>0</v>
      </c>
      <c r="O331" t="n">
        <v>0</v>
      </c>
      <c r="P331" t="n">
        <v>0</v>
      </c>
      <c r="Q331" t="n">
        <v>0</v>
      </c>
      <c r="R331" s="2" t="inlineStr"/>
      <c r="U331">
        <f>HYPERLINK("https://klasma.github.io/Logging_2305/knärot/A 5380-2022 karta knärot.png", "A 5380-2022")</f>
        <v/>
      </c>
      <c r="V331">
        <f>HYPERLINK("https://klasma.github.io/Logging_2305/klagomål/A 5380-2022 FSC-klagomål.docx", "A 5380-2022")</f>
        <v/>
      </c>
      <c r="W331">
        <f>HYPERLINK("https://klasma.github.io/Logging_2305/klagomålsmail/A 5380-2022 FSC-klagomål mail.docx", "A 5380-2022")</f>
        <v/>
      </c>
      <c r="X331">
        <f>HYPERLINK("https://klasma.github.io/Logging_2305/tillsyn/A 5380-2022 tillsynsbegäran.docx", "A 5380-2022")</f>
        <v/>
      </c>
      <c r="Y331">
        <f>HYPERLINK("https://klasma.github.io/Logging_2305/tillsynsmail/A 5380-2022 tillsynsbegäran mail.docx", "A 5380-2022")</f>
        <v/>
      </c>
    </row>
    <row r="332" ht="15" customHeight="1">
      <c r="A332" t="inlineStr">
        <is>
          <t>A 63590-2021</t>
        </is>
      </c>
      <c r="B332" s="1" t="n">
        <v>44508.92332175926</v>
      </c>
      <c r="C332" s="1" t="n">
        <v>45901</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43421-2022</t>
        </is>
      </c>
      <c r="B333" s="1" t="n">
        <v>44834</v>
      </c>
      <c r="C333" s="1" t="n">
        <v>45901</v>
      </c>
      <c r="D333" t="inlineStr">
        <is>
          <t>JÄMTLANDS LÄN</t>
        </is>
      </c>
      <c r="E333" t="inlineStr">
        <is>
          <t>BRÄCKE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41474-2021</t>
        </is>
      </c>
      <c r="B334" s="1" t="n">
        <v>44424</v>
      </c>
      <c r="C334" s="1" t="n">
        <v>45901</v>
      </c>
      <c r="D334" t="inlineStr">
        <is>
          <t>JÄMTLANDS LÄN</t>
        </is>
      </c>
      <c r="E334" t="inlineStr">
        <is>
          <t>BRÄCKE</t>
        </is>
      </c>
      <c r="G334" t="n">
        <v>2.3</v>
      </c>
      <c r="H334" t="n">
        <v>0</v>
      </c>
      <c r="I334" t="n">
        <v>0</v>
      </c>
      <c r="J334" t="n">
        <v>0</v>
      </c>
      <c r="K334" t="n">
        <v>0</v>
      </c>
      <c r="L334" t="n">
        <v>0</v>
      </c>
      <c r="M334" t="n">
        <v>0</v>
      </c>
      <c r="N334" t="n">
        <v>0</v>
      </c>
      <c r="O334" t="n">
        <v>0</v>
      </c>
      <c r="P334" t="n">
        <v>0</v>
      </c>
      <c r="Q334" t="n">
        <v>0</v>
      </c>
      <c r="R334" s="2" t="inlineStr"/>
    </row>
    <row r="335" ht="15" customHeight="1">
      <c r="A335" t="inlineStr">
        <is>
          <t>A 30810-2022</t>
        </is>
      </c>
      <c r="B335" s="1" t="n">
        <v>44764.94164351852</v>
      </c>
      <c r="C335" s="1" t="n">
        <v>45901</v>
      </c>
      <c r="D335" t="inlineStr">
        <is>
          <t>JÄMTLANDS LÄN</t>
        </is>
      </c>
      <c r="E335" t="inlineStr">
        <is>
          <t>BRÄCKE</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39702-2022</t>
        </is>
      </c>
      <c r="B336" s="1" t="n">
        <v>44818</v>
      </c>
      <c r="C336" s="1" t="n">
        <v>45901</v>
      </c>
      <c r="D336" t="inlineStr">
        <is>
          <t>JÄMTLANDS LÄN</t>
        </is>
      </c>
      <c r="E336" t="inlineStr">
        <is>
          <t>BRÄCKE</t>
        </is>
      </c>
      <c r="F336" t="inlineStr">
        <is>
          <t>SCA</t>
        </is>
      </c>
      <c r="G336" t="n">
        <v>5.6</v>
      </c>
      <c r="H336" t="n">
        <v>0</v>
      </c>
      <c r="I336" t="n">
        <v>0</v>
      </c>
      <c r="J336" t="n">
        <v>0</v>
      </c>
      <c r="K336" t="n">
        <v>0</v>
      </c>
      <c r="L336" t="n">
        <v>0</v>
      </c>
      <c r="M336" t="n">
        <v>0</v>
      </c>
      <c r="N336" t="n">
        <v>0</v>
      </c>
      <c r="O336" t="n">
        <v>0</v>
      </c>
      <c r="P336" t="n">
        <v>0</v>
      </c>
      <c r="Q336" t="n">
        <v>0</v>
      </c>
      <c r="R336" s="2" t="inlineStr"/>
    </row>
    <row r="337" ht="15" customHeight="1">
      <c r="A337" t="inlineStr">
        <is>
          <t>A 27261-2021</t>
        </is>
      </c>
      <c r="B337" s="1" t="n">
        <v>44350.93945601852</v>
      </c>
      <c r="C337" s="1" t="n">
        <v>45901</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37232-2022</t>
        </is>
      </c>
      <c r="B338" s="1" t="n">
        <v>44806</v>
      </c>
      <c r="C338" s="1" t="n">
        <v>45901</v>
      </c>
      <c r="D338" t="inlineStr">
        <is>
          <t>JÄMTLANDS LÄN</t>
        </is>
      </c>
      <c r="E338" t="inlineStr">
        <is>
          <t>BRÄCKE</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45901</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63600-2021</t>
        </is>
      </c>
      <c r="B340" s="1" t="n">
        <v>44508</v>
      </c>
      <c r="C340" s="1" t="n">
        <v>45901</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49858-2022</t>
        </is>
      </c>
      <c r="B341" s="1" t="n">
        <v>44862</v>
      </c>
      <c r="C341" s="1" t="n">
        <v>45901</v>
      </c>
      <c r="D341" t="inlineStr">
        <is>
          <t>JÄMTLANDS LÄN</t>
        </is>
      </c>
      <c r="E341" t="inlineStr">
        <is>
          <t>BRÄCKE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41175-2022</t>
        </is>
      </c>
      <c r="B342" s="1" t="n">
        <v>44825.94803240741</v>
      </c>
      <c r="C342" s="1" t="n">
        <v>45901</v>
      </c>
      <c r="D342" t="inlineStr">
        <is>
          <t>JÄMTLANDS LÄN</t>
        </is>
      </c>
      <c r="E342" t="inlineStr">
        <is>
          <t>BRÄCKE</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51095-2021</t>
        </is>
      </c>
      <c r="B343" s="1" t="n">
        <v>44461.38387731482</v>
      </c>
      <c r="C343" s="1" t="n">
        <v>45901</v>
      </c>
      <c r="D343" t="inlineStr">
        <is>
          <t>JÄMTLANDS LÄN</t>
        </is>
      </c>
      <c r="E343" t="inlineStr">
        <is>
          <t>BRÄCKE</t>
        </is>
      </c>
      <c r="G343" t="n">
        <v>0.8</v>
      </c>
      <c r="H343" t="n">
        <v>0</v>
      </c>
      <c r="I343" t="n">
        <v>0</v>
      </c>
      <c r="J343" t="n">
        <v>0</v>
      </c>
      <c r="K343" t="n">
        <v>0</v>
      </c>
      <c r="L343" t="n">
        <v>0</v>
      </c>
      <c r="M343" t="n">
        <v>0</v>
      </c>
      <c r="N343" t="n">
        <v>0</v>
      </c>
      <c r="O343" t="n">
        <v>0</v>
      </c>
      <c r="P343" t="n">
        <v>0</v>
      </c>
      <c r="Q343" t="n">
        <v>0</v>
      </c>
      <c r="R343" s="2" t="inlineStr"/>
    </row>
    <row r="344" ht="15" customHeight="1">
      <c r="A344" t="inlineStr">
        <is>
          <t>A 69155-2021</t>
        </is>
      </c>
      <c r="B344" s="1" t="n">
        <v>44530.94708333333</v>
      </c>
      <c r="C344" s="1" t="n">
        <v>45901</v>
      </c>
      <c r="D344" t="inlineStr">
        <is>
          <t>JÄMTLANDS LÄN</t>
        </is>
      </c>
      <c r="E344" t="inlineStr">
        <is>
          <t>BRÄCKE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21722-2022</t>
        </is>
      </c>
      <c r="B345" s="1" t="n">
        <v>44706</v>
      </c>
      <c r="C345" s="1" t="n">
        <v>45901</v>
      </c>
      <c r="D345" t="inlineStr">
        <is>
          <t>JÄMTLANDS LÄN</t>
        </is>
      </c>
      <c r="E345" t="inlineStr">
        <is>
          <t>BRÄCKE</t>
        </is>
      </c>
      <c r="G345" t="n">
        <v>1.5</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45901</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33993-2022</t>
        </is>
      </c>
      <c r="B347" s="1" t="n">
        <v>44790</v>
      </c>
      <c r="C347" s="1" t="n">
        <v>45901</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45901</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45901</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48479-2020</t>
        </is>
      </c>
      <c r="B350" s="1" t="n">
        <v>44102.94109953703</v>
      </c>
      <c r="C350" s="1" t="n">
        <v>45901</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45901</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57716-2020</t>
        </is>
      </c>
      <c r="B352" s="1" t="n">
        <v>44140</v>
      </c>
      <c r="C352" s="1" t="n">
        <v>45901</v>
      </c>
      <c r="D352" t="inlineStr">
        <is>
          <t>JÄMTLANDS LÄN</t>
        </is>
      </c>
      <c r="E352" t="inlineStr">
        <is>
          <t>BRÄCKE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67622-2020</t>
        </is>
      </c>
      <c r="B353" s="1" t="n">
        <v>44181</v>
      </c>
      <c r="C353" s="1" t="n">
        <v>45901</v>
      </c>
      <c r="D353" t="inlineStr">
        <is>
          <t>JÄMTLANDS LÄN</t>
        </is>
      </c>
      <c r="E353" t="inlineStr">
        <is>
          <t>BRÄCKE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22612-2022</t>
        </is>
      </c>
      <c r="B354" s="1" t="n">
        <v>44714.40349537037</v>
      </c>
      <c r="C354" s="1" t="n">
        <v>45901</v>
      </c>
      <c r="D354" t="inlineStr">
        <is>
          <t>JÄMTLANDS LÄN</t>
        </is>
      </c>
      <c r="E354" t="inlineStr">
        <is>
          <t>BRÄCKE</t>
        </is>
      </c>
      <c r="G354" t="n">
        <v>6.3</v>
      </c>
      <c r="H354" t="n">
        <v>0</v>
      </c>
      <c r="I354" t="n">
        <v>0</v>
      </c>
      <c r="J354" t="n">
        <v>0</v>
      </c>
      <c r="K354" t="n">
        <v>0</v>
      </c>
      <c r="L354" t="n">
        <v>0</v>
      </c>
      <c r="M354" t="n">
        <v>0</v>
      </c>
      <c r="N354" t="n">
        <v>0</v>
      </c>
      <c r="O354" t="n">
        <v>0</v>
      </c>
      <c r="P354" t="n">
        <v>0</v>
      </c>
      <c r="Q354" t="n">
        <v>0</v>
      </c>
      <c r="R354" s="2" t="inlineStr"/>
    </row>
    <row r="355" ht="15" customHeight="1">
      <c r="A355" t="inlineStr">
        <is>
          <t>A 47256-2022</t>
        </is>
      </c>
      <c r="B355" s="1" t="n">
        <v>44852.94697916666</v>
      </c>
      <c r="C355" s="1" t="n">
        <v>45901</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47264-2022</t>
        </is>
      </c>
      <c r="B356" s="1" t="n">
        <v>44852.94967592593</v>
      </c>
      <c r="C356" s="1" t="n">
        <v>45901</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56758-2020</t>
        </is>
      </c>
      <c r="B357" s="1" t="n">
        <v>44137</v>
      </c>
      <c r="C357" s="1" t="n">
        <v>45901</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41182-2022</t>
        </is>
      </c>
      <c r="B358" s="1" t="n">
        <v>44825.94918981481</v>
      </c>
      <c r="C358" s="1" t="n">
        <v>45901</v>
      </c>
      <c r="D358" t="inlineStr">
        <is>
          <t>JÄMTLANDS LÄN</t>
        </is>
      </c>
      <c r="E358" t="inlineStr">
        <is>
          <t>BRÄCKE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63534-2021</t>
        </is>
      </c>
      <c r="B359" s="1" t="n">
        <v>44508.6696875</v>
      </c>
      <c r="C359" s="1" t="n">
        <v>45901</v>
      </c>
      <c r="D359" t="inlineStr">
        <is>
          <t>JÄMTLANDS LÄN</t>
        </is>
      </c>
      <c r="E359" t="inlineStr">
        <is>
          <t>BRÄCKE</t>
        </is>
      </c>
      <c r="G359" t="n">
        <v>6.6</v>
      </c>
      <c r="H359" t="n">
        <v>0</v>
      </c>
      <c r="I359" t="n">
        <v>0</v>
      </c>
      <c r="J359" t="n">
        <v>0</v>
      </c>
      <c r="K359" t="n">
        <v>0</v>
      </c>
      <c r="L359" t="n">
        <v>0</v>
      </c>
      <c r="M359" t="n">
        <v>0</v>
      </c>
      <c r="N359" t="n">
        <v>0</v>
      </c>
      <c r="O359" t="n">
        <v>0</v>
      </c>
      <c r="P359" t="n">
        <v>0</v>
      </c>
      <c r="Q359" t="n">
        <v>0</v>
      </c>
      <c r="R359" s="2" t="inlineStr"/>
    </row>
    <row r="360" ht="15" customHeight="1">
      <c r="A360" t="inlineStr">
        <is>
          <t>A 43142-2022</t>
        </is>
      </c>
      <c r="B360" s="1" t="n">
        <v>44833.95155092593</v>
      </c>
      <c r="C360" s="1" t="n">
        <v>45901</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68362-2020</t>
        </is>
      </c>
      <c r="B361" s="1" t="n">
        <v>44186</v>
      </c>
      <c r="C361" s="1" t="n">
        <v>45901</v>
      </c>
      <c r="D361" t="inlineStr">
        <is>
          <t>JÄMTLANDS LÄN</t>
        </is>
      </c>
      <c r="E361" t="inlineStr">
        <is>
          <t>BRÄCKE</t>
        </is>
      </c>
      <c r="G361" t="n">
        <v>4.5</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45901</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31093-2021</t>
        </is>
      </c>
      <c r="B363" s="1" t="n">
        <v>44368</v>
      </c>
      <c r="C363" s="1" t="n">
        <v>45901</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42806-2021</t>
        </is>
      </c>
      <c r="B364" s="1" t="n">
        <v>44428.94063657407</v>
      </c>
      <c r="C364" s="1" t="n">
        <v>45901</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38956-2021</t>
        </is>
      </c>
      <c r="B365" s="1" t="n">
        <v>44411</v>
      </c>
      <c r="C365" s="1" t="n">
        <v>45901</v>
      </c>
      <c r="D365" t="inlineStr">
        <is>
          <t>JÄMTLANDS LÄN</t>
        </is>
      </c>
      <c r="E365" t="inlineStr">
        <is>
          <t>BRÄCKE</t>
        </is>
      </c>
      <c r="G365" t="n">
        <v>1.6</v>
      </c>
      <c r="H365" t="n">
        <v>0</v>
      </c>
      <c r="I365" t="n">
        <v>0</v>
      </c>
      <c r="J365" t="n">
        <v>0</v>
      </c>
      <c r="K365" t="n">
        <v>0</v>
      </c>
      <c r="L365" t="n">
        <v>0</v>
      </c>
      <c r="M365" t="n">
        <v>0</v>
      </c>
      <c r="N365" t="n">
        <v>0</v>
      </c>
      <c r="O365" t="n">
        <v>0</v>
      </c>
      <c r="P365" t="n">
        <v>0</v>
      </c>
      <c r="Q365" t="n">
        <v>0</v>
      </c>
      <c r="R365" s="2" t="inlineStr"/>
    </row>
    <row r="366" ht="15" customHeight="1">
      <c r="A366" t="inlineStr">
        <is>
          <t>A 28617-2021</t>
        </is>
      </c>
      <c r="B366" s="1" t="n">
        <v>44356</v>
      </c>
      <c r="C366" s="1" t="n">
        <v>45901</v>
      </c>
      <c r="D366" t="inlineStr">
        <is>
          <t>JÄMTLANDS LÄN</t>
        </is>
      </c>
      <c r="E366" t="inlineStr">
        <is>
          <t>BRÄCKE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45901</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47183-2022</t>
        </is>
      </c>
      <c r="B368" s="1" t="n">
        <v>44851</v>
      </c>
      <c r="C368" s="1" t="n">
        <v>45901</v>
      </c>
      <c r="D368" t="inlineStr">
        <is>
          <t>JÄMTLANDS LÄN</t>
        </is>
      </c>
      <c r="E368" t="inlineStr">
        <is>
          <t>BRÄCKE</t>
        </is>
      </c>
      <c r="G368" t="n">
        <v>2</v>
      </c>
      <c r="H368" t="n">
        <v>0</v>
      </c>
      <c r="I368" t="n">
        <v>0</v>
      </c>
      <c r="J368" t="n">
        <v>0</v>
      </c>
      <c r="K368" t="n">
        <v>0</v>
      </c>
      <c r="L368" t="n">
        <v>0</v>
      </c>
      <c r="M368" t="n">
        <v>0</v>
      </c>
      <c r="N368" t="n">
        <v>0</v>
      </c>
      <c r="O368" t="n">
        <v>0</v>
      </c>
      <c r="P368" t="n">
        <v>0</v>
      </c>
      <c r="Q368" t="n">
        <v>0</v>
      </c>
      <c r="R368" s="2" t="inlineStr"/>
    </row>
    <row r="369" ht="15" customHeight="1">
      <c r="A369" t="inlineStr">
        <is>
          <t>A 37234-2022</t>
        </is>
      </c>
      <c r="B369" s="1" t="n">
        <v>44806.94603009259</v>
      </c>
      <c r="C369" s="1" t="n">
        <v>45901</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51957-2021</t>
        </is>
      </c>
      <c r="B370" s="1" t="n">
        <v>44462.95658564815</v>
      </c>
      <c r="C370" s="1" t="n">
        <v>45901</v>
      </c>
      <c r="D370" t="inlineStr">
        <is>
          <t>JÄMTLANDS LÄN</t>
        </is>
      </c>
      <c r="E370" t="inlineStr">
        <is>
          <t>BRÄCKE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56774-2020</t>
        </is>
      </c>
      <c r="B371" s="1" t="n">
        <v>44137</v>
      </c>
      <c r="C371" s="1" t="n">
        <v>45901</v>
      </c>
      <c r="D371" t="inlineStr">
        <is>
          <t>JÄMTLANDS LÄN</t>
        </is>
      </c>
      <c r="E371" t="inlineStr">
        <is>
          <t>BRÄCKE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56776-2020</t>
        </is>
      </c>
      <c r="B372" s="1" t="n">
        <v>44137</v>
      </c>
      <c r="C372" s="1" t="n">
        <v>45901</v>
      </c>
      <c r="D372" t="inlineStr">
        <is>
          <t>JÄMTLANDS LÄN</t>
        </is>
      </c>
      <c r="E372" t="inlineStr">
        <is>
          <t>BRÄCKE</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56778-2020</t>
        </is>
      </c>
      <c r="B373" s="1" t="n">
        <v>44137</v>
      </c>
      <c r="C373" s="1" t="n">
        <v>45901</v>
      </c>
      <c r="D373" t="inlineStr">
        <is>
          <t>JÄMTLANDS LÄN</t>
        </is>
      </c>
      <c r="E373" t="inlineStr">
        <is>
          <t>BRÄCKE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63995-2021</t>
        </is>
      </c>
      <c r="B374" s="1" t="n">
        <v>44509</v>
      </c>
      <c r="C374" s="1" t="n">
        <v>45901</v>
      </c>
      <c r="D374" t="inlineStr">
        <is>
          <t>JÄMTLANDS LÄN</t>
        </is>
      </c>
      <c r="E374" t="inlineStr">
        <is>
          <t>BRÄCKE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64002-2021</t>
        </is>
      </c>
      <c r="B375" s="1" t="n">
        <v>44509.97879629629</v>
      </c>
      <c r="C375" s="1" t="n">
        <v>45901</v>
      </c>
      <c r="D375" t="inlineStr">
        <is>
          <t>JÄMTLANDS LÄN</t>
        </is>
      </c>
      <c r="E375" t="inlineStr">
        <is>
          <t>BRÄCKE</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45901</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29929-2021</t>
        </is>
      </c>
      <c r="B377" s="1" t="n">
        <v>44362</v>
      </c>
      <c r="C377" s="1" t="n">
        <v>45901</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21019-2021</t>
        </is>
      </c>
      <c r="B378" s="1" t="n">
        <v>44319.62415509259</v>
      </c>
      <c r="C378" s="1" t="n">
        <v>45901</v>
      </c>
      <c r="D378" t="inlineStr">
        <is>
          <t>JÄMTLANDS LÄN</t>
        </is>
      </c>
      <c r="E378" t="inlineStr">
        <is>
          <t>BRÄCKE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49164-2020</t>
        </is>
      </c>
      <c r="B379" s="1" t="n">
        <v>44104</v>
      </c>
      <c r="C379" s="1" t="n">
        <v>45901</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70812-2021</t>
        </is>
      </c>
      <c r="B380" s="1" t="n">
        <v>44537</v>
      </c>
      <c r="C380" s="1" t="n">
        <v>45901</v>
      </c>
      <c r="D380" t="inlineStr">
        <is>
          <t>JÄMTLANDS LÄN</t>
        </is>
      </c>
      <c r="E380" t="inlineStr">
        <is>
          <t>BRÄCKE</t>
        </is>
      </c>
      <c r="G380" t="n">
        <v>3.4</v>
      </c>
      <c r="H380" t="n">
        <v>0</v>
      </c>
      <c r="I380" t="n">
        <v>0</v>
      </c>
      <c r="J380" t="n">
        <v>0</v>
      </c>
      <c r="K380" t="n">
        <v>0</v>
      </c>
      <c r="L380" t="n">
        <v>0</v>
      </c>
      <c r="M380" t="n">
        <v>0</v>
      </c>
      <c r="N380" t="n">
        <v>0</v>
      </c>
      <c r="O380" t="n">
        <v>0</v>
      </c>
      <c r="P380" t="n">
        <v>0</v>
      </c>
      <c r="Q380" t="n">
        <v>0</v>
      </c>
      <c r="R380" s="2" t="inlineStr"/>
    </row>
    <row r="381" ht="15" customHeight="1">
      <c r="A381" t="inlineStr">
        <is>
          <t>A 70813-2021</t>
        </is>
      </c>
      <c r="B381" s="1" t="n">
        <v>44537</v>
      </c>
      <c r="C381" s="1" t="n">
        <v>45901</v>
      </c>
      <c r="D381" t="inlineStr">
        <is>
          <t>JÄMTLANDS LÄN</t>
        </is>
      </c>
      <c r="E381" t="inlineStr">
        <is>
          <t>BRÄCKE</t>
        </is>
      </c>
      <c r="G381" t="n">
        <v>5.2</v>
      </c>
      <c r="H381" t="n">
        <v>0</v>
      </c>
      <c r="I381" t="n">
        <v>0</v>
      </c>
      <c r="J381" t="n">
        <v>0</v>
      </c>
      <c r="K381" t="n">
        <v>0</v>
      </c>
      <c r="L381" t="n">
        <v>0</v>
      </c>
      <c r="M381" t="n">
        <v>0</v>
      </c>
      <c r="N381" t="n">
        <v>0</v>
      </c>
      <c r="O381" t="n">
        <v>0</v>
      </c>
      <c r="P381" t="n">
        <v>0</v>
      </c>
      <c r="Q381" t="n">
        <v>0</v>
      </c>
      <c r="R381" s="2" t="inlineStr"/>
    </row>
    <row r="382" ht="15" customHeight="1">
      <c r="A382" t="inlineStr">
        <is>
          <t>A 56114-2021</t>
        </is>
      </c>
      <c r="B382" s="1" t="n">
        <v>44477.58694444445</v>
      </c>
      <c r="C382" s="1" t="n">
        <v>45901</v>
      </c>
      <c r="D382" t="inlineStr">
        <is>
          <t>JÄMTLANDS LÄN</t>
        </is>
      </c>
      <c r="E382" t="inlineStr">
        <is>
          <t>BRÄCKE</t>
        </is>
      </c>
      <c r="G382" t="n">
        <v>12.7</v>
      </c>
      <c r="H382" t="n">
        <v>0</v>
      </c>
      <c r="I382" t="n">
        <v>0</v>
      </c>
      <c r="J382" t="n">
        <v>0</v>
      </c>
      <c r="K382" t="n">
        <v>0</v>
      </c>
      <c r="L382" t="n">
        <v>0</v>
      </c>
      <c r="M382" t="n">
        <v>0</v>
      </c>
      <c r="N382" t="n">
        <v>0</v>
      </c>
      <c r="O382" t="n">
        <v>0</v>
      </c>
      <c r="P382" t="n">
        <v>0</v>
      </c>
      <c r="Q382" t="n">
        <v>0</v>
      </c>
      <c r="R382" s="2" t="inlineStr"/>
    </row>
    <row r="383" ht="15" customHeight="1">
      <c r="A383" t="inlineStr">
        <is>
          <t>A 40481-2021</t>
        </is>
      </c>
      <c r="B383" s="1" t="n">
        <v>44419.94328703704</v>
      </c>
      <c r="C383" s="1" t="n">
        <v>45901</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21034-2021</t>
        </is>
      </c>
      <c r="B384" s="1" t="n">
        <v>44319</v>
      </c>
      <c r="C384" s="1" t="n">
        <v>45901</v>
      </c>
      <c r="D384" t="inlineStr">
        <is>
          <t>JÄMTLANDS LÄN</t>
        </is>
      </c>
      <c r="E384" t="inlineStr">
        <is>
          <t>BRÄCKE</t>
        </is>
      </c>
      <c r="G384" t="n">
        <v>3.3</v>
      </c>
      <c r="H384" t="n">
        <v>0</v>
      </c>
      <c r="I384" t="n">
        <v>0</v>
      </c>
      <c r="J384" t="n">
        <v>0</v>
      </c>
      <c r="K384" t="n">
        <v>0</v>
      </c>
      <c r="L384" t="n">
        <v>0</v>
      </c>
      <c r="M384" t="n">
        <v>0</v>
      </c>
      <c r="N384" t="n">
        <v>0</v>
      </c>
      <c r="O384" t="n">
        <v>0</v>
      </c>
      <c r="P384" t="n">
        <v>0</v>
      </c>
      <c r="Q384" t="n">
        <v>0</v>
      </c>
      <c r="R384" s="2" t="inlineStr"/>
    </row>
    <row r="385" ht="15" customHeight="1">
      <c r="A385" t="inlineStr">
        <is>
          <t>A 17173-2021</t>
        </is>
      </c>
      <c r="B385" s="1" t="n">
        <v>44295</v>
      </c>
      <c r="C385" s="1" t="n">
        <v>45901</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48555-2022</t>
        </is>
      </c>
      <c r="B386" s="1" t="n">
        <v>44859</v>
      </c>
      <c r="C386" s="1" t="n">
        <v>45901</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51020-2022</t>
        </is>
      </c>
      <c r="B387" s="1" t="n">
        <v>44867.95071759259</v>
      </c>
      <c r="C387" s="1" t="n">
        <v>45901</v>
      </c>
      <c r="D387" t="inlineStr">
        <is>
          <t>JÄMTLANDS LÄN</t>
        </is>
      </c>
      <c r="E387" t="inlineStr">
        <is>
          <t>BRÄCKE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16619-2021</t>
        </is>
      </c>
      <c r="B388" s="1" t="n">
        <v>44294</v>
      </c>
      <c r="C388" s="1" t="n">
        <v>45901</v>
      </c>
      <c r="D388" t="inlineStr">
        <is>
          <t>JÄMTLANDS LÄN</t>
        </is>
      </c>
      <c r="E388" t="inlineStr">
        <is>
          <t>BRÄCKE</t>
        </is>
      </c>
      <c r="G388" t="n">
        <v>10.3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45901</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53612-2021</t>
        </is>
      </c>
      <c r="B390" s="1" t="n">
        <v>44469</v>
      </c>
      <c r="C390" s="1" t="n">
        <v>45901</v>
      </c>
      <c r="D390" t="inlineStr">
        <is>
          <t>JÄMTLANDS LÄN</t>
        </is>
      </c>
      <c r="E390" t="inlineStr">
        <is>
          <t>BRÄCKE</t>
        </is>
      </c>
      <c r="G390" t="n">
        <v>1.7</v>
      </c>
      <c r="H390" t="n">
        <v>0</v>
      </c>
      <c r="I390" t="n">
        <v>0</v>
      </c>
      <c r="J390" t="n">
        <v>0</v>
      </c>
      <c r="K390" t="n">
        <v>0</v>
      </c>
      <c r="L390" t="n">
        <v>0</v>
      </c>
      <c r="M390" t="n">
        <v>0</v>
      </c>
      <c r="N390" t="n">
        <v>0</v>
      </c>
      <c r="O390" t="n">
        <v>0</v>
      </c>
      <c r="P390" t="n">
        <v>0</v>
      </c>
      <c r="Q390" t="n">
        <v>0</v>
      </c>
      <c r="R390" s="2" t="inlineStr"/>
    </row>
    <row r="391" ht="15" customHeight="1">
      <c r="A391" t="inlineStr">
        <is>
          <t>A 47838-2020</t>
        </is>
      </c>
      <c r="B391" s="1" t="n">
        <v>44098</v>
      </c>
      <c r="C391" s="1" t="n">
        <v>45901</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45901</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46623-2022</t>
        </is>
      </c>
      <c r="B393" s="1" t="n">
        <v>44848.95137731481</v>
      </c>
      <c r="C393" s="1" t="n">
        <v>45901</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45901</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45901</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45901</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59331-2020</t>
        </is>
      </c>
      <c r="B397" s="1" t="n">
        <v>44147.9399537037</v>
      </c>
      <c r="C397" s="1" t="n">
        <v>45901</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56221-2021</t>
        </is>
      </c>
      <c r="B398" s="1" t="n">
        <v>44477</v>
      </c>
      <c r="C398" s="1" t="n">
        <v>45901</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45901</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35010-2022</t>
        </is>
      </c>
      <c r="B400" s="1" t="n">
        <v>44796.94616898148</v>
      </c>
      <c r="C400" s="1" t="n">
        <v>45901</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45901</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2621-2024</t>
        </is>
      </c>
      <c r="B402" s="1" t="n">
        <v>45313.94908564815</v>
      </c>
      <c r="C402" s="1" t="n">
        <v>45901</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70807-2021</t>
        </is>
      </c>
      <c r="B403" s="1" t="n">
        <v>44537</v>
      </c>
      <c r="C403" s="1" t="n">
        <v>45901</v>
      </c>
      <c r="D403" t="inlineStr">
        <is>
          <t>JÄMTLANDS LÄN</t>
        </is>
      </c>
      <c r="E403" t="inlineStr">
        <is>
          <t>BRÄCKE</t>
        </is>
      </c>
      <c r="G403" t="n">
        <v>0.9</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45901</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45901</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45901</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45901</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45901</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45901</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62953-2021</t>
        </is>
      </c>
      <c r="B410" s="1" t="n">
        <v>44504</v>
      </c>
      <c r="C410" s="1" t="n">
        <v>45901</v>
      </c>
      <c r="D410" t="inlineStr">
        <is>
          <t>JÄMTLANDS LÄN</t>
        </is>
      </c>
      <c r="E410" t="inlineStr">
        <is>
          <t>BRÄCKE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31978-2022</t>
        </is>
      </c>
      <c r="B411" s="1" t="n">
        <v>44777.95574074074</v>
      </c>
      <c r="C411" s="1" t="n">
        <v>45901</v>
      </c>
      <c r="D411" t="inlineStr">
        <is>
          <t>JÄMTLANDS LÄN</t>
        </is>
      </c>
      <c r="E411" t="inlineStr">
        <is>
          <t>BRÄCKE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45901</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45901</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45901</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45901</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45901</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45901</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32964-2022</t>
        </is>
      </c>
      <c r="B418" s="1" t="n">
        <v>44784.9250462963</v>
      </c>
      <c r="C418" s="1" t="n">
        <v>45901</v>
      </c>
      <c r="D418" t="inlineStr">
        <is>
          <t>JÄMTLANDS LÄN</t>
        </is>
      </c>
      <c r="E418" t="inlineStr">
        <is>
          <t>BRÄCKE</t>
        </is>
      </c>
      <c r="G418" t="n">
        <v>2.6</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45901</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45901</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45901</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45901</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41817-2022</t>
        </is>
      </c>
      <c r="B423" s="1" t="n">
        <v>44827</v>
      </c>
      <c r="C423" s="1" t="n">
        <v>45901</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58269-2021</t>
        </is>
      </c>
      <c r="B424" s="1" t="n">
        <v>44487</v>
      </c>
      <c r="C424" s="1" t="n">
        <v>45901</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58272-2021</t>
        </is>
      </c>
      <c r="B425" s="1" t="n">
        <v>44487</v>
      </c>
      <c r="C425" s="1" t="n">
        <v>45901</v>
      </c>
      <c r="D425" t="inlineStr">
        <is>
          <t>JÄMTLANDS LÄN</t>
        </is>
      </c>
      <c r="E425" t="inlineStr">
        <is>
          <t>BRÄCKE</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56598-2020</t>
        </is>
      </c>
      <c r="B426" s="1" t="n">
        <v>44137</v>
      </c>
      <c r="C426" s="1" t="n">
        <v>45901</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55900-2022</t>
        </is>
      </c>
      <c r="B427" s="1" t="n">
        <v>44888.95368055555</v>
      </c>
      <c r="C427" s="1" t="n">
        <v>45901</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50981-2020</t>
        </is>
      </c>
      <c r="B428" s="1" t="n">
        <v>44111</v>
      </c>
      <c r="C428" s="1" t="n">
        <v>45901</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30483-2022</t>
        </is>
      </c>
      <c r="B429" s="1" t="n">
        <v>44761.94037037037</v>
      </c>
      <c r="C429" s="1" t="n">
        <v>45901</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45901</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30490-2022</t>
        </is>
      </c>
      <c r="B431" s="1" t="n">
        <v>44761</v>
      </c>
      <c r="C431" s="1" t="n">
        <v>45901</v>
      </c>
      <c r="D431" t="inlineStr">
        <is>
          <t>JÄMTLANDS LÄN</t>
        </is>
      </c>
      <c r="E431" t="inlineStr">
        <is>
          <t>BRÄCKE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28285-2022</t>
        </is>
      </c>
      <c r="B432" s="1" t="n">
        <v>44746</v>
      </c>
      <c r="C432" s="1" t="n">
        <v>45901</v>
      </c>
      <c r="D432" t="inlineStr">
        <is>
          <t>JÄMTLANDS LÄN</t>
        </is>
      </c>
      <c r="E432" t="inlineStr">
        <is>
          <t>BRÄCKE</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45901</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21654-2022</t>
        </is>
      </c>
      <c r="B434" s="1" t="n">
        <v>44706.94207175926</v>
      </c>
      <c r="C434" s="1" t="n">
        <v>45901</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21656-2022</t>
        </is>
      </c>
      <c r="B435" s="1" t="n">
        <v>44706.9421875</v>
      </c>
      <c r="C435" s="1" t="n">
        <v>45901</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26750-2022</t>
        </is>
      </c>
      <c r="B436" s="1" t="n">
        <v>44739.94125</v>
      </c>
      <c r="C436" s="1" t="n">
        <v>45901</v>
      </c>
      <c r="D436" t="inlineStr">
        <is>
          <t>JÄMTLANDS LÄN</t>
        </is>
      </c>
      <c r="E436" t="inlineStr">
        <is>
          <t>BRÄCKE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45901</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27258-2021</t>
        </is>
      </c>
      <c r="B438" s="1" t="n">
        <v>44350.93927083333</v>
      </c>
      <c r="C438" s="1" t="n">
        <v>45901</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45901</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45901</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45901</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45901</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45901</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45901</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45901</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45701-2022</t>
        </is>
      </c>
      <c r="B446" s="1" t="n">
        <v>44845</v>
      </c>
      <c r="C446" s="1" t="n">
        <v>45901</v>
      </c>
      <c r="D446" t="inlineStr">
        <is>
          <t>JÄMTLANDS LÄN</t>
        </is>
      </c>
      <c r="E446" t="inlineStr">
        <is>
          <t>BRÄCKE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56416-2020</t>
        </is>
      </c>
      <c r="B447" s="1" t="n">
        <v>44137</v>
      </c>
      <c r="C447" s="1" t="n">
        <v>45901</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45901</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45901</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20070-2022</t>
        </is>
      </c>
      <c r="B450" s="1" t="n">
        <v>44697.94195601852</v>
      </c>
      <c r="C450" s="1" t="n">
        <v>45901</v>
      </c>
      <c r="D450" t="inlineStr">
        <is>
          <t>JÄMTLANDS LÄN</t>
        </is>
      </c>
      <c r="E450" t="inlineStr">
        <is>
          <t>BRÄCKE</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63579-2021</t>
        </is>
      </c>
      <c r="B451" s="1" t="n">
        <v>44508</v>
      </c>
      <c r="C451" s="1" t="n">
        <v>45901</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24056-2022</t>
        </is>
      </c>
      <c r="B452" s="1" t="n">
        <v>44724.938125</v>
      </c>
      <c r="C452" s="1" t="n">
        <v>45901</v>
      </c>
      <c r="D452" t="inlineStr">
        <is>
          <t>JÄMTLANDS LÄN</t>
        </is>
      </c>
      <c r="E452" t="inlineStr">
        <is>
          <t>BRÄCKE</t>
        </is>
      </c>
      <c r="G452" t="n">
        <v>1.4</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45901</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47257-2022</t>
        </is>
      </c>
      <c r="B454" s="1" t="n">
        <v>44852</v>
      </c>
      <c r="C454" s="1" t="n">
        <v>45901</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20069-2022</t>
        </is>
      </c>
      <c r="B455" s="1" t="n">
        <v>44697.94190972222</v>
      </c>
      <c r="C455" s="1" t="n">
        <v>45901</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45901</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49861-2022</t>
        </is>
      </c>
      <c r="B457" s="1" t="n">
        <v>44862</v>
      </c>
      <c r="C457" s="1" t="n">
        <v>45901</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38302-2024</t>
        </is>
      </c>
      <c r="B458" s="1" t="n">
        <v>45545.63614583333</v>
      </c>
      <c r="C458" s="1" t="n">
        <v>45901</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45901</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42290-2022</t>
        </is>
      </c>
      <c r="B460" s="1" t="n">
        <v>44830</v>
      </c>
      <c r="C460" s="1" t="n">
        <v>45901</v>
      </c>
      <c r="D460" t="inlineStr">
        <is>
          <t>JÄMTLANDS LÄN</t>
        </is>
      </c>
      <c r="E460" t="inlineStr">
        <is>
          <t>BRÄCKE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45901</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55658-2020</t>
        </is>
      </c>
      <c r="B462" s="1" t="n">
        <v>44131</v>
      </c>
      <c r="C462" s="1" t="n">
        <v>45901</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48425-2023</t>
        </is>
      </c>
      <c r="B463" s="1" t="n">
        <v>45205</v>
      </c>
      <c r="C463" s="1" t="n">
        <v>45901</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12762-2025</t>
        </is>
      </c>
      <c r="B464" s="1" t="n">
        <v>45733.57340277778</v>
      </c>
      <c r="C464" s="1" t="n">
        <v>45901</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13019-2023</t>
        </is>
      </c>
      <c r="B465" s="1" t="n">
        <v>45001</v>
      </c>
      <c r="C465" s="1" t="n">
        <v>45901</v>
      </c>
      <c r="D465" t="inlineStr">
        <is>
          <t>JÄMTLANDS LÄN</t>
        </is>
      </c>
      <c r="E465" t="inlineStr">
        <is>
          <t>BRÄCKE</t>
        </is>
      </c>
      <c r="G465" t="n">
        <v>3.8</v>
      </c>
      <c r="H465" t="n">
        <v>0</v>
      </c>
      <c r="I465" t="n">
        <v>0</v>
      </c>
      <c r="J465" t="n">
        <v>0</v>
      </c>
      <c r="K465" t="n">
        <v>0</v>
      </c>
      <c r="L465" t="n">
        <v>0</v>
      </c>
      <c r="M465" t="n">
        <v>0</v>
      </c>
      <c r="N465" t="n">
        <v>0</v>
      </c>
      <c r="O465" t="n">
        <v>0</v>
      </c>
      <c r="P465" t="n">
        <v>0</v>
      </c>
      <c r="Q465" t="n">
        <v>0</v>
      </c>
      <c r="R465" s="2" t="inlineStr"/>
    </row>
    <row r="466" ht="15" customHeight="1">
      <c r="A466" t="inlineStr">
        <is>
          <t>A 40769-2021</t>
        </is>
      </c>
      <c r="B466" s="1" t="n">
        <v>44420</v>
      </c>
      <c r="C466" s="1" t="n">
        <v>45901</v>
      </c>
      <c r="D466" t="inlineStr">
        <is>
          <t>JÄMTLANDS LÄN</t>
        </is>
      </c>
      <c r="E466" t="inlineStr">
        <is>
          <t>BRÄCKE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6362-2024</t>
        </is>
      </c>
      <c r="B467" s="1" t="n">
        <v>45338</v>
      </c>
      <c r="C467" s="1" t="n">
        <v>45901</v>
      </c>
      <c r="D467" t="inlineStr">
        <is>
          <t>JÄMTLANDS LÄN</t>
        </is>
      </c>
      <c r="E467" t="inlineStr">
        <is>
          <t>BRÄCKE</t>
        </is>
      </c>
      <c r="G467" t="n">
        <v>4</v>
      </c>
      <c r="H467" t="n">
        <v>0</v>
      </c>
      <c r="I467" t="n">
        <v>0</v>
      </c>
      <c r="J467" t="n">
        <v>0</v>
      </c>
      <c r="K467" t="n">
        <v>0</v>
      </c>
      <c r="L467" t="n">
        <v>0</v>
      </c>
      <c r="M467" t="n">
        <v>0</v>
      </c>
      <c r="N467" t="n">
        <v>0</v>
      </c>
      <c r="O467" t="n">
        <v>0</v>
      </c>
      <c r="P467" t="n">
        <v>0</v>
      </c>
      <c r="Q467" t="n">
        <v>0</v>
      </c>
      <c r="R467" s="2" t="inlineStr"/>
    </row>
    <row r="468" ht="15" customHeight="1">
      <c r="A468" t="inlineStr">
        <is>
          <t>A 11093-2024</t>
        </is>
      </c>
      <c r="B468" s="1" t="n">
        <v>45370.94986111111</v>
      </c>
      <c r="C468" s="1" t="n">
        <v>45901</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47560-2021</t>
        </is>
      </c>
      <c r="B469" s="1" t="n">
        <v>44447.94313657407</v>
      </c>
      <c r="C469" s="1" t="n">
        <v>45901</v>
      </c>
      <c r="D469" t="inlineStr">
        <is>
          <t>JÄMTLANDS LÄN</t>
        </is>
      </c>
      <c r="E469" t="inlineStr">
        <is>
          <t>BRÄCKE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45901</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4887-2025</t>
        </is>
      </c>
      <c r="B471" s="1" t="n">
        <v>45688.67800925926</v>
      </c>
      <c r="C471" s="1" t="n">
        <v>45901</v>
      </c>
      <c r="D471" t="inlineStr">
        <is>
          <t>JÄMTLANDS LÄN</t>
        </is>
      </c>
      <c r="E471" t="inlineStr">
        <is>
          <t>BRÄCKE</t>
        </is>
      </c>
      <c r="F471" t="inlineStr">
        <is>
          <t>SCA</t>
        </is>
      </c>
      <c r="G471" t="n">
        <v>9.4</v>
      </c>
      <c r="H471" t="n">
        <v>0</v>
      </c>
      <c r="I471" t="n">
        <v>0</v>
      </c>
      <c r="J471" t="n">
        <v>0</v>
      </c>
      <c r="K471" t="n">
        <v>0</v>
      </c>
      <c r="L471" t="n">
        <v>0</v>
      </c>
      <c r="M471" t="n">
        <v>0</v>
      </c>
      <c r="N471" t="n">
        <v>0</v>
      </c>
      <c r="O471" t="n">
        <v>0</v>
      </c>
      <c r="P471" t="n">
        <v>0</v>
      </c>
      <c r="Q471" t="n">
        <v>0</v>
      </c>
      <c r="R471" s="2" t="inlineStr"/>
    </row>
    <row r="472" ht="15" customHeight="1">
      <c r="A472" t="inlineStr">
        <is>
          <t>A 62674-2021</t>
        </is>
      </c>
      <c r="B472" s="1" t="n">
        <v>44503.94478009259</v>
      </c>
      <c r="C472" s="1" t="n">
        <v>45901</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29325-2022</t>
        </is>
      </c>
      <c r="B473" s="1" t="n">
        <v>44751.94157407407</v>
      </c>
      <c r="C473" s="1" t="n">
        <v>45901</v>
      </c>
      <c r="D473" t="inlineStr">
        <is>
          <t>JÄMTLANDS LÄN</t>
        </is>
      </c>
      <c r="E473" t="inlineStr">
        <is>
          <t>BRÄCKE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58082-2023</t>
        </is>
      </c>
      <c r="B474" s="1" t="n">
        <v>45247.96538194444</v>
      </c>
      <c r="C474" s="1" t="n">
        <v>45901</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6516-2024</t>
        </is>
      </c>
      <c r="B475" s="1" t="n">
        <v>45341</v>
      </c>
      <c r="C475" s="1" t="n">
        <v>45901</v>
      </c>
      <c r="D475" t="inlineStr">
        <is>
          <t>JÄMTLANDS LÄN</t>
        </is>
      </c>
      <c r="E475" t="inlineStr">
        <is>
          <t>BRÄCKE</t>
        </is>
      </c>
      <c r="G475" t="n">
        <v>0.3</v>
      </c>
      <c r="H475" t="n">
        <v>0</v>
      </c>
      <c r="I475" t="n">
        <v>0</v>
      </c>
      <c r="J475" t="n">
        <v>0</v>
      </c>
      <c r="K475" t="n">
        <v>0</v>
      </c>
      <c r="L475" t="n">
        <v>0</v>
      </c>
      <c r="M475" t="n">
        <v>0</v>
      </c>
      <c r="N475" t="n">
        <v>0</v>
      </c>
      <c r="O475" t="n">
        <v>0</v>
      </c>
      <c r="P475" t="n">
        <v>0</v>
      </c>
      <c r="Q475" t="n">
        <v>0</v>
      </c>
      <c r="R475" s="2" t="inlineStr"/>
    </row>
    <row r="476" ht="15" customHeight="1">
      <c r="A476" t="inlineStr">
        <is>
          <t>A 13095-2025</t>
        </is>
      </c>
      <c r="B476" s="1" t="n">
        <v>45734.65609953704</v>
      </c>
      <c r="C476" s="1" t="n">
        <v>45901</v>
      </c>
      <c r="D476" t="inlineStr">
        <is>
          <t>JÄMTLANDS LÄN</t>
        </is>
      </c>
      <c r="E476" t="inlineStr">
        <is>
          <t>BRÄCKE</t>
        </is>
      </c>
      <c r="G476" t="n">
        <v>7.9</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45901</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45901</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16158-2024</t>
        </is>
      </c>
      <c r="B479" s="1" t="n">
        <v>45406.5909837963</v>
      </c>
      <c r="C479" s="1" t="n">
        <v>45901</v>
      </c>
      <c r="D479" t="inlineStr">
        <is>
          <t>JÄMTLANDS LÄN</t>
        </is>
      </c>
      <c r="E479" t="inlineStr">
        <is>
          <t>BRÄCKE</t>
        </is>
      </c>
      <c r="G479" t="n">
        <v>5</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45901</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45901</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54331-2023</t>
        </is>
      </c>
      <c r="B482" s="1" t="n">
        <v>45232.95782407407</v>
      </c>
      <c r="C482" s="1" t="n">
        <v>45901</v>
      </c>
      <c r="D482" t="inlineStr">
        <is>
          <t>JÄMTLANDS LÄN</t>
        </is>
      </c>
      <c r="E482" t="inlineStr">
        <is>
          <t>BRÄCKE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45901</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58039-2021</t>
        </is>
      </c>
      <c r="B484" s="1" t="n">
        <v>44487</v>
      </c>
      <c r="C484" s="1" t="n">
        <v>45901</v>
      </c>
      <c r="D484" t="inlineStr">
        <is>
          <t>JÄMTLANDS LÄN</t>
        </is>
      </c>
      <c r="E484" t="inlineStr">
        <is>
          <t>BRÄCKE</t>
        </is>
      </c>
      <c r="G484" t="n">
        <v>7.4</v>
      </c>
      <c r="H484" t="n">
        <v>0</v>
      </c>
      <c r="I484" t="n">
        <v>0</v>
      </c>
      <c r="J484" t="n">
        <v>0</v>
      </c>
      <c r="K484" t="n">
        <v>0</v>
      </c>
      <c r="L484" t="n">
        <v>0</v>
      </c>
      <c r="M484" t="n">
        <v>0</v>
      </c>
      <c r="N484" t="n">
        <v>0</v>
      </c>
      <c r="O484" t="n">
        <v>0</v>
      </c>
      <c r="P484" t="n">
        <v>0</v>
      </c>
      <c r="Q484" t="n">
        <v>0</v>
      </c>
      <c r="R484" s="2" t="inlineStr"/>
    </row>
    <row r="485" ht="15" customHeight="1">
      <c r="A485" t="inlineStr">
        <is>
          <t>A 4170-2024</t>
        </is>
      </c>
      <c r="B485" s="1" t="n">
        <v>45323.94685185186</v>
      </c>
      <c r="C485" s="1" t="n">
        <v>45901</v>
      </c>
      <c r="D485" t="inlineStr">
        <is>
          <t>JÄMTLANDS LÄN</t>
        </is>
      </c>
      <c r="E485" t="inlineStr">
        <is>
          <t>BRÄCKE</t>
        </is>
      </c>
      <c r="F485" t="inlineStr">
        <is>
          <t>SCA</t>
        </is>
      </c>
      <c r="G485" t="n">
        <v>9.1</v>
      </c>
      <c r="H485" t="n">
        <v>0</v>
      </c>
      <c r="I485" t="n">
        <v>0</v>
      </c>
      <c r="J485" t="n">
        <v>0</v>
      </c>
      <c r="K485" t="n">
        <v>0</v>
      </c>
      <c r="L485" t="n">
        <v>0</v>
      </c>
      <c r="M485" t="n">
        <v>0</v>
      </c>
      <c r="N485" t="n">
        <v>0</v>
      </c>
      <c r="O485" t="n">
        <v>0</v>
      </c>
      <c r="P485" t="n">
        <v>0</v>
      </c>
      <c r="Q485" t="n">
        <v>0</v>
      </c>
      <c r="R485" s="2" t="inlineStr"/>
    </row>
    <row r="486" ht="15" customHeight="1">
      <c r="A486" t="inlineStr">
        <is>
          <t>A 45577-2023</t>
        </is>
      </c>
      <c r="B486" s="1" t="n">
        <v>45194</v>
      </c>
      <c r="C486" s="1" t="n">
        <v>45901</v>
      </c>
      <c r="D486" t="inlineStr">
        <is>
          <t>JÄMTLANDS LÄN</t>
        </is>
      </c>
      <c r="E486" t="inlineStr">
        <is>
          <t>BRÄCKE</t>
        </is>
      </c>
      <c r="G486" t="n">
        <v>2.6</v>
      </c>
      <c r="H486" t="n">
        <v>0</v>
      </c>
      <c r="I486" t="n">
        <v>0</v>
      </c>
      <c r="J486" t="n">
        <v>0</v>
      </c>
      <c r="K486" t="n">
        <v>0</v>
      </c>
      <c r="L486" t="n">
        <v>0</v>
      </c>
      <c r="M486" t="n">
        <v>0</v>
      </c>
      <c r="N486" t="n">
        <v>0</v>
      </c>
      <c r="O486" t="n">
        <v>0</v>
      </c>
      <c r="P486" t="n">
        <v>0</v>
      </c>
      <c r="Q486" t="n">
        <v>0</v>
      </c>
      <c r="R486" s="2" t="inlineStr"/>
    </row>
    <row r="487" ht="15" customHeight="1">
      <c r="A487" t="inlineStr">
        <is>
          <t>A 49085-2023</t>
        </is>
      </c>
      <c r="B487" s="1" t="n">
        <v>45204</v>
      </c>
      <c r="C487" s="1" t="n">
        <v>45901</v>
      </c>
      <c r="D487" t="inlineStr">
        <is>
          <t>JÄMTLANDS LÄN</t>
        </is>
      </c>
      <c r="E487" t="inlineStr">
        <is>
          <t>BRÄCKE</t>
        </is>
      </c>
      <c r="G487" t="n">
        <v>2.1</v>
      </c>
      <c r="H487" t="n">
        <v>0</v>
      </c>
      <c r="I487" t="n">
        <v>0</v>
      </c>
      <c r="J487" t="n">
        <v>0</v>
      </c>
      <c r="K487" t="n">
        <v>0</v>
      </c>
      <c r="L487" t="n">
        <v>0</v>
      </c>
      <c r="M487" t="n">
        <v>0</v>
      </c>
      <c r="N487" t="n">
        <v>0</v>
      </c>
      <c r="O487" t="n">
        <v>0</v>
      </c>
      <c r="P487" t="n">
        <v>0</v>
      </c>
      <c r="Q487" t="n">
        <v>0</v>
      </c>
      <c r="R487" s="2" t="inlineStr"/>
    </row>
    <row r="488" ht="15" customHeight="1">
      <c r="A488" t="inlineStr">
        <is>
          <t>A 14266-2025</t>
        </is>
      </c>
      <c r="B488" s="1" t="n">
        <v>45740.63572916666</v>
      </c>
      <c r="C488" s="1" t="n">
        <v>45901</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4882-2025</t>
        </is>
      </c>
      <c r="B489" s="1" t="n">
        <v>45688.67729166667</v>
      </c>
      <c r="C489" s="1" t="n">
        <v>45901</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17313-2025</t>
        </is>
      </c>
      <c r="B490" s="1" t="n">
        <v>45756.61498842593</v>
      </c>
      <c r="C490" s="1" t="n">
        <v>45901</v>
      </c>
      <c r="D490" t="inlineStr">
        <is>
          <t>JÄMTLANDS LÄN</t>
        </is>
      </c>
      <c r="E490" t="inlineStr">
        <is>
          <t>BRÄCKE</t>
        </is>
      </c>
      <c r="G490" t="n">
        <v>2.4</v>
      </c>
      <c r="H490" t="n">
        <v>0</v>
      </c>
      <c r="I490" t="n">
        <v>0</v>
      </c>
      <c r="J490" t="n">
        <v>0</v>
      </c>
      <c r="K490" t="n">
        <v>0</v>
      </c>
      <c r="L490" t="n">
        <v>0</v>
      </c>
      <c r="M490" t="n">
        <v>0</v>
      </c>
      <c r="N490" t="n">
        <v>0</v>
      </c>
      <c r="O490" t="n">
        <v>0</v>
      </c>
      <c r="P490" t="n">
        <v>0</v>
      </c>
      <c r="Q490" t="n">
        <v>0</v>
      </c>
      <c r="R490" s="2" t="inlineStr"/>
    </row>
    <row r="491" ht="15" customHeight="1">
      <c r="A491" t="inlineStr">
        <is>
          <t>A 3248-2025</t>
        </is>
      </c>
      <c r="B491" s="1" t="n">
        <v>45679.53173611111</v>
      </c>
      <c r="C491" s="1" t="n">
        <v>45901</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52269-2023</t>
        </is>
      </c>
      <c r="B492" s="1" t="n">
        <v>45217</v>
      </c>
      <c r="C492" s="1" t="n">
        <v>45901</v>
      </c>
      <c r="D492" t="inlineStr">
        <is>
          <t>JÄMTLANDS LÄN</t>
        </is>
      </c>
      <c r="E492" t="inlineStr">
        <is>
          <t>BRÄCKE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4915-2025</t>
        </is>
      </c>
      <c r="B493" s="1" t="n">
        <v>45688.68184027778</v>
      </c>
      <c r="C493" s="1" t="n">
        <v>45901</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32429-2024</t>
        </is>
      </c>
      <c r="B494" s="1" t="n">
        <v>45512.92820601852</v>
      </c>
      <c r="C494" s="1" t="n">
        <v>45901</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19615-2025</t>
        </is>
      </c>
      <c r="B495" s="1" t="n">
        <v>45770.61519675926</v>
      </c>
      <c r="C495" s="1" t="n">
        <v>45901</v>
      </c>
      <c r="D495" t="inlineStr">
        <is>
          <t>JÄMTLANDS LÄN</t>
        </is>
      </c>
      <c r="E495" t="inlineStr">
        <is>
          <t>BRÄCKE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57473-2024</t>
        </is>
      </c>
      <c r="B496" s="1" t="n">
        <v>45630.34438657408</v>
      </c>
      <c r="C496" s="1" t="n">
        <v>45901</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14510-2025</t>
        </is>
      </c>
      <c r="B497" s="1" t="n">
        <v>45741.63628472222</v>
      </c>
      <c r="C497" s="1" t="n">
        <v>45901</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14511-2025</t>
        </is>
      </c>
      <c r="B498" s="1" t="n">
        <v>45741.63643518519</v>
      </c>
      <c r="C498" s="1" t="n">
        <v>45901</v>
      </c>
      <c r="D498" t="inlineStr">
        <is>
          <t>JÄMTLANDS LÄN</t>
        </is>
      </c>
      <c r="E498" t="inlineStr">
        <is>
          <t>BRÄCKE</t>
        </is>
      </c>
      <c r="F498" t="inlineStr">
        <is>
          <t>SCA</t>
        </is>
      </c>
      <c r="G498" t="n">
        <v>19.5</v>
      </c>
      <c r="H498" t="n">
        <v>0</v>
      </c>
      <c r="I498" t="n">
        <v>0</v>
      </c>
      <c r="J498" t="n">
        <v>0</v>
      </c>
      <c r="K498" t="n">
        <v>0</v>
      </c>
      <c r="L498" t="n">
        <v>0</v>
      </c>
      <c r="M498" t="n">
        <v>0</v>
      </c>
      <c r="N498" t="n">
        <v>0</v>
      </c>
      <c r="O498" t="n">
        <v>0</v>
      </c>
      <c r="P498" t="n">
        <v>0</v>
      </c>
      <c r="Q498" t="n">
        <v>0</v>
      </c>
      <c r="R498" s="2" t="inlineStr"/>
    </row>
    <row r="499" ht="15" customHeight="1">
      <c r="A499" t="inlineStr">
        <is>
          <t>A 51416-2024</t>
        </is>
      </c>
      <c r="B499" s="1" t="n">
        <v>45604.44829861111</v>
      </c>
      <c r="C499" s="1" t="n">
        <v>45901</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38943-2024</t>
        </is>
      </c>
      <c r="B500" s="1" t="n">
        <v>45548.34490740741</v>
      </c>
      <c r="C500" s="1" t="n">
        <v>45901</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23747-2021</t>
        </is>
      </c>
      <c r="B501" s="1" t="n">
        <v>44334</v>
      </c>
      <c r="C501" s="1" t="n">
        <v>45901</v>
      </c>
      <c r="D501" t="inlineStr">
        <is>
          <t>JÄMTLANDS LÄN</t>
        </is>
      </c>
      <c r="E501" t="inlineStr">
        <is>
          <t>BRÄCKE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59417-2023</t>
        </is>
      </c>
      <c r="B502" s="1" t="n">
        <v>45253</v>
      </c>
      <c r="C502" s="1" t="n">
        <v>45901</v>
      </c>
      <c r="D502" t="inlineStr">
        <is>
          <t>JÄMTLANDS LÄN</t>
        </is>
      </c>
      <c r="E502" t="inlineStr">
        <is>
          <t>BRÄCKE</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3737-2025</t>
        </is>
      </c>
      <c r="B503" s="1" t="n">
        <v>45681.57335648148</v>
      </c>
      <c r="C503" s="1" t="n">
        <v>45901</v>
      </c>
      <c r="D503" t="inlineStr">
        <is>
          <t>JÄMTLANDS LÄN</t>
        </is>
      </c>
      <c r="E503" t="inlineStr">
        <is>
          <t>BRÄCKE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45901</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46601-2022</t>
        </is>
      </c>
      <c r="B505" s="1" t="n">
        <v>44848</v>
      </c>
      <c r="C505" s="1" t="n">
        <v>45901</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32101-2021</t>
        </is>
      </c>
      <c r="B506" s="1" t="n">
        <v>44370.94097222222</v>
      </c>
      <c r="C506" s="1" t="n">
        <v>45901</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20267-2024</t>
        </is>
      </c>
      <c r="B507" s="1" t="n">
        <v>45434.9487962963</v>
      </c>
      <c r="C507" s="1" t="n">
        <v>45901</v>
      </c>
      <c r="D507" t="inlineStr">
        <is>
          <t>JÄMTLANDS LÄN</t>
        </is>
      </c>
      <c r="E507" t="inlineStr">
        <is>
          <t>BRÄCKE</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54243-2022</t>
        </is>
      </c>
      <c r="B508" s="1" t="n">
        <v>44881</v>
      </c>
      <c r="C508" s="1" t="n">
        <v>45901</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52529-2024</t>
        </is>
      </c>
      <c r="B509" s="1" t="n">
        <v>45609.61483796296</v>
      </c>
      <c r="C509" s="1" t="n">
        <v>45901</v>
      </c>
      <c r="D509" t="inlineStr">
        <is>
          <t>JÄMTLANDS LÄN</t>
        </is>
      </c>
      <c r="E509" t="inlineStr">
        <is>
          <t>BRÄCKE</t>
        </is>
      </c>
      <c r="G509" t="n">
        <v>3.6</v>
      </c>
      <c r="H509" t="n">
        <v>0</v>
      </c>
      <c r="I509" t="n">
        <v>0</v>
      </c>
      <c r="J509" t="n">
        <v>0</v>
      </c>
      <c r="K509" t="n">
        <v>0</v>
      </c>
      <c r="L509" t="n">
        <v>0</v>
      </c>
      <c r="M509" t="n">
        <v>0</v>
      </c>
      <c r="N509" t="n">
        <v>0</v>
      </c>
      <c r="O509" t="n">
        <v>0</v>
      </c>
      <c r="P509" t="n">
        <v>0</v>
      </c>
      <c r="Q509" t="n">
        <v>0</v>
      </c>
      <c r="R509" s="2" t="inlineStr"/>
    </row>
    <row r="510" ht="15" customHeight="1">
      <c r="A510" t="inlineStr">
        <is>
          <t>A 52723-2023</t>
        </is>
      </c>
      <c r="B510" s="1" t="n">
        <v>45225</v>
      </c>
      <c r="C510" s="1" t="n">
        <v>45901</v>
      </c>
      <c r="D510" t="inlineStr">
        <is>
          <t>JÄMTLANDS LÄN</t>
        </is>
      </c>
      <c r="E510" t="inlineStr">
        <is>
          <t>BRÄCKE</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3390-2024</t>
        </is>
      </c>
      <c r="B511" s="1" t="n">
        <v>45317.94108796296</v>
      </c>
      <c r="C511" s="1" t="n">
        <v>45901</v>
      </c>
      <c r="D511" t="inlineStr">
        <is>
          <t>JÄMTLANDS LÄN</t>
        </is>
      </c>
      <c r="E511" t="inlineStr">
        <is>
          <t>BRÄCKE</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55436-2024</t>
        </is>
      </c>
      <c r="B512" s="1" t="n">
        <v>45622.4022337963</v>
      </c>
      <c r="C512" s="1" t="n">
        <v>45901</v>
      </c>
      <c r="D512" t="inlineStr">
        <is>
          <t>JÄMTLANDS LÄN</t>
        </is>
      </c>
      <c r="E512" t="inlineStr">
        <is>
          <t>BRÄCKE</t>
        </is>
      </c>
      <c r="G512" t="n">
        <v>1.9</v>
      </c>
      <c r="H512" t="n">
        <v>0</v>
      </c>
      <c r="I512" t="n">
        <v>0</v>
      </c>
      <c r="J512" t="n">
        <v>0</v>
      </c>
      <c r="K512" t="n">
        <v>0</v>
      </c>
      <c r="L512" t="n">
        <v>0</v>
      </c>
      <c r="M512" t="n">
        <v>0</v>
      </c>
      <c r="N512" t="n">
        <v>0</v>
      </c>
      <c r="O512" t="n">
        <v>0</v>
      </c>
      <c r="P512" t="n">
        <v>0</v>
      </c>
      <c r="Q512" t="n">
        <v>0</v>
      </c>
      <c r="R512" s="2" t="inlineStr"/>
    </row>
    <row r="513" ht="15" customHeight="1">
      <c r="A513" t="inlineStr">
        <is>
          <t>A 55512-2022</t>
        </is>
      </c>
      <c r="B513" s="1" t="n">
        <v>44887</v>
      </c>
      <c r="C513" s="1" t="n">
        <v>45901</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55520-2022</t>
        </is>
      </c>
      <c r="B514" s="1" t="n">
        <v>44887</v>
      </c>
      <c r="C514" s="1" t="n">
        <v>45901</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55529-2022</t>
        </is>
      </c>
      <c r="B515" s="1" t="n">
        <v>44887.95256944445</v>
      </c>
      <c r="C515" s="1" t="n">
        <v>45901</v>
      </c>
      <c r="D515" t="inlineStr">
        <is>
          <t>JÄMTLANDS LÄN</t>
        </is>
      </c>
      <c r="E515" t="inlineStr">
        <is>
          <t>BRÄCKE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45901</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20778-2025</t>
        </is>
      </c>
      <c r="B517" s="1" t="n">
        <v>45776.59439814815</v>
      </c>
      <c r="C517" s="1" t="n">
        <v>45901</v>
      </c>
      <c r="D517" t="inlineStr">
        <is>
          <t>JÄMTLANDS LÄN</t>
        </is>
      </c>
      <c r="E517" t="inlineStr">
        <is>
          <t>BRÄCKE</t>
        </is>
      </c>
      <c r="F517" t="inlineStr">
        <is>
          <t>SCA</t>
        </is>
      </c>
      <c r="G517" t="n">
        <v>4.9</v>
      </c>
      <c r="H517" t="n">
        <v>0</v>
      </c>
      <c r="I517" t="n">
        <v>0</v>
      </c>
      <c r="J517" t="n">
        <v>0</v>
      </c>
      <c r="K517" t="n">
        <v>0</v>
      </c>
      <c r="L517" t="n">
        <v>0</v>
      </c>
      <c r="M517" t="n">
        <v>0</v>
      </c>
      <c r="N517" t="n">
        <v>0</v>
      </c>
      <c r="O517" t="n">
        <v>0</v>
      </c>
      <c r="P517" t="n">
        <v>0</v>
      </c>
      <c r="Q517" t="n">
        <v>0</v>
      </c>
      <c r="R517" s="2" t="inlineStr"/>
    </row>
    <row r="518" ht="15" customHeight="1">
      <c r="A518" t="inlineStr">
        <is>
          <t>A 40711-2022</t>
        </is>
      </c>
      <c r="B518" s="1" t="n">
        <v>44820</v>
      </c>
      <c r="C518" s="1" t="n">
        <v>45901</v>
      </c>
      <c r="D518" t="inlineStr">
        <is>
          <t>JÄMTLANDS LÄN</t>
        </is>
      </c>
      <c r="E518" t="inlineStr">
        <is>
          <t>BRÄCKE</t>
        </is>
      </c>
      <c r="G518" t="n">
        <v>5.4</v>
      </c>
      <c r="H518" t="n">
        <v>0</v>
      </c>
      <c r="I518" t="n">
        <v>0</v>
      </c>
      <c r="J518" t="n">
        <v>0</v>
      </c>
      <c r="K518" t="n">
        <v>0</v>
      </c>
      <c r="L518" t="n">
        <v>0</v>
      </c>
      <c r="M518" t="n">
        <v>0</v>
      </c>
      <c r="N518" t="n">
        <v>0</v>
      </c>
      <c r="O518" t="n">
        <v>0</v>
      </c>
      <c r="P518" t="n">
        <v>0</v>
      </c>
      <c r="Q518" t="n">
        <v>0</v>
      </c>
      <c r="R518" s="2" t="inlineStr"/>
    </row>
    <row r="519" ht="15" customHeight="1">
      <c r="A519" t="inlineStr">
        <is>
          <t>A 36551-2024</t>
        </is>
      </c>
      <c r="B519" s="1" t="n">
        <v>45537.468125</v>
      </c>
      <c r="C519" s="1" t="n">
        <v>45901</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20870-2025</t>
        </is>
      </c>
      <c r="B520" s="1" t="n">
        <v>45777.34517361111</v>
      </c>
      <c r="C520" s="1" t="n">
        <v>45901</v>
      </c>
      <c r="D520" t="inlineStr">
        <is>
          <t>JÄMTLANDS LÄN</t>
        </is>
      </c>
      <c r="E520" t="inlineStr">
        <is>
          <t>BRÄCKE</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21108-2025</t>
        </is>
      </c>
      <c r="B521" s="1" t="n">
        <v>45777</v>
      </c>
      <c r="C521" s="1" t="n">
        <v>45901</v>
      </c>
      <c r="D521" t="inlineStr">
        <is>
          <t>JÄMTLANDS LÄN</t>
        </is>
      </c>
      <c r="E521" t="inlineStr">
        <is>
          <t>BRÄCKE</t>
        </is>
      </c>
      <c r="G521" t="n">
        <v>15.9</v>
      </c>
      <c r="H521" t="n">
        <v>0</v>
      </c>
      <c r="I521" t="n">
        <v>0</v>
      </c>
      <c r="J521" t="n">
        <v>0</v>
      </c>
      <c r="K521" t="n">
        <v>0</v>
      </c>
      <c r="L521" t="n">
        <v>0</v>
      </c>
      <c r="M521" t="n">
        <v>0</v>
      </c>
      <c r="N521" t="n">
        <v>0</v>
      </c>
      <c r="O521" t="n">
        <v>0</v>
      </c>
      <c r="P521" t="n">
        <v>0</v>
      </c>
      <c r="Q521" t="n">
        <v>0</v>
      </c>
      <c r="R521" s="2" t="inlineStr"/>
    </row>
    <row r="522" ht="15" customHeight="1">
      <c r="A522" t="inlineStr">
        <is>
          <t>A 20909-2025</t>
        </is>
      </c>
      <c r="B522" s="1" t="n">
        <v>45777.40672453704</v>
      </c>
      <c r="C522" s="1" t="n">
        <v>45901</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45901</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21037-2025</t>
        </is>
      </c>
      <c r="B524" s="1" t="n">
        <v>45777.53188657408</v>
      </c>
      <c r="C524" s="1" t="n">
        <v>45901</v>
      </c>
      <c r="D524" t="inlineStr">
        <is>
          <t>JÄMTLANDS LÄN</t>
        </is>
      </c>
      <c r="E524" t="inlineStr">
        <is>
          <t>BRÄCKE</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59419-2023</t>
        </is>
      </c>
      <c r="B525" s="1" t="n">
        <v>45253.96864583333</v>
      </c>
      <c r="C525" s="1" t="n">
        <v>45901</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21305-2025</t>
        </is>
      </c>
      <c r="B526" s="1" t="n">
        <v>45781.40665509259</v>
      </c>
      <c r="C526" s="1" t="n">
        <v>45901</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21368-2025</t>
        </is>
      </c>
      <c r="B527" s="1" t="n">
        <v>45782.44824074074</v>
      </c>
      <c r="C527" s="1" t="n">
        <v>45901</v>
      </c>
      <c r="D527" t="inlineStr">
        <is>
          <t>JÄMTLANDS LÄN</t>
        </is>
      </c>
      <c r="E527" t="inlineStr">
        <is>
          <t>BRÄCKE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34646-2024</t>
        </is>
      </c>
      <c r="B528" s="1" t="n">
        <v>45526.4784375</v>
      </c>
      <c r="C528" s="1" t="n">
        <v>45901</v>
      </c>
      <c r="D528" t="inlineStr">
        <is>
          <t>JÄMTLANDS LÄN</t>
        </is>
      </c>
      <c r="E528" t="inlineStr">
        <is>
          <t>BRÄCKE</t>
        </is>
      </c>
      <c r="G528" t="n">
        <v>0.8</v>
      </c>
      <c r="H528" t="n">
        <v>0</v>
      </c>
      <c r="I528" t="n">
        <v>0</v>
      </c>
      <c r="J528" t="n">
        <v>0</v>
      </c>
      <c r="K528" t="n">
        <v>0</v>
      </c>
      <c r="L528" t="n">
        <v>0</v>
      </c>
      <c r="M528" t="n">
        <v>0</v>
      </c>
      <c r="N528" t="n">
        <v>0</v>
      </c>
      <c r="O528" t="n">
        <v>0</v>
      </c>
      <c r="P528" t="n">
        <v>0</v>
      </c>
      <c r="Q528" t="n">
        <v>0</v>
      </c>
      <c r="R528" s="2" t="inlineStr"/>
    </row>
    <row r="529" ht="15" customHeight="1">
      <c r="A529" t="inlineStr">
        <is>
          <t>A 29409-2024</t>
        </is>
      </c>
      <c r="B529" s="1" t="n">
        <v>45483.67341435186</v>
      </c>
      <c r="C529" s="1" t="n">
        <v>45901</v>
      </c>
      <c r="D529" t="inlineStr">
        <is>
          <t>JÄMTLANDS LÄN</t>
        </is>
      </c>
      <c r="E529" t="inlineStr">
        <is>
          <t>BRÄCKE</t>
        </is>
      </c>
      <c r="G529" t="n">
        <v>9.6</v>
      </c>
      <c r="H529" t="n">
        <v>0</v>
      </c>
      <c r="I529" t="n">
        <v>0</v>
      </c>
      <c r="J529" t="n">
        <v>0</v>
      </c>
      <c r="K529" t="n">
        <v>0</v>
      </c>
      <c r="L529" t="n">
        <v>0</v>
      </c>
      <c r="M529" t="n">
        <v>0</v>
      </c>
      <c r="N529" t="n">
        <v>0</v>
      </c>
      <c r="O529" t="n">
        <v>0</v>
      </c>
      <c r="P529" t="n">
        <v>0</v>
      </c>
      <c r="Q529" t="n">
        <v>0</v>
      </c>
      <c r="R529" s="2" t="inlineStr"/>
    </row>
    <row r="530" ht="15" customHeight="1">
      <c r="A530" t="inlineStr">
        <is>
          <t>A 21551-2025</t>
        </is>
      </c>
      <c r="B530" s="1" t="n">
        <v>45782.67771990741</v>
      </c>
      <c r="C530" s="1" t="n">
        <v>45901</v>
      </c>
      <c r="D530" t="inlineStr">
        <is>
          <t>JÄMTLANDS LÄN</t>
        </is>
      </c>
      <c r="E530" t="inlineStr">
        <is>
          <t>BRÄCKE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35746-2022</t>
        </is>
      </c>
      <c r="B531" s="1" t="n">
        <v>44799.94366898148</v>
      </c>
      <c r="C531" s="1" t="n">
        <v>45901</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24432-2024</t>
        </is>
      </c>
      <c r="B532" s="1" t="n">
        <v>45457.96054398148</v>
      </c>
      <c r="C532" s="1" t="n">
        <v>45901</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34409-2021</t>
        </is>
      </c>
      <c r="B533" s="1" t="n">
        <v>44379</v>
      </c>
      <c r="C533" s="1" t="n">
        <v>45901</v>
      </c>
      <c r="D533" t="inlineStr">
        <is>
          <t>JÄMTLANDS LÄN</t>
        </is>
      </c>
      <c r="E533" t="inlineStr">
        <is>
          <t>BRÄCKE</t>
        </is>
      </c>
      <c r="F533" t="inlineStr">
        <is>
          <t>SCA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21549-2025</t>
        </is>
      </c>
      <c r="B534" s="1" t="n">
        <v>45782.67743055556</v>
      </c>
      <c r="C534" s="1" t="n">
        <v>45901</v>
      </c>
      <c r="D534" t="inlineStr">
        <is>
          <t>JÄMTLANDS LÄN</t>
        </is>
      </c>
      <c r="E534" t="inlineStr">
        <is>
          <t>BRÄCKE</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21449-2025</t>
        </is>
      </c>
      <c r="B535" s="1" t="n">
        <v>45782.55255787037</v>
      </c>
      <c r="C535" s="1" t="n">
        <v>45901</v>
      </c>
      <c r="D535" t="inlineStr">
        <is>
          <t>JÄMTLANDS LÄN</t>
        </is>
      </c>
      <c r="E535" t="inlineStr">
        <is>
          <t>BRÄCKE</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21450-2025</t>
        </is>
      </c>
      <c r="B536" s="1" t="n">
        <v>45782.55275462963</v>
      </c>
      <c r="C536" s="1" t="n">
        <v>45901</v>
      </c>
      <c r="D536" t="inlineStr">
        <is>
          <t>JÄMTLANDS LÄN</t>
        </is>
      </c>
      <c r="E536" t="inlineStr">
        <is>
          <t>BRÄCKE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41313-2024</t>
        </is>
      </c>
      <c r="B537" s="1" t="n">
        <v>45559.6359837963</v>
      </c>
      <c r="C537" s="1" t="n">
        <v>45901</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21486-2025</t>
        </is>
      </c>
      <c r="B538" s="1" t="n">
        <v>45782.59521990741</v>
      </c>
      <c r="C538" s="1" t="n">
        <v>45901</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63713-2023</t>
        </is>
      </c>
      <c r="B539" s="1" t="n">
        <v>45275</v>
      </c>
      <c r="C539" s="1" t="n">
        <v>45901</v>
      </c>
      <c r="D539" t="inlineStr">
        <is>
          <t>JÄMTLANDS LÄN</t>
        </is>
      </c>
      <c r="E539" t="inlineStr">
        <is>
          <t>BRÄCKE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26919-2024</t>
        </is>
      </c>
      <c r="B540" s="1" t="n">
        <v>45470.93050925926</v>
      </c>
      <c r="C540" s="1" t="n">
        <v>45901</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25934-2024</t>
        </is>
      </c>
      <c r="B541" s="1" t="n">
        <v>45467.62287037037</v>
      </c>
      <c r="C541" s="1" t="n">
        <v>45901</v>
      </c>
      <c r="D541" t="inlineStr">
        <is>
          <t>JÄMTLANDS LÄN</t>
        </is>
      </c>
      <c r="E541" t="inlineStr">
        <is>
          <t>BRÄCKE</t>
        </is>
      </c>
      <c r="G541" t="n">
        <v>1.6</v>
      </c>
      <c r="H541" t="n">
        <v>0</v>
      </c>
      <c r="I541" t="n">
        <v>0</v>
      </c>
      <c r="J541" t="n">
        <v>0</v>
      </c>
      <c r="K541" t="n">
        <v>0</v>
      </c>
      <c r="L541" t="n">
        <v>0</v>
      </c>
      <c r="M541" t="n">
        <v>0</v>
      </c>
      <c r="N541" t="n">
        <v>0</v>
      </c>
      <c r="O541" t="n">
        <v>0</v>
      </c>
      <c r="P541" t="n">
        <v>0</v>
      </c>
      <c r="Q541" t="n">
        <v>0</v>
      </c>
      <c r="R541" s="2" t="inlineStr"/>
    </row>
    <row r="542" ht="15" customHeight="1">
      <c r="A542" t="inlineStr">
        <is>
          <t>A 34647-2024</t>
        </is>
      </c>
      <c r="B542" s="1" t="n">
        <v>45526.47844907407</v>
      </c>
      <c r="C542" s="1" t="n">
        <v>45901</v>
      </c>
      <c r="D542" t="inlineStr">
        <is>
          <t>JÄMTLANDS LÄN</t>
        </is>
      </c>
      <c r="E542" t="inlineStr">
        <is>
          <t>BRÄCKE</t>
        </is>
      </c>
      <c r="G542" t="n">
        <v>2.7</v>
      </c>
      <c r="H542" t="n">
        <v>0</v>
      </c>
      <c r="I542" t="n">
        <v>0</v>
      </c>
      <c r="J542" t="n">
        <v>0</v>
      </c>
      <c r="K542" t="n">
        <v>0</v>
      </c>
      <c r="L542" t="n">
        <v>0</v>
      </c>
      <c r="M542" t="n">
        <v>0</v>
      </c>
      <c r="N542" t="n">
        <v>0</v>
      </c>
      <c r="O542" t="n">
        <v>0</v>
      </c>
      <c r="P542" t="n">
        <v>0</v>
      </c>
      <c r="Q542" t="n">
        <v>0</v>
      </c>
      <c r="R542" s="2" t="inlineStr"/>
    </row>
    <row r="543" ht="15" customHeight="1">
      <c r="A543" t="inlineStr">
        <is>
          <t>A 13166-2024</t>
        </is>
      </c>
      <c r="B543" s="1" t="n">
        <v>45386.40141203703</v>
      </c>
      <c r="C543" s="1" t="n">
        <v>45901</v>
      </c>
      <c r="D543" t="inlineStr">
        <is>
          <t>JÄMTLANDS LÄN</t>
        </is>
      </c>
      <c r="E543" t="inlineStr">
        <is>
          <t>BRÄCKE</t>
        </is>
      </c>
      <c r="G543" t="n">
        <v>7.3</v>
      </c>
      <c r="H543" t="n">
        <v>0</v>
      </c>
      <c r="I543" t="n">
        <v>0</v>
      </c>
      <c r="J543" t="n">
        <v>0</v>
      </c>
      <c r="K543" t="n">
        <v>0</v>
      </c>
      <c r="L543" t="n">
        <v>0</v>
      </c>
      <c r="M543" t="n">
        <v>0</v>
      </c>
      <c r="N543" t="n">
        <v>0</v>
      </c>
      <c r="O543" t="n">
        <v>0</v>
      </c>
      <c r="P543" t="n">
        <v>0</v>
      </c>
      <c r="Q543" t="n">
        <v>0</v>
      </c>
      <c r="R543" s="2" t="inlineStr"/>
    </row>
    <row r="544" ht="15" customHeight="1">
      <c r="A544" t="inlineStr">
        <is>
          <t>A 36497-2023</t>
        </is>
      </c>
      <c r="B544" s="1" t="n">
        <v>45152</v>
      </c>
      <c r="C544" s="1" t="n">
        <v>45901</v>
      </c>
      <c r="D544" t="inlineStr">
        <is>
          <t>JÄMTLANDS LÄN</t>
        </is>
      </c>
      <c r="E544" t="inlineStr">
        <is>
          <t>BRÄCKE</t>
        </is>
      </c>
      <c r="G544" t="n">
        <v>2.2</v>
      </c>
      <c r="H544" t="n">
        <v>0</v>
      </c>
      <c r="I544" t="n">
        <v>0</v>
      </c>
      <c r="J544" t="n">
        <v>0</v>
      </c>
      <c r="K544" t="n">
        <v>0</v>
      </c>
      <c r="L544" t="n">
        <v>0</v>
      </c>
      <c r="M544" t="n">
        <v>0</v>
      </c>
      <c r="N544" t="n">
        <v>0</v>
      </c>
      <c r="O544" t="n">
        <v>0</v>
      </c>
      <c r="P544" t="n">
        <v>0</v>
      </c>
      <c r="Q544" t="n">
        <v>0</v>
      </c>
      <c r="R544" s="2" t="inlineStr"/>
    </row>
    <row r="545" ht="15" customHeight="1">
      <c r="A545" t="inlineStr">
        <is>
          <t>A 24874-2024</t>
        </is>
      </c>
      <c r="B545" s="1" t="n">
        <v>45461.52280092592</v>
      </c>
      <c r="C545" s="1" t="n">
        <v>45901</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24878-2024</t>
        </is>
      </c>
      <c r="B546" s="1" t="n">
        <v>45461.55193287037</v>
      </c>
      <c r="C546" s="1" t="n">
        <v>45901</v>
      </c>
      <c r="D546" t="inlineStr">
        <is>
          <t>JÄMTLANDS LÄN</t>
        </is>
      </c>
      <c r="E546" t="inlineStr">
        <is>
          <t>BRÄCKE</t>
        </is>
      </c>
      <c r="G546" t="n">
        <v>3.8</v>
      </c>
      <c r="H546" t="n">
        <v>0</v>
      </c>
      <c r="I546" t="n">
        <v>0</v>
      </c>
      <c r="J546" t="n">
        <v>0</v>
      </c>
      <c r="K546" t="n">
        <v>0</v>
      </c>
      <c r="L546" t="n">
        <v>0</v>
      </c>
      <c r="M546" t="n">
        <v>0</v>
      </c>
      <c r="N546" t="n">
        <v>0</v>
      </c>
      <c r="O546" t="n">
        <v>0</v>
      </c>
      <c r="P546" t="n">
        <v>0</v>
      </c>
      <c r="Q546" t="n">
        <v>0</v>
      </c>
      <c r="R546" s="2" t="inlineStr"/>
    </row>
    <row r="547" ht="15" customHeight="1">
      <c r="A547" t="inlineStr">
        <is>
          <t>A 13180-2024</t>
        </is>
      </c>
      <c r="B547" s="1" t="n">
        <v>45386.43207175926</v>
      </c>
      <c r="C547" s="1" t="n">
        <v>45901</v>
      </c>
      <c r="D547" t="inlineStr">
        <is>
          <t>JÄMTLANDS LÄN</t>
        </is>
      </c>
      <c r="E547" t="inlineStr">
        <is>
          <t>BRÄCKE</t>
        </is>
      </c>
      <c r="G547" t="n">
        <v>1.8</v>
      </c>
      <c r="H547" t="n">
        <v>0</v>
      </c>
      <c r="I547" t="n">
        <v>0</v>
      </c>
      <c r="J547" t="n">
        <v>0</v>
      </c>
      <c r="K547" t="n">
        <v>0</v>
      </c>
      <c r="L547" t="n">
        <v>0</v>
      </c>
      <c r="M547" t="n">
        <v>0</v>
      </c>
      <c r="N547" t="n">
        <v>0</v>
      </c>
      <c r="O547" t="n">
        <v>0</v>
      </c>
      <c r="P547" t="n">
        <v>0</v>
      </c>
      <c r="Q547" t="n">
        <v>0</v>
      </c>
      <c r="R547" s="2" t="inlineStr"/>
    </row>
    <row r="548" ht="15" customHeight="1">
      <c r="A548" t="inlineStr">
        <is>
          <t>A 32961-2022</t>
        </is>
      </c>
      <c r="B548" s="1" t="n">
        <v>44784.92487268519</v>
      </c>
      <c r="C548" s="1" t="n">
        <v>45901</v>
      </c>
      <c r="D548" t="inlineStr">
        <is>
          <t>JÄMTLANDS LÄN</t>
        </is>
      </c>
      <c r="E548" t="inlineStr">
        <is>
          <t>BRÄCKE</t>
        </is>
      </c>
      <c r="G548" t="n">
        <v>2.6</v>
      </c>
      <c r="H548" t="n">
        <v>0</v>
      </c>
      <c r="I548" t="n">
        <v>0</v>
      </c>
      <c r="J548" t="n">
        <v>0</v>
      </c>
      <c r="K548" t="n">
        <v>0</v>
      </c>
      <c r="L548" t="n">
        <v>0</v>
      </c>
      <c r="M548" t="n">
        <v>0</v>
      </c>
      <c r="N548" t="n">
        <v>0</v>
      </c>
      <c r="O548" t="n">
        <v>0</v>
      </c>
      <c r="P548" t="n">
        <v>0</v>
      </c>
      <c r="Q548" t="n">
        <v>0</v>
      </c>
      <c r="R548" s="2" t="inlineStr"/>
    </row>
    <row r="549" ht="15" customHeight="1">
      <c r="A549" t="inlineStr">
        <is>
          <t>A 22000-2025</t>
        </is>
      </c>
      <c r="B549" s="1" t="n">
        <v>45784.69851851852</v>
      </c>
      <c r="C549" s="1" t="n">
        <v>45901</v>
      </c>
      <c r="D549" t="inlineStr">
        <is>
          <t>JÄMTLANDS LÄN</t>
        </is>
      </c>
      <c r="E549" t="inlineStr">
        <is>
          <t>BRÄCKE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22936-2024</t>
        </is>
      </c>
      <c r="B550" s="1" t="n">
        <v>45448.94478009259</v>
      </c>
      <c r="C550" s="1" t="n">
        <v>45901</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22978-2024</t>
        </is>
      </c>
      <c r="B551" s="1" t="n">
        <v>45449</v>
      </c>
      <c r="C551" s="1" t="n">
        <v>45901</v>
      </c>
      <c r="D551" t="inlineStr">
        <is>
          <t>JÄMTLANDS LÄN</t>
        </is>
      </c>
      <c r="E551" t="inlineStr">
        <is>
          <t>BRÄCKE</t>
        </is>
      </c>
      <c r="G551" t="n">
        <v>3.9</v>
      </c>
      <c r="H551" t="n">
        <v>0</v>
      </c>
      <c r="I551" t="n">
        <v>0</v>
      </c>
      <c r="J551" t="n">
        <v>0</v>
      </c>
      <c r="K551" t="n">
        <v>0</v>
      </c>
      <c r="L551" t="n">
        <v>0</v>
      </c>
      <c r="M551" t="n">
        <v>0</v>
      </c>
      <c r="N551" t="n">
        <v>0</v>
      </c>
      <c r="O551" t="n">
        <v>0</v>
      </c>
      <c r="P551" t="n">
        <v>0</v>
      </c>
      <c r="Q551" t="n">
        <v>0</v>
      </c>
      <c r="R551" s="2" t="inlineStr"/>
    </row>
    <row r="552" ht="15" customHeight="1">
      <c r="A552" t="inlineStr">
        <is>
          <t>A 16707-2024</t>
        </is>
      </c>
      <c r="B552" s="1" t="n">
        <v>45409.07706018518</v>
      </c>
      <c r="C552" s="1" t="n">
        <v>45901</v>
      </c>
      <c r="D552" t="inlineStr">
        <is>
          <t>JÄMTLANDS LÄN</t>
        </is>
      </c>
      <c r="E552" t="inlineStr">
        <is>
          <t>BRÄCKE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21961-2025</t>
        </is>
      </c>
      <c r="B553" s="1" t="n">
        <v>45784.61517361111</v>
      </c>
      <c r="C553" s="1" t="n">
        <v>45901</v>
      </c>
      <c r="D553" t="inlineStr">
        <is>
          <t>JÄMTLANDS LÄN</t>
        </is>
      </c>
      <c r="E553" t="inlineStr">
        <is>
          <t>BRÄCKE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26910-2024</t>
        </is>
      </c>
      <c r="B554" s="1" t="n">
        <v>45470.76403935185</v>
      </c>
      <c r="C554" s="1" t="n">
        <v>45901</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32963-2022</t>
        </is>
      </c>
      <c r="B555" s="1" t="n">
        <v>44784.92496527778</v>
      </c>
      <c r="C555" s="1" t="n">
        <v>45901</v>
      </c>
      <c r="D555" t="inlineStr">
        <is>
          <t>JÄMTLANDS LÄN</t>
        </is>
      </c>
      <c r="E555" t="inlineStr">
        <is>
          <t>BRÄCKE</t>
        </is>
      </c>
      <c r="G555" t="n">
        <v>5.2</v>
      </c>
      <c r="H555" t="n">
        <v>0</v>
      </c>
      <c r="I555" t="n">
        <v>0</v>
      </c>
      <c r="J555" t="n">
        <v>0</v>
      </c>
      <c r="K555" t="n">
        <v>0</v>
      </c>
      <c r="L555" t="n">
        <v>0</v>
      </c>
      <c r="M555" t="n">
        <v>0</v>
      </c>
      <c r="N555" t="n">
        <v>0</v>
      </c>
      <c r="O555" t="n">
        <v>0</v>
      </c>
      <c r="P555" t="n">
        <v>0</v>
      </c>
      <c r="Q555" t="n">
        <v>0</v>
      </c>
      <c r="R555" s="2" t="inlineStr"/>
    </row>
    <row r="556" ht="15" customHeight="1">
      <c r="A556" t="inlineStr">
        <is>
          <t>A 21634-2025</t>
        </is>
      </c>
      <c r="B556" s="1" t="n">
        <v>45783.42775462963</v>
      </c>
      <c r="C556" s="1" t="n">
        <v>45901</v>
      </c>
      <c r="D556" t="inlineStr">
        <is>
          <t>JÄMTLANDS LÄN</t>
        </is>
      </c>
      <c r="E556" t="inlineStr">
        <is>
          <t>BRÄCKE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51378-2024</t>
        </is>
      </c>
      <c r="B557" s="1" t="n">
        <v>45604.38572916666</v>
      </c>
      <c r="C557" s="1" t="n">
        <v>45901</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56822-2022</t>
        </is>
      </c>
      <c r="B558" s="1" t="n">
        <v>44894.44673611111</v>
      </c>
      <c r="C558" s="1" t="n">
        <v>45901</v>
      </c>
      <c r="D558" t="inlineStr">
        <is>
          <t>JÄMTLANDS LÄN</t>
        </is>
      </c>
      <c r="E558" t="inlineStr">
        <is>
          <t>BRÄCKE</t>
        </is>
      </c>
      <c r="G558" t="n">
        <v>1.2</v>
      </c>
      <c r="H558" t="n">
        <v>0</v>
      </c>
      <c r="I558" t="n">
        <v>0</v>
      </c>
      <c r="J558" t="n">
        <v>0</v>
      </c>
      <c r="K558" t="n">
        <v>0</v>
      </c>
      <c r="L558" t="n">
        <v>0</v>
      </c>
      <c r="M558" t="n">
        <v>0</v>
      </c>
      <c r="N558" t="n">
        <v>0</v>
      </c>
      <c r="O558" t="n">
        <v>0</v>
      </c>
      <c r="P558" t="n">
        <v>0</v>
      </c>
      <c r="Q558" t="n">
        <v>0</v>
      </c>
      <c r="R558" s="2" t="inlineStr"/>
    </row>
    <row r="559" ht="15" customHeight="1">
      <c r="A559" t="inlineStr">
        <is>
          <t>A 9438-2025</t>
        </is>
      </c>
      <c r="B559" s="1" t="n">
        <v>45715.41347222222</v>
      </c>
      <c r="C559" s="1" t="n">
        <v>45901</v>
      </c>
      <c r="D559" t="inlineStr">
        <is>
          <t>JÄMTLANDS LÄN</t>
        </is>
      </c>
      <c r="E559" t="inlineStr">
        <is>
          <t>BRÄCKE</t>
        </is>
      </c>
      <c r="G559" t="n">
        <v>6.9</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44368.93855324074</v>
      </c>
      <c r="C560" s="1" t="n">
        <v>45901</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20003-2024</t>
        </is>
      </c>
      <c r="B561" s="1" t="n">
        <v>45433.94275462963</v>
      </c>
      <c r="C561" s="1" t="n">
        <v>45901</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20009-2024</t>
        </is>
      </c>
      <c r="B562" s="1" t="n">
        <v>45433.94325231481</v>
      </c>
      <c r="C562" s="1" t="n">
        <v>45901</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22164-2025</t>
        </is>
      </c>
      <c r="B563" s="1" t="n">
        <v>45785.59428240741</v>
      </c>
      <c r="C563" s="1" t="n">
        <v>45901</v>
      </c>
      <c r="D563" t="inlineStr">
        <is>
          <t>JÄMTLANDS LÄN</t>
        </is>
      </c>
      <c r="E563" t="inlineStr">
        <is>
          <t>BRÄCKE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22167-2025</t>
        </is>
      </c>
      <c r="B564" s="1" t="n">
        <v>45785.59498842592</v>
      </c>
      <c r="C564" s="1" t="n">
        <v>45901</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50591-2024</t>
        </is>
      </c>
      <c r="B565" s="1" t="n">
        <v>45601.6190625</v>
      </c>
      <c r="C565" s="1" t="n">
        <v>45901</v>
      </c>
      <c r="D565" t="inlineStr">
        <is>
          <t>JÄMTLANDS LÄN</t>
        </is>
      </c>
      <c r="E565" t="inlineStr">
        <is>
          <t>BRÄCKE</t>
        </is>
      </c>
      <c r="G565" t="n">
        <v>17</v>
      </c>
      <c r="H565" t="n">
        <v>0</v>
      </c>
      <c r="I565" t="n">
        <v>0</v>
      </c>
      <c r="J565" t="n">
        <v>0</v>
      </c>
      <c r="K565" t="n">
        <v>0</v>
      </c>
      <c r="L565" t="n">
        <v>0</v>
      </c>
      <c r="M565" t="n">
        <v>0</v>
      </c>
      <c r="N565" t="n">
        <v>0</v>
      </c>
      <c r="O565" t="n">
        <v>0</v>
      </c>
      <c r="P565" t="n">
        <v>0</v>
      </c>
      <c r="Q565" t="n">
        <v>0</v>
      </c>
      <c r="R565" s="2" t="inlineStr"/>
    </row>
    <row r="566" ht="15" customHeight="1">
      <c r="A566" t="inlineStr">
        <is>
          <t>A 8253-2024</t>
        </is>
      </c>
      <c r="B566" s="1" t="n">
        <v>45350</v>
      </c>
      <c r="C566" s="1" t="n">
        <v>45901</v>
      </c>
      <c r="D566" t="inlineStr">
        <is>
          <t>JÄMTLANDS LÄN</t>
        </is>
      </c>
      <c r="E566" t="inlineStr">
        <is>
          <t>BRÄCKE</t>
        </is>
      </c>
      <c r="G566" t="n">
        <v>3.7</v>
      </c>
      <c r="H566" t="n">
        <v>0</v>
      </c>
      <c r="I566" t="n">
        <v>0</v>
      </c>
      <c r="J566" t="n">
        <v>0</v>
      </c>
      <c r="K566" t="n">
        <v>0</v>
      </c>
      <c r="L566" t="n">
        <v>0</v>
      </c>
      <c r="M566" t="n">
        <v>0</v>
      </c>
      <c r="N566" t="n">
        <v>0</v>
      </c>
      <c r="O566" t="n">
        <v>0</v>
      </c>
      <c r="P566" t="n">
        <v>0</v>
      </c>
      <c r="Q566" t="n">
        <v>0</v>
      </c>
      <c r="R566" s="2" t="inlineStr"/>
    </row>
    <row r="567" ht="15" customHeight="1">
      <c r="A567" t="inlineStr">
        <is>
          <t>A 48482-2023</t>
        </is>
      </c>
      <c r="B567" s="1" t="n">
        <v>45206.95846064815</v>
      </c>
      <c r="C567" s="1" t="n">
        <v>45901</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23771-2023</t>
        </is>
      </c>
      <c r="B568" s="1" t="n">
        <v>45077</v>
      </c>
      <c r="C568" s="1" t="n">
        <v>45901</v>
      </c>
      <c r="D568" t="inlineStr">
        <is>
          <t>JÄMTLANDS LÄN</t>
        </is>
      </c>
      <c r="E568" t="inlineStr">
        <is>
          <t>BRÄCKE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24307-2024</t>
        </is>
      </c>
      <c r="B569" s="1" t="n">
        <v>45457.49471064815</v>
      </c>
      <c r="C569" s="1" t="n">
        <v>45901</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25413-2024</t>
        </is>
      </c>
      <c r="B570" s="1" t="n">
        <v>45462</v>
      </c>
      <c r="C570" s="1" t="n">
        <v>45901</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29941-2023</t>
        </is>
      </c>
      <c r="B571" s="1" t="n">
        <v>45107</v>
      </c>
      <c r="C571" s="1" t="n">
        <v>45901</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45381-2024</t>
        </is>
      </c>
      <c r="B572" s="1" t="n">
        <v>45576.53155092592</v>
      </c>
      <c r="C572" s="1" t="n">
        <v>45901</v>
      </c>
      <c r="D572" t="inlineStr">
        <is>
          <t>JÄMTLANDS LÄN</t>
        </is>
      </c>
      <c r="E572" t="inlineStr">
        <is>
          <t>BRÄCKE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4381-2023</t>
        </is>
      </c>
      <c r="B573" s="1" t="n">
        <v>44955</v>
      </c>
      <c r="C573" s="1" t="n">
        <v>45901</v>
      </c>
      <c r="D573" t="inlineStr">
        <is>
          <t>JÄMTLANDS LÄN</t>
        </is>
      </c>
      <c r="E573" t="inlineStr">
        <is>
          <t>BRÄCKE</t>
        </is>
      </c>
      <c r="G573" t="n">
        <v>2.1</v>
      </c>
      <c r="H573" t="n">
        <v>0</v>
      </c>
      <c r="I573" t="n">
        <v>0</v>
      </c>
      <c r="J573" t="n">
        <v>0</v>
      </c>
      <c r="K573" t="n">
        <v>0</v>
      </c>
      <c r="L573" t="n">
        <v>0</v>
      </c>
      <c r="M573" t="n">
        <v>0</v>
      </c>
      <c r="N573" t="n">
        <v>0</v>
      </c>
      <c r="O573" t="n">
        <v>0</v>
      </c>
      <c r="P573" t="n">
        <v>0</v>
      </c>
      <c r="Q573" t="n">
        <v>0</v>
      </c>
      <c r="R573" s="2" t="inlineStr"/>
    </row>
    <row r="574" ht="15" customHeight="1">
      <c r="A574" t="inlineStr">
        <is>
          <t>A 73106-2021</t>
        </is>
      </c>
      <c r="B574" s="1" t="n">
        <v>44550.45646990741</v>
      </c>
      <c r="C574" s="1" t="n">
        <v>45901</v>
      </c>
      <c r="D574" t="inlineStr">
        <is>
          <t>JÄMTLANDS LÄN</t>
        </is>
      </c>
      <c r="E574" t="inlineStr">
        <is>
          <t>BRÄCKE</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35903-2024</t>
        </is>
      </c>
      <c r="B575" s="1" t="n">
        <v>45533.40648148148</v>
      </c>
      <c r="C575" s="1" t="n">
        <v>45901</v>
      </c>
      <c r="D575" t="inlineStr">
        <is>
          <t>JÄMTLANDS LÄN</t>
        </is>
      </c>
      <c r="E575" t="inlineStr">
        <is>
          <t>BRÄCKE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52714-2022</t>
        </is>
      </c>
      <c r="B576" s="1" t="n">
        <v>44874.95511574074</v>
      </c>
      <c r="C576" s="1" t="n">
        <v>45901</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30102-2021</t>
        </is>
      </c>
      <c r="B577" s="1" t="n">
        <v>44363</v>
      </c>
      <c r="C577" s="1" t="n">
        <v>45901</v>
      </c>
      <c r="D577" t="inlineStr">
        <is>
          <t>JÄMTLANDS LÄN</t>
        </is>
      </c>
      <c r="E577" t="inlineStr">
        <is>
          <t>BRÄCKE</t>
        </is>
      </c>
      <c r="G577" t="n">
        <v>1.3</v>
      </c>
      <c r="H577" t="n">
        <v>0</v>
      </c>
      <c r="I577" t="n">
        <v>0</v>
      </c>
      <c r="J577" t="n">
        <v>0</v>
      </c>
      <c r="K577" t="n">
        <v>0</v>
      </c>
      <c r="L577" t="n">
        <v>0</v>
      </c>
      <c r="M577" t="n">
        <v>0</v>
      </c>
      <c r="N577" t="n">
        <v>0</v>
      </c>
      <c r="O577" t="n">
        <v>0</v>
      </c>
      <c r="P577" t="n">
        <v>0</v>
      </c>
      <c r="Q577" t="n">
        <v>0</v>
      </c>
      <c r="R577" s="2" t="inlineStr"/>
    </row>
    <row r="578" ht="15" customHeight="1">
      <c r="A578" t="inlineStr">
        <is>
          <t>A 4491-2024</t>
        </is>
      </c>
      <c r="B578" s="1" t="n">
        <v>45327</v>
      </c>
      <c r="C578" s="1" t="n">
        <v>45901</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62249-2021</t>
        </is>
      </c>
      <c r="B579" s="1" t="n">
        <v>44503</v>
      </c>
      <c r="C579" s="1" t="n">
        <v>45901</v>
      </c>
      <c r="D579" t="inlineStr">
        <is>
          <t>JÄMTLANDS LÄN</t>
        </is>
      </c>
      <c r="E579" t="inlineStr">
        <is>
          <t>BRÄCKE</t>
        </is>
      </c>
      <c r="G579" t="n">
        <v>2.9</v>
      </c>
      <c r="H579" t="n">
        <v>0</v>
      </c>
      <c r="I579" t="n">
        <v>0</v>
      </c>
      <c r="J579" t="n">
        <v>0</v>
      </c>
      <c r="K579" t="n">
        <v>0</v>
      </c>
      <c r="L579" t="n">
        <v>0</v>
      </c>
      <c r="M579" t="n">
        <v>0</v>
      </c>
      <c r="N579" t="n">
        <v>0</v>
      </c>
      <c r="O579" t="n">
        <v>0</v>
      </c>
      <c r="P579" t="n">
        <v>0</v>
      </c>
      <c r="Q579" t="n">
        <v>0</v>
      </c>
      <c r="R579" s="2" t="inlineStr"/>
    </row>
    <row r="580" ht="15" customHeight="1">
      <c r="A580" t="inlineStr">
        <is>
          <t>A 20100-2023</t>
        </is>
      </c>
      <c r="B580" s="1" t="n">
        <v>45054.94239583334</v>
      </c>
      <c r="C580" s="1" t="n">
        <v>45901</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20101-2023</t>
        </is>
      </c>
      <c r="B581" s="1" t="n">
        <v>45054.94247685185</v>
      </c>
      <c r="C581" s="1" t="n">
        <v>45901</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44841-2024</t>
        </is>
      </c>
      <c r="B582" s="1" t="n">
        <v>45574.71900462963</v>
      </c>
      <c r="C582" s="1" t="n">
        <v>45901</v>
      </c>
      <c r="D582" t="inlineStr">
        <is>
          <t>JÄMTLANDS LÄN</t>
        </is>
      </c>
      <c r="E582" t="inlineStr">
        <is>
          <t>BRÄCKE</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37173-2024</t>
        </is>
      </c>
      <c r="B583" s="1" t="n">
        <v>45539.63597222222</v>
      </c>
      <c r="C583" s="1" t="n">
        <v>45901</v>
      </c>
      <c r="D583" t="inlineStr">
        <is>
          <t>JÄMTLANDS LÄN</t>
        </is>
      </c>
      <c r="E583" t="inlineStr">
        <is>
          <t>BRÄCKE</t>
        </is>
      </c>
      <c r="G583" t="n">
        <v>3.8</v>
      </c>
      <c r="H583" t="n">
        <v>0</v>
      </c>
      <c r="I583" t="n">
        <v>0</v>
      </c>
      <c r="J583" t="n">
        <v>0</v>
      </c>
      <c r="K583" t="n">
        <v>0</v>
      </c>
      <c r="L583" t="n">
        <v>0</v>
      </c>
      <c r="M583" t="n">
        <v>0</v>
      </c>
      <c r="N583" t="n">
        <v>0</v>
      </c>
      <c r="O583" t="n">
        <v>0</v>
      </c>
      <c r="P583" t="n">
        <v>0</v>
      </c>
      <c r="Q583" t="n">
        <v>0</v>
      </c>
      <c r="R583" s="2" t="inlineStr"/>
    </row>
    <row r="584" ht="15" customHeight="1">
      <c r="A584" t="inlineStr">
        <is>
          <t>A 29189-2024</t>
        </is>
      </c>
      <c r="B584" s="1" t="n">
        <v>45482.55164351852</v>
      </c>
      <c r="C584" s="1" t="n">
        <v>45901</v>
      </c>
      <c r="D584" t="inlineStr">
        <is>
          <t>JÄMTLANDS LÄN</t>
        </is>
      </c>
      <c r="E584" t="inlineStr">
        <is>
          <t>BRÄCKE</t>
        </is>
      </c>
      <c r="F584" t="inlineStr">
        <is>
          <t>Övriga Aktiebolag</t>
        </is>
      </c>
      <c r="G584" t="n">
        <v>6.6</v>
      </c>
      <c r="H584" t="n">
        <v>0</v>
      </c>
      <c r="I584" t="n">
        <v>0</v>
      </c>
      <c r="J584" t="n">
        <v>0</v>
      </c>
      <c r="K584" t="n">
        <v>0</v>
      </c>
      <c r="L584" t="n">
        <v>0</v>
      </c>
      <c r="M584" t="n">
        <v>0</v>
      </c>
      <c r="N584" t="n">
        <v>0</v>
      </c>
      <c r="O584" t="n">
        <v>0</v>
      </c>
      <c r="P584" t="n">
        <v>0</v>
      </c>
      <c r="Q584" t="n">
        <v>0</v>
      </c>
      <c r="R584" s="2" t="inlineStr"/>
    </row>
    <row r="585" ht="15" customHeight="1">
      <c r="A585" t="inlineStr">
        <is>
          <t>A 41418-2024</t>
        </is>
      </c>
      <c r="B585" s="1" t="n">
        <v>45560.34599537037</v>
      </c>
      <c r="C585" s="1" t="n">
        <v>45901</v>
      </c>
      <c r="D585" t="inlineStr">
        <is>
          <t>JÄMTLANDS LÄN</t>
        </is>
      </c>
      <c r="E585" t="inlineStr">
        <is>
          <t>BRÄCKE</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41419-2024</t>
        </is>
      </c>
      <c r="B586" s="1" t="n">
        <v>45560</v>
      </c>
      <c r="C586" s="1" t="n">
        <v>45901</v>
      </c>
      <c r="D586" t="inlineStr">
        <is>
          <t>JÄMTLANDS LÄN</t>
        </is>
      </c>
      <c r="E586" t="inlineStr">
        <is>
          <t>BRÄCKE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12063-2023</t>
        </is>
      </c>
      <c r="B587" s="1" t="n">
        <v>44996</v>
      </c>
      <c r="C587" s="1" t="n">
        <v>45901</v>
      </c>
      <c r="D587" t="inlineStr">
        <is>
          <t>JÄMTLANDS LÄN</t>
        </is>
      </c>
      <c r="E587" t="inlineStr">
        <is>
          <t>BRÄCKE</t>
        </is>
      </c>
      <c r="G587" t="n">
        <v>7.1</v>
      </c>
      <c r="H587" t="n">
        <v>0</v>
      </c>
      <c r="I587" t="n">
        <v>0</v>
      </c>
      <c r="J587" t="n">
        <v>0</v>
      </c>
      <c r="K587" t="n">
        <v>0</v>
      </c>
      <c r="L587" t="n">
        <v>0</v>
      </c>
      <c r="M587" t="n">
        <v>0</v>
      </c>
      <c r="N587" t="n">
        <v>0</v>
      </c>
      <c r="O587" t="n">
        <v>0</v>
      </c>
      <c r="P587" t="n">
        <v>0</v>
      </c>
      <c r="Q587" t="n">
        <v>0</v>
      </c>
      <c r="R587" s="2" t="inlineStr"/>
    </row>
    <row r="588" ht="15" customHeight="1">
      <c r="A588" t="inlineStr">
        <is>
          <t>A 21086-2024</t>
        </is>
      </c>
      <c r="B588" s="1" t="n">
        <v>45439.92791666667</v>
      </c>
      <c r="C588" s="1" t="n">
        <v>45901</v>
      </c>
      <c r="D588" t="inlineStr">
        <is>
          <t>JÄMTLANDS LÄN</t>
        </is>
      </c>
      <c r="E588" t="inlineStr">
        <is>
          <t>BRÄCKE</t>
        </is>
      </c>
      <c r="G588" t="n">
        <v>1.5</v>
      </c>
      <c r="H588" t="n">
        <v>0</v>
      </c>
      <c r="I588" t="n">
        <v>0</v>
      </c>
      <c r="J588" t="n">
        <v>0</v>
      </c>
      <c r="K588" t="n">
        <v>0</v>
      </c>
      <c r="L588" t="n">
        <v>0</v>
      </c>
      <c r="M588" t="n">
        <v>0</v>
      </c>
      <c r="N588" t="n">
        <v>0</v>
      </c>
      <c r="O588" t="n">
        <v>0</v>
      </c>
      <c r="P588" t="n">
        <v>0</v>
      </c>
      <c r="Q588" t="n">
        <v>0</v>
      </c>
      <c r="R588" s="2" t="inlineStr"/>
    </row>
    <row r="589" ht="15" customHeight="1">
      <c r="A589" t="inlineStr">
        <is>
          <t>A 14373-2024</t>
        </is>
      </c>
      <c r="B589" s="1" t="n">
        <v>45393</v>
      </c>
      <c r="C589" s="1" t="n">
        <v>45901</v>
      </c>
      <c r="D589" t="inlineStr">
        <is>
          <t>JÄMTLANDS LÄN</t>
        </is>
      </c>
      <c r="E589" t="inlineStr">
        <is>
          <t>BRÄCKE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45901</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45901</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54274-2022</t>
        </is>
      </c>
      <c r="B592" s="1" t="n">
        <v>44879</v>
      </c>
      <c r="C592" s="1" t="n">
        <v>45901</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23534-2024</t>
        </is>
      </c>
      <c r="B593" s="1" t="n">
        <v>45453.95170138889</v>
      </c>
      <c r="C593" s="1" t="n">
        <v>45901</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26025-2024</t>
        </is>
      </c>
      <c r="B594" s="1" t="n">
        <v>45467.96188657408</v>
      </c>
      <c r="C594" s="1" t="n">
        <v>45901</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18206-2023</t>
        </is>
      </c>
      <c r="B595" s="1" t="n">
        <v>45041</v>
      </c>
      <c r="C595" s="1" t="n">
        <v>45901</v>
      </c>
      <c r="D595" t="inlineStr">
        <is>
          <t>JÄMTLANDS LÄN</t>
        </is>
      </c>
      <c r="E595" t="inlineStr">
        <is>
          <t>BRÄCKE</t>
        </is>
      </c>
      <c r="G595" t="n">
        <v>5.2</v>
      </c>
      <c r="H595" t="n">
        <v>0</v>
      </c>
      <c r="I595" t="n">
        <v>0</v>
      </c>
      <c r="J595" t="n">
        <v>0</v>
      </c>
      <c r="K595" t="n">
        <v>0</v>
      </c>
      <c r="L595" t="n">
        <v>0</v>
      </c>
      <c r="M595" t="n">
        <v>0</v>
      </c>
      <c r="N595" t="n">
        <v>0</v>
      </c>
      <c r="O595" t="n">
        <v>0</v>
      </c>
      <c r="P595" t="n">
        <v>0</v>
      </c>
      <c r="Q595" t="n">
        <v>0</v>
      </c>
      <c r="R595" s="2" t="inlineStr"/>
    </row>
    <row r="596" ht="15" customHeight="1">
      <c r="A596" t="inlineStr">
        <is>
          <t>A 1863-2022</t>
        </is>
      </c>
      <c r="B596" s="1" t="n">
        <v>44574</v>
      </c>
      <c r="C596" s="1" t="n">
        <v>45901</v>
      </c>
      <c r="D596" t="inlineStr">
        <is>
          <t>JÄMTLANDS LÄN</t>
        </is>
      </c>
      <c r="E596" t="inlineStr">
        <is>
          <t>BRÄCKE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1865-2022</t>
        </is>
      </c>
      <c r="B597" s="1" t="n">
        <v>44574</v>
      </c>
      <c r="C597" s="1" t="n">
        <v>45901</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22841-2025</t>
        </is>
      </c>
      <c r="B598" s="1" t="n">
        <v>45789</v>
      </c>
      <c r="C598" s="1" t="n">
        <v>45901</v>
      </c>
      <c r="D598" t="inlineStr">
        <is>
          <t>JÄMTLANDS LÄN</t>
        </is>
      </c>
      <c r="E598" t="inlineStr">
        <is>
          <t>BRÄCKE</t>
        </is>
      </c>
      <c r="G598" t="n">
        <v>3.4</v>
      </c>
      <c r="H598" t="n">
        <v>0</v>
      </c>
      <c r="I598" t="n">
        <v>0</v>
      </c>
      <c r="J598" t="n">
        <v>0</v>
      </c>
      <c r="K598" t="n">
        <v>0</v>
      </c>
      <c r="L598" t="n">
        <v>0</v>
      </c>
      <c r="M598" t="n">
        <v>0</v>
      </c>
      <c r="N598" t="n">
        <v>0</v>
      </c>
      <c r="O598" t="n">
        <v>0</v>
      </c>
      <c r="P598" t="n">
        <v>0</v>
      </c>
      <c r="Q598" t="n">
        <v>0</v>
      </c>
      <c r="R598" s="2" t="inlineStr"/>
    </row>
    <row r="599" ht="15" customHeight="1">
      <c r="A599" t="inlineStr">
        <is>
          <t>A 60417-2022</t>
        </is>
      </c>
      <c r="B599" s="1" t="n">
        <v>44910.97158564815</v>
      </c>
      <c r="C599" s="1" t="n">
        <v>45901</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3528-2024</t>
        </is>
      </c>
      <c r="B600" s="1" t="n">
        <v>45320</v>
      </c>
      <c r="C600" s="1" t="n">
        <v>45901</v>
      </c>
      <c r="D600" t="inlineStr">
        <is>
          <t>JÄMTLANDS LÄN</t>
        </is>
      </c>
      <c r="E600" t="inlineStr">
        <is>
          <t>BRÄCKE</t>
        </is>
      </c>
      <c r="G600" t="n">
        <v>0.8</v>
      </c>
      <c r="H600" t="n">
        <v>0</v>
      </c>
      <c r="I600" t="n">
        <v>0</v>
      </c>
      <c r="J600" t="n">
        <v>0</v>
      </c>
      <c r="K600" t="n">
        <v>0</v>
      </c>
      <c r="L600" t="n">
        <v>0</v>
      </c>
      <c r="M600" t="n">
        <v>0</v>
      </c>
      <c r="N600" t="n">
        <v>0</v>
      </c>
      <c r="O600" t="n">
        <v>0</v>
      </c>
      <c r="P600" t="n">
        <v>0</v>
      </c>
      <c r="Q600" t="n">
        <v>0</v>
      </c>
      <c r="R600" s="2" t="inlineStr"/>
    </row>
    <row r="601" ht="15" customHeight="1">
      <c r="A601" t="inlineStr">
        <is>
          <t>A 44445-2022</t>
        </is>
      </c>
      <c r="B601" s="1" t="n">
        <v>44839.95482638889</v>
      </c>
      <c r="C601" s="1" t="n">
        <v>45901</v>
      </c>
      <c r="D601" t="inlineStr">
        <is>
          <t>JÄMTLANDS LÄN</t>
        </is>
      </c>
      <c r="E601" t="inlineStr">
        <is>
          <t>BRÄCKE</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53724-2024</t>
        </is>
      </c>
      <c r="B602" s="1" t="n">
        <v>45615.45042824074</v>
      </c>
      <c r="C602" s="1" t="n">
        <v>45901</v>
      </c>
      <c r="D602" t="inlineStr">
        <is>
          <t>JÄMTLANDS LÄN</t>
        </is>
      </c>
      <c r="E602" t="inlineStr">
        <is>
          <t>BRÄCKE</t>
        </is>
      </c>
      <c r="G602" t="n">
        <v>4.7</v>
      </c>
      <c r="H602" t="n">
        <v>0</v>
      </c>
      <c r="I602" t="n">
        <v>0</v>
      </c>
      <c r="J602" t="n">
        <v>0</v>
      </c>
      <c r="K602" t="n">
        <v>0</v>
      </c>
      <c r="L602" t="n">
        <v>0</v>
      </c>
      <c r="M602" t="n">
        <v>0</v>
      </c>
      <c r="N602" t="n">
        <v>0</v>
      </c>
      <c r="O602" t="n">
        <v>0</v>
      </c>
      <c r="P602" t="n">
        <v>0</v>
      </c>
      <c r="Q602" t="n">
        <v>0</v>
      </c>
      <c r="R602" s="2" t="inlineStr"/>
    </row>
    <row r="603" ht="15" customHeight="1">
      <c r="A603" t="inlineStr">
        <is>
          <t>A 37238-2021</t>
        </is>
      </c>
      <c r="B603" s="1" t="n">
        <v>44396.93490740741</v>
      </c>
      <c r="C603" s="1" t="n">
        <v>45901</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37375-2021</t>
        </is>
      </c>
      <c r="B604" s="1" t="n">
        <v>44397</v>
      </c>
      <c r="C604" s="1" t="n">
        <v>45901</v>
      </c>
      <c r="D604" t="inlineStr">
        <is>
          <t>JÄMTLANDS LÄN</t>
        </is>
      </c>
      <c r="E604" t="inlineStr">
        <is>
          <t>BRÄCKE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48784-2024</t>
        </is>
      </c>
      <c r="B605" s="1" t="n">
        <v>45593.63570601852</v>
      </c>
      <c r="C605" s="1" t="n">
        <v>45901</v>
      </c>
      <c r="D605" t="inlineStr">
        <is>
          <t>JÄMTLANDS LÄN</t>
        </is>
      </c>
      <c r="E605" t="inlineStr">
        <is>
          <t>BRÄCKE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42202-2020</t>
        </is>
      </c>
      <c r="B606" s="1" t="n">
        <v>44075</v>
      </c>
      <c r="C606" s="1" t="n">
        <v>45901</v>
      </c>
      <c r="D606" t="inlineStr">
        <is>
          <t>JÄMTLANDS LÄN</t>
        </is>
      </c>
      <c r="E606" t="inlineStr">
        <is>
          <t>BRÄCKE</t>
        </is>
      </c>
      <c r="F606" t="inlineStr">
        <is>
          <t>SCA</t>
        </is>
      </c>
      <c r="G606" t="n">
        <v>8.5</v>
      </c>
      <c r="H606" t="n">
        <v>0</v>
      </c>
      <c r="I606" t="n">
        <v>0</v>
      </c>
      <c r="J606" t="n">
        <v>0</v>
      </c>
      <c r="K606" t="n">
        <v>0</v>
      </c>
      <c r="L606" t="n">
        <v>0</v>
      </c>
      <c r="M606" t="n">
        <v>0</v>
      </c>
      <c r="N606" t="n">
        <v>0</v>
      </c>
      <c r="O606" t="n">
        <v>0</v>
      </c>
      <c r="P606" t="n">
        <v>0</v>
      </c>
      <c r="Q606" t="n">
        <v>0</v>
      </c>
      <c r="R606" s="2" t="inlineStr"/>
    </row>
    <row r="607" ht="15" customHeight="1">
      <c r="A607" t="inlineStr">
        <is>
          <t>A 22940-2025</t>
        </is>
      </c>
      <c r="B607" s="1" t="n">
        <v>45790.46918981482</v>
      </c>
      <c r="C607" s="1" t="n">
        <v>45901</v>
      </c>
      <c r="D607" t="inlineStr">
        <is>
          <t>JÄMTLANDS LÄN</t>
        </is>
      </c>
      <c r="E607" t="inlineStr">
        <is>
          <t>BRÄCKE</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53696-2024</t>
        </is>
      </c>
      <c r="B608" s="1" t="n">
        <v>45615.3857175926</v>
      </c>
      <c r="C608" s="1" t="n">
        <v>45901</v>
      </c>
      <c r="D608" t="inlineStr">
        <is>
          <t>JÄMTLANDS LÄN</t>
        </is>
      </c>
      <c r="E608" t="inlineStr">
        <is>
          <t>BRÄCKE</t>
        </is>
      </c>
      <c r="G608" t="n">
        <v>2.4</v>
      </c>
      <c r="H608" t="n">
        <v>0</v>
      </c>
      <c r="I608" t="n">
        <v>0</v>
      </c>
      <c r="J608" t="n">
        <v>0</v>
      </c>
      <c r="K608" t="n">
        <v>0</v>
      </c>
      <c r="L608" t="n">
        <v>0</v>
      </c>
      <c r="M608" t="n">
        <v>0</v>
      </c>
      <c r="N608" t="n">
        <v>0</v>
      </c>
      <c r="O608" t="n">
        <v>0</v>
      </c>
      <c r="P608" t="n">
        <v>0</v>
      </c>
      <c r="Q608" t="n">
        <v>0</v>
      </c>
      <c r="R608" s="2" t="inlineStr"/>
    </row>
    <row r="609" ht="15" customHeight="1">
      <c r="A609" t="inlineStr">
        <is>
          <t>A 22670-2025</t>
        </is>
      </c>
      <c r="B609" s="1" t="n">
        <v>45789.49024305555</v>
      </c>
      <c r="C609" s="1" t="n">
        <v>45901</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22958-2025</t>
        </is>
      </c>
      <c r="B610" s="1" t="n">
        <v>45790.53184027778</v>
      </c>
      <c r="C610" s="1" t="n">
        <v>45901</v>
      </c>
      <c r="D610" t="inlineStr">
        <is>
          <t>JÄMTLANDS LÄN</t>
        </is>
      </c>
      <c r="E610" t="inlineStr">
        <is>
          <t>BRÄCKE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22957-2025</t>
        </is>
      </c>
      <c r="B611" s="1" t="n">
        <v>45790.53179398148</v>
      </c>
      <c r="C611" s="1" t="n">
        <v>45901</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58776-2023</t>
        </is>
      </c>
      <c r="B612" s="1" t="n">
        <v>45251.96740740741</v>
      </c>
      <c r="C612" s="1" t="n">
        <v>45901</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22705-2025</t>
        </is>
      </c>
      <c r="B613" s="1" t="n">
        <v>45789.55271990741</v>
      </c>
      <c r="C613" s="1" t="n">
        <v>45901</v>
      </c>
      <c r="D613" t="inlineStr">
        <is>
          <t>JÄMTLANDS LÄN</t>
        </is>
      </c>
      <c r="E613" t="inlineStr">
        <is>
          <t>BRÄCKE</t>
        </is>
      </c>
      <c r="F613" t="inlineStr">
        <is>
          <t>SCA</t>
        </is>
      </c>
      <c r="G613" t="n">
        <v>8.6</v>
      </c>
      <c r="H613" t="n">
        <v>0</v>
      </c>
      <c r="I613" t="n">
        <v>0</v>
      </c>
      <c r="J613" t="n">
        <v>0</v>
      </c>
      <c r="K613" t="n">
        <v>0</v>
      </c>
      <c r="L613" t="n">
        <v>0</v>
      </c>
      <c r="M613" t="n">
        <v>0</v>
      </c>
      <c r="N613" t="n">
        <v>0</v>
      </c>
      <c r="O613" t="n">
        <v>0</v>
      </c>
      <c r="P613" t="n">
        <v>0</v>
      </c>
      <c r="Q613" t="n">
        <v>0</v>
      </c>
      <c r="R613" s="2" t="inlineStr"/>
    </row>
    <row r="614" ht="15" customHeight="1">
      <c r="A614" t="inlineStr">
        <is>
          <t>A 22313-2025</t>
        </is>
      </c>
      <c r="B614" s="1" t="n">
        <v>45786.38583333333</v>
      </c>
      <c r="C614" s="1" t="n">
        <v>45901</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22772-2025</t>
        </is>
      </c>
      <c r="B615" s="1" t="n">
        <v>45789.63618055556</v>
      </c>
      <c r="C615" s="1" t="n">
        <v>45901</v>
      </c>
      <c r="D615" t="inlineStr">
        <is>
          <t>JÄMTLANDS LÄN</t>
        </is>
      </c>
      <c r="E615" t="inlineStr">
        <is>
          <t>BRÄCKE</t>
        </is>
      </c>
      <c r="G615" t="n">
        <v>0.7</v>
      </c>
      <c r="H615" t="n">
        <v>0</v>
      </c>
      <c r="I615" t="n">
        <v>0</v>
      </c>
      <c r="J615" t="n">
        <v>0</v>
      </c>
      <c r="K615" t="n">
        <v>0</v>
      </c>
      <c r="L615" t="n">
        <v>0</v>
      </c>
      <c r="M615" t="n">
        <v>0</v>
      </c>
      <c r="N615" t="n">
        <v>0</v>
      </c>
      <c r="O615" t="n">
        <v>0</v>
      </c>
      <c r="P615" t="n">
        <v>0</v>
      </c>
      <c r="Q615" t="n">
        <v>0</v>
      </c>
      <c r="R615" s="2" t="inlineStr"/>
    </row>
    <row r="616" ht="15" customHeight="1">
      <c r="A616" t="inlineStr">
        <is>
          <t>A 22792-2025</t>
        </is>
      </c>
      <c r="B616" s="1" t="n">
        <v>45789.65681712963</v>
      </c>
      <c r="C616" s="1" t="n">
        <v>45901</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49185-2024</t>
        </is>
      </c>
      <c r="B617" s="1" t="n">
        <v>45595.34466435185</v>
      </c>
      <c r="C617" s="1" t="n">
        <v>45901</v>
      </c>
      <c r="D617" t="inlineStr">
        <is>
          <t>JÄMTLANDS LÄN</t>
        </is>
      </c>
      <c r="E617" t="inlineStr">
        <is>
          <t>BRÄCKE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22652-2025</t>
        </is>
      </c>
      <c r="B618" s="1" t="n">
        <v>45789.46920138889</v>
      </c>
      <c r="C618" s="1" t="n">
        <v>45901</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37048-2021</t>
        </is>
      </c>
      <c r="B619" s="1" t="n">
        <v>44393.93534722222</v>
      </c>
      <c r="C619" s="1" t="n">
        <v>45901</v>
      </c>
      <c r="D619" t="inlineStr">
        <is>
          <t>JÄMTLANDS LÄN</t>
        </is>
      </c>
      <c r="E619" t="inlineStr">
        <is>
          <t>BRÄCKE</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26029-2024</t>
        </is>
      </c>
      <c r="B620" s="1" t="n">
        <v>45467.96262731482</v>
      </c>
      <c r="C620" s="1" t="n">
        <v>45901</v>
      </c>
      <c r="D620" t="inlineStr">
        <is>
          <t>JÄMTLANDS LÄN</t>
        </is>
      </c>
      <c r="E620" t="inlineStr">
        <is>
          <t>BRÄCKE</t>
        </is>
      </c>
      <c r="F620" t="inlineStr">
        <is>
          <t>SCA</t>
        </is>
      </c>
      <c r="G620" t="n">
        <v>40.9</v>
      </c>
      <c r="H620" t="n">
        <v>0</v>
      </c>
      <c r="I620" t="n">
        <v>0</v>
      </c>
      <c r="J620" t="n">
        <v>0</v>
      </c>
      <c r="K620" t="n">
        <v>0</v>
      </c>
      <c r="L620" t="n">
        <v>0</v>
      </c>
      <c r="M620" t="n">
        <v>0</v>
      </c>
      <c r="N620" t="n">
        <v>0</v>
      </c>
      <c r="O620" t="n">
        <v>0</v>
      </c>
      <c r="P620" t="n">
        <v>0</v>
      </c>
      <c r="Q620" t="n">
        <v>0</v>
      </c>
      <c r="R620" s="2" t="inlineStr"/>
      <c r="U620">
        <f>HYPERLINK("https://klasma.github.io/Logging_2305/knärot/A 26029-2024 karta knärot.png", "A 26029-2024")</f>
        <v/>
      </c>
      <c r="V620">
        <f>HYPERLINK("https://klasma.github.io/Logging_2305/klagomål/A 26029-2024 FSC-klagomål.docx", "A 26029-2024")</f>
        <v/>
      </c>
      <c r="W620">
        <f>HYPERLINK("https://klasma.github.io/Logging_2305/klagomålsmail/A 26029-2024 FSC-klagomål mail.docx", "A 26029-2024")</f>
        <v/>
      </c>
      <c r="X620">
        <f>HYPERLINK("https://klasma.github.io/Logging_2305/tillsyn/A 26029-2024 tillsynsbegäran.docx", "A 26029-2024")</f>
        <v/>
      </c>
      <c r="Y620">
        <f>HYPERLINK("https://klasma.github.io/Logging_2305/tillsynsmail/A 26029-2024 tillsynsbegäran mail.docx", "A 26029-2024")</f>
        <v/>
      </c>
    </row>
    <row r="621" ht="15" customHeight="1">
      <c r="A621" t="inlineStr">
        <is>
          <t>A 22773-2025</t>
        </is>
      </c>
      <c r="B621" s="1" t="n">
        <v>45789.63637731481</v>
      </c>
      <c r="C621" s="1" t="n">
        <v>45901</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45901</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22816-2025</t>
        </is>
      </c>
      <c r="B623" s="1" t="n">
        <v>45789.69841435185</v>
      </c>
      <c r="C623" s="1" t="n">
        <v>45901</v>
      </c>
      <c r="D623" t="inlineStr">
        <is>
          <t>JÄMTLANDS LÄN</t>
        </is>
      </c>
      <c r="E623" t="inlineStr">
        <is>
          <t>BRÄCKE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50813-2024</t>
        </is>
      </c>
      <c r="B624" s="1" t="n">
        <v>45602</v>
      </c>
      <c r="C624" s="1" t="n">
        <v>45901</v>
      </c>
      <c r="D624" t="inlineStr">
        <is>
          <t>JÄMTLANDS LÄN</t>
        </is>
      </c>
      <c r="E624" t="inlineStr">
        <is>
          <t>BRÄCKE</t>
        </is>
      </c>
      <c r="G624" t="n">
        <v>1.1</v>
      </c>
      <c r="H624" t="n">
        <v>0</v>
      </c>
      <c r="I624" t="n">
        <v>0</v>
      </c>
      <c r="J624" t="n">
        <v>0</v>
      </c>
      <c r="K624" t="n">
        <v>0</v>
      </c>
      <c r="L624" t="n">
        <v>0</v>
      </c>
      <c r="M624" t="n">
        <v>0</v>
      </c>
      <c r="N624" t="n">
        <v>0</v>
      </c>
      <c r="O624" t="n">
        <v>0</v>
      </c>
      <c r="P624" t="n">
        <v>0</v>
      </c>
      <c r="Q624" t="n">
        <v>0</v>
      </c>
      <c r="R624" s="2" t="inlineStr"/>
    </row>
    <row r="625" ht="15" customHeight="1">
      <c r="A625" t="inlineStr">
        <is>
          <t>A 49291-2024</t>
        </is>
      </c>
      <c r="B625" s="1" t="n">
        <v>45595.53299768519</v>
      </c>
      <c r="C625" s="1" t="n">
        <v>45901</v>
      </c>
      <c r="D625" t="inlineStr">
        <is>
          <t>JÄMTLANDS LÄN</t>
        </is>
      </c>
      <c r="E625" t="inlineStr">
        <is>
          <t>BRÄCKE</t>
        </is>
      </c>
      <c r="G625" t="n">
        <v>4.6</v>
      </c>
      <c r="H625" t="n">
        <v>0</v>
      </c>
      <c r="I625" t="n">
        <v>0</v>
      </c>
      <c r="J625" t="n">
        <v>0</v>
      </c>
      <c r="K625" t="n">
        <v>0</v>
      </c>
      <c r="L625" t="n">
        <v>0</v>
      </c>
      <c r="M625" t="n">
        <v>0</v>
      </c>
      <c r="N625" t="n">
        <v>0</v>
      </c>
      <c r="O625" t="n">
        <v>0</v>
      </c>
      <c r="P625" t="n">
        <v>0</v>
      </c>
      <c r="Q625" t="n">
        <v>0</v>
      </c>
      <c r="R625" s="2" t="inlineStr"/>
    </row>
    <row r="626" ht="15" customHeight="1">
      <c r="A626" t="inlineStr">
        <is>
          <t>A 57011-2022</t>
        </is>
      </c>
      <c r="B626" s="1" t="n">
        <v>44894</v>
      </c>
      <c r="C626" s="1" t="n">
        <v>45901</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23211-2025</t>
        </is>
      </c>
      <c r="B627" s="1" t="n">
        <v>45791.46956018519</v>
      </c>
      <c r="C627" s="1" t="n">
        <v>45901</v>
      </c>
      <c r="D627" t="inlineStr">
        <is>
          <t>JÄMTLANDS LÄN</t>
        </is>
      </c>
      <c r="E627" t="inlineStr">
        <is>
          <t>BRÄCKE</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63534-2023</t>
        </is>
      </c>
      <c r="B628" s="1" t="n">
        <v>45274.94905092593</v>
      </c>
      <c r="C628" s="1" t="n">
        <v>45901</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23298-2025</t>
        </is>
      </c>
      <c r="B629" s="1" t="n">
        <v>45791.59456018519</v>
      </c>
      <c r="C629" s="1" t="n">
        <v>45901</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23344-2025</t>
        </is>
      </c>
      <c r="B630" s="1" t="n">
        <v>45791.65712962963</v>
      </c>
      <c r="C630" s="1" t="n">
        <v>45901</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3239-2022</t>
        </is>
      </c>
      <c r="B631" s="1" t="n">
        <v>44582.93296296296</v>
      </c>
      <c r="C631" s="1" t="n">
        <v>45901</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11093-2022</t>
        </is>
      </c>
      <c r="B632" s="1" t="n">
        <v>44628</v>
      </c>
      <c r="C632" s="1" t="n">
        <v>45901</v>
      </c>
      <c r="D632" t="inlineStr">
        <is>
          <t>JÄMTLANDS LÄN</t>
        </is>
      </c>
      <c r="E632" t="inlineStr">
        <is>
          <t>BRÄCKE</t>
        </is>
      </c>
      <c r="G632" t="n">
        <v>16.4</v>
      </c>
      <c r="H632" t="n">
        <v>0</v>
      </c>
      <c r="I632" t="n">
        <v>0</v>
      </c>
      <c r="J632" t="n">
        <v>0</v>
      </c>
      <c r="K632" t="n">
        <v>0</v>
      </c>
      <c r="L632" t="n">
        <v>0</v>
      </c>
      <c r="M632" t="n">
        <v>0</v>
      </c>
      <c r="N632" t="n">
        <v>0</v>
      </c>
      <c r="O632" t="n">
        <v>0</v>
      </c>
      <c r="P632" t="n">
        <v>0</v>
      </c>
      <c r="Q632" t="n">
        <v>0</v>
      </c>
      <c r="R632" s="2" t="inlineStr"/>
    </row>
    <row r="633" ht="15" customHeight="1">
      <c r="A633" t="inlineStr">
        <is>
          <t>A 33998-2023</t>
        </is>
      </c>
      <c r="B633" s="1" t="n">
        <v>45134</v>
      </c>
      <c r="C633" s="1" t="n">
        <v>45901</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53046-2023</t>
        </is>
      </c>
      <c r="B634" s="1" t="n">
        <v>45226.96388888889</v>
      </c>
      <c r="C634" s="1" t="n">
        <v>45901</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6768-2023</t>
        </is>
      </c>
      <c r="B635" s="1" t="n">
        <v>44966.93079861111</v>
      </c>
      <c r="C635" s="1" t="n">
        <v>45901</v>
      </c>
      <c r="D635" t="inlineStr">
        <is>
          <t>JÄMTLANDS LÄN</t>
        </is>
      </c>
      <c r="E635" t="inlineStr">
        <is>
          <t>BRÄCKE</t>
        </is>
      </c>
      <c r="G635" t="n">
        <v>3.4</v>
      </c>
      <c r="H635" t="n">
        <v>0</v>
      </c>
      <c r="I635" t="n">
        <v>0</v>
      </c>
      <c r="J635" t="n">
        <v>0</v>
      </c>
      <c r="K635" t="n">
        <v>0</v>
      </c>
      <c r="L635" t="n">
        <v>0</v>
      </c>
      <c r="M635" t="n">
        <v>0</v>
      </c>
      <c r="N635" t="n">
        <v>0</v>
      </c>
      <c r="O635" t="n">
        <v>0</v>
      </c>
      <c r="P635" t="n">
        <v>0</v>
      </c>
      <c r="Q635" t="n">
        <v>0</v>
      </c>
      <c r="R635" s="2" t="inlineStr"/>
      <c r="U635">
        <f>HYPERLINK("https://klasma.github.io/Logging_2305/knärot/A 6768-2023 karta knärot.png", "A 6768-2023")</f>
        <v/>
      </c>
      <c r="V635">
        <f>HYPERLINK("https://klasma.github.io/Logging_2305/klagomål/A 6768-2023 FSC-klagomål.docx", "A 6768-2023")</f>
        <v/>
      </c>
      <c r="W635">
        <f>HYPERLINK("https://klasma.github.io/Logging_2305/klagomålsmail/A 6768-2023 FSC-klagomål mail.docx", "A 6768-2023")</f>
        <v/>
      </c>
      <c r="X635">
        <f>HYPERLINK("https://klasma.github.io/Logging_2305/tillsyn/A 6768-2023 tillsynsbegäran.docx", "A 6768-2023")</f>
        <v/>
      </c>
      <c r="Y635">
        <f>HYPERLINK("https://klasma.github.io/Logging_2305/tillsynsmail/A 6768-2023 tillsynsbegäran mail.docx", "A 6768-2023")</f>
        <v/>
      </c>
    </row>
    <row r="636" ht="15" customHeight="1">
      <c r="A636" t="inlineStr">
        <is>
          <t>A 38105-2024</t>
        </is>
      </c>
      <c r="B636" s="1" t="n">
        <v>45545.36538194444</v>
      </c>
      <c r="C636" s="1" t="n">
        <v>45901</v>
      </c>
      <c r="D636" t="inlineStr">
        <is>
          <t>JÄMTLANDS LÄN</t>
        </is>
      </c>
      <c r="E636" t="inlineStr">
        <is>
          <t>BRÄCKE</t>
        </is>
      </c>
      <c r="G636" t="n">
        <v>1</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45901</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23640-2024</t>
        </is>
      </c>
      <c r="B638" s="1" t="n">
        <v>45454.49516203703</v>
      </c>
      <c r="C638" s="1" t="n">
        <v>45901</v>
      </c>
      <c r="D638" t="inlineStr">
        <is>
          <t>JÄMTLANDS LÄN</t>
        </is>
      </c>
      <c r="E638" t="inlineStr">
        <is>
          <t>BRÄCKE</t>
        </is>
      </c>
      <c r="G638" t="n">
        <v>19.4</v>
      </c>
      <c r="H638" t="n">
        <v>0</v>
      </c>
      <c r="I638" t="n">
        <v>0</v>
      </c>
      <c r="J638" t="n">
        <v>0</v>
      </c>
      <c r="K638" t="n">
        <v>0</v>
      </c>
      <c r="L638" t="n">
        <v>0</v>
      </c>
      <c r="M638" t="n">
        <v>0</v>
      </c>
      <c r="N638" t="n">
        <v>0</v>
      </c>
      <c r="O638" t="n">
        <v>0</v>
      </c>
      <c r="P638" t="n">
        <v>0</v>
      </c>
      <c r="Q638" t="n">
        <v>0</v>
      </c>
      <c r="R638" s="2" t="inlineStr"/>
    </row>
    <row r="639" ht="15" customHeight="1">
      <c r="A639" t="inlineStr">
        <is>
          <t>A 64037-2023</t>
        </is>
      </c>
      <c r="B639" s="1" t="n">
        <v>45278.94344907408</v>
      </c>
      <c r="C639" s="1" t="n">
        <v>45901</v>
      </c>
      <c r="D639" t="inlineStr">
        <is>
          <t>JÄMTLANDS LÄN</t>
        </is>
      </c>
      <c r="E639" t="inlineStr">
        <is>
          <t>BRÄCKE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54568-2022</t>
        </is>
      </c>
      <c r="B640" s="1" t="n">
        <v>44882.95480324074</v>
      </c>
      <c r="C640" s="1" t="n">
        <v>45901</v>
      </c>
      <c r="D640" t="inlineStr">
        <is>
          <t>JÄMTLANDS LÄN</t>
        </is>
      </c>
      <c r="E640" t="inlineStr">
        <is>
          <t>BRÄCKE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31470-2023</t>
        </is>
      </c>
      <c r="B641" s="1" t="n">
        <v>45104</v>
      </c>
      <c r="C641" s="1" t="n">
        <v>45901</v>
      </c>
      <c r="D641" t="inlineStr">
        <is>
          <t>JÄMTLANDS LÄN</t>
        </is>
      </c>
      <c r="E641" t="inlineStr">
        <is>
          <t>BRÄCKE</t>
        </is>
      </c>
      <c r="G641" t="n">
        <v>1.9</v>
      </c>
      <c r="H641" t="n">
        <v>0</v>
      </c>
      <c r="I641" t="n">
        <v>0</v>
      </c>
      <c r="J641" t="n">
        <v>0</v>
      </c>
      <c r="K641" t="n">
        <v>0</v>
      </c>
      <c r="L641" t="n">
        <v>0</v>
      </c>
      <c r="M641" t="n">
        <v>0</v>
      </c>
      <c r="N641" t="n">
        <v>0</v>
      </c>
      <c r="O641" t="n">
        <v>0</v>
      </c>
      <c r="P641" t="n">
        <v>0</v>
      </c>
      <c r="Q641" t="n">
        <v>0</v>
      </c>
      <c r="R641" s="2" t="inlineStr"/>
    </row>
    <row r="642" ht="15" customHeight="1">
      <c r="A642" t="inlineStr">
        <is>
          <t>A 23458-2025</t>
        </is>
      </c>
      <c r="B642" s="1" t="n">
        <v>45792.42756944444</v>
      </c>
      <c r="C642" s="1" t="n">
        <v>45901</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33033-2023</t>
        </is>
      </c>
      <c r="B643" s="1" t="n">
        <v>45125.95037037037</v>
      </c>
      <c r="C643" s="1" t="n">
        <v>45901</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68763-2021</t>
        </is>
      </c>
      <c r="B644" s="1" t="n">
        <v>44529</v>
      </c>
      <c r="C644" s="1" t="n">
        <v>45901</v>
      </c>
      <c r="D644" t="inlineStr">
        <is>
          <t>JÄMTLANDS LÄN</t>
        </is>
      </c>
      <c r="E644" t="inlineStr">
        <is>
          <t>BRÄCKE</t>
        </is>
      </c>
      <c r="G644" t="n">
        <v>1.7</v>
      </c>
      <c r="H644" t="n">
        <v>0</v>
      </c>
      <c r="I644" t="n">
        <v>0</v>
      </c>
      <c r="J644" t="n">
        <v>0</v>
      </c>
      <c r="K644" t="n">
        <v>0</v>
      </c>
      <c r="L644" t="n">
        <v>0</v>
      </c>
      <c r="M644" t="n">
        <v>0</v>
      </c>
      <c r="N644" t="n">
        <v>0</v>
      </c>
      <c r="O644" t="n">
        <v>0</v>
      </c>
      <c r="P644" t="n">
        <v>0</v>
      </c>
      <c r="Q644" t="n">
        <v>0</v>
      </c>
      <c r="R644" s="2" t="inlineStr"/>
    </row>
    <row r="645" ht="15" customHeight="1">
      <c r="A645" t="inlineStr">
        <is>
          <t>A 23583-2025</t>
        </is>
      </c>
      <c r="B645" s="1" t="n">
        <v>45792.63043981481</v>
      </c>
      <c r="C645" s="1" t="n">
        <v>45901</v>
      </c>
      <c r="D645" t="inlineStr">
        <is>
          <t>JÄMTLANDS LÄN</t>
        </is>
      </c>
      <c r="E645" t="inlineStr">
        <is>
          <t>BRÄCKE</t>
        </is>
      </c>
      <c r="G645" t="n">
        <v>3</v>
      </c>
      <c r="H645" t="n">
        <v>0</v>
      </c>
      <c r="I645" t="n">
        <v>0</v>
      </c>
      <c r="J645" t="n">
        <v>0</v>
      </c>
      <c r="K645" t="n">
        <v>0</v>
      </c>
      <c r="L645" t="n">
        <v>0</v>
      </c>
      <c r="M645" t="n">
        <v>0</v>
      </c>
      <c r="N645" t="n">
        <v>0</v>
      </c>
      <c r="O645" t="n">
        <v>0</v>
      </c>
      <c r="P645" t="n">
        <v>0</v>
      </c>
      <c r="Q645" t="n">
        <v>0</v>
      </c>
      <c r="R645" s="2" t="inlineStr"/>
    </row>
    <row r="646" ht="15" customHeight="1">
      <c r="A646" t="inlineStr">
        <is>
          <t>A 29003-2024</t>
        </is>
      </c>
      <c r="B646" s="1" t="n">
        <v>45481.52758101852</v>
      </c>
      <c r="C646" s="1" t="n">
        <v>45901</v>
      </c>
      <c r="D646" t="inlineStr">
        <is>
          <t>JÄMTLANDS LÄN</t>
        </is>
      </c>
      <c r="E646" t="inlineStr">
        <is>
          <t>BRÄCKE</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48080-2023</t>
        </is>
      </c>
      <c r="B647" s="1" t="n">
        <v>45204.94569444445</v>
      </c>
      <c r="C647" s="1" t="n">
        <v>45901</v>
      </c>
      <c r="D647" t="inlineStr">
        <is>
          <t>JÄMTLANDS LÄN</t>
        </is>
      </c>
      <c r="E647" t="inlineStr">
        <is>
          <t>BRÄCKE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52249-2023</t>
        </is>
      </c>
      <c r="B648" s="1" t="n">
        <v>45217</v>
      </c>
      <c r="C648" s="1" t="n">
        <v>45901</v>
      </c>
      <c r="D648" t="inlineStr">
        <is>
          <t>JÄMTLANDS LÄN</t>
        </is>
      </c>
      <c r="E648" t="inlineStr">
        <is>
          <t>BRÄCKE</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23491-2025</t>
        </is>
      </c>
      <c r="B649" s="1" t="n">
        <v>45792.46924768519</v>
      </c>
      <c r="C649" s="1" t="n">
        <v>45901</v>
      </c>
      <c r="D649" t="inlineStr">
        <is>
          <t>JÄMTLANDS LÄN</t>
        </is>
      </c>
      <c r="E649" t="inlineStr">
        <is>
          <t>BRÄCKE</t>
        </is>
      </c>
      <c r="F649" t="inlineStr">
        <is>
          <t>SCA</t>
        </is>
      </c>
      <c r="G649" t="n">
        <v>11.8</v>
      </c>
      <c r="H649" t="n">
        <v>0</v>
      </c>
      <c r="I649" t="n">
        <v>0</v>
      </c>
      <c r="J649" t="n">
        <v>0</v>
      </c>
      <c r="K649" t="n">
        <v>0</v>
      </c>
      <c r="L649" t="n">
        <v>0</v>
      </c>
      <c r="M649" t="n">
        <v>0</v>
      </c>
      <c r="N649" t="n">
        <v>0</v>
      </c>
      <c r="O649" t="n">
        <v>0</v>
      </c>
      <c r="P649" t="n">
        <v>0</v>
      </c>
      <c r="Q649" t="n">
        <v>0</v>
      </c>
      <c r="R649" s="2" t="inlineStr"/>
    </row>
    <row r="650" ht="15" customHeight="1">
      <c r="A650" t="inlineStr">
        <is>
          <t>A 44694-2023</t>
        </is>
      </c>
      <c r="B650" s="1" t="n">
        <v>45189.92251157408</v>
      </c>
      <c r="C650" s="1" t="n">
        <v>45901</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45807-2024</t>
        </is>
      </c>
      <c r="B651" s="1" t="n">
        <v>45579.69815972223</v>
      </c>
      <c r="C651" s="1" t="n">
        <v>45901</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7756-2025</t>
        </is>
      </c>
      <c r="B652" s="1" t="n">
        <v>45706.51079861111</v>
      </c>
      <c r="C652" s="1" t="n">
        <v>45901</v>
      </c>
      <c r="D652" t="inlineStr">
        <is>
          <t>JÄMTLANDS LÄN</t>
        </is>
      </c>
      <c r="E652" t="inlineStr">
        <is>
          <t>BRÄCKE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7757-2025</t>
        </is>
      </c>
      <c r="B653" s="1" t="n">
        <v>45706.51085648148</v>
      </c>
      <c r="C653" s="1" t="n">
        <v>45901</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23320-2025</t>
        </is>
      </c>
      <c r="B654" s="1" t="n">
        <v>45791.61528935185</v>
      </c>
      <c r="C654" s="1" t="n">
        <v>45901</v>
      </c>
      <c r="D654" t="inlineStr">
        <is>
          <t>JÄMTLANDS LÄN</t>
        </is>
      </c>
      <c r="E654" t="inlineStr">
        <is>
          <t>BRÄCKE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27256-2021</t>
        </is>
      </c>
      <c r="B655" s="1" t="n">
        <v>44350</v>
      </c>
      <c r="C655" s="1" t="n">
        <v>45901</v>
      </c>
      <c r="D655" t="inlineStr">
        <is>
          <t>JÄMTLANDS LÄN</t>
        </is>
      </c>
      <c r="E655" t="inlineStr">
        <is>
          <t>BRÄCKE</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32671-2024</t>
        </is>
      </c>
      <c r="B656" s="1" t="n">
        <v>45514.59587962963</v>
      </c>
      <c r="C656" s="1" t="n">
        <v>45901</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26923-2024</t>
        </is>
      </c>
      <c r="B657" s="1" t="n">
        <v>45470.93094907407</v>
      </c>
      <c r="C657" s="1" t="n">
        <v>45901</v>
      </c>
      <c r="D657" t="inlineStr">
        <is>
          <t>JÄMTLANDS LÄN</t>
        </is>
      </c>
      <c r="E657" t="inlineStr">
        <is>
          <t>BRÄCKE</t>
        </is>
      </c>
      <c r="G657" t="n">
        <v>2.7</v>
      </c>
      <c r="H657" t="n">
        <v>0</v>
      </c>
      <c r="I657" t="n">
        <v>0</v>
      </c>
      <c r="J657" t="n">
        <v>0</v>
      </c>
      <c r="K657" t="n">
        <v>0</v>
      </c>
      <c r="L657" t="n">
        <v>0</v>
      </c>
      <c r="M657" t="n">
        <v>0</v>
      </c>
      <c r="N657" t="n">
        <v>0</v>
      </c>
      <c r="O657" t="n">
        <v>0</v>
      </c>
      <c r="P657" t="n">
        <v>0</v>
      </c>
      <c r="Q657" t="n">
        <v>0</v>
      </c>
      <c r="R657" s="2" t="inlineStr"/>
    </row>
    <row r="658" ht="15" customHeight="1">
      <c r="A658" t="inlineStr">
        <is>
          <t>A 13762-2024</t>
        </is>
      </c>
      <c r="B658" s="1" t="n">
        <v>45390</v>
      </c>
      <c r="C658" s="1" t="n">
        <v>45901</v>
      </c>
      <c r="D658" t="inlineStr">
        <is>
          <t>JÄMTLANDS LÄN</t>
        </is>
      </c>
      <c r="E658" t="inlineStr">
        <is>
          <t>BRÄCKE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63716-2023</t>
        </is>
      </c>
      <c r="B659" s="1" t="n">
        <v>45275</v>
      </c>
      <c r="C659" s="1" t="n">
        <v>45901</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6378-2025</t>
        </is>
      </c>
      <c r="B660" s="1" t="n">
        <v>45699.40689814815</v>
      </c>
      <c r="C660" s="1" t="n">
        <v>45901</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35252-2021</t>
        </is>
      </c>
      <c r="B661" s="1" t="n">
        <v>44384.59356481482</v>
      </c>
      <c r="C661" s="1" t="n">
        <v>45901</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24077-2025</t>
        </is>
      </c>
      <c r="B662" s="1" t="n">
        <v>45796.55240740741</v>
      </c>
      <c r="C662" s="1" t="n">
        <v>45901</v>
      </c>
      <c r="D662" t="inlineStr">
        <is>
          <t>JÄMTLANDS LÄN</t>
        </is>
      </c>
      <c r="E662" t="inlineStr">
        <is>
          <t>BRÄCKE</t>
        </is>
      </c>
      <c r="G662" t="n">
        <v>5.9</v>
      </c>
      <c r="H662" t="n">
        <v>0</v>
      </c>
      <c r="I662" t="n">
        <v>0</v>
      </c>
      <c r="J662" t="n">
        <v>0</v>
      </c>
      <c r="K662" t="n">
        <v>0</v>
      </c>
      <c r="L662" t="n">
        <v>0</v>
      </c>
      <c r="M662" t="n">
        <v>0</v>
      </c>
      <c r="N662" t="n">
        <v>0</v>
      </c>
      <c r="O662" t="n">
        <v>0</v>
      </c>
      <c r="P662" t="n">
        <v>0</v>
      </c>
      <c r="Q662" t="n">
        <v>0</v>
      </c>
      <c r="R662" s="2" t="inlineStr"/>
    </row>
    <row r="663" ht="15" customHeight="1">
      <c r="A663" t="inlineStr">
        <is>
          <t>A 23303-2025</t>
        </is>
      </c>
      <c r="B663" s="1" t="n">
        <v>45791</v>
      </c>
      <c r="C663" s="1" t="n">
        <v>45901</v>
      </c>
      <c r="D663" t="inlineStr">
        <is>
          <t>JÄMTLANDS LÄN</t>
        </is>
      </c>
      <c r="E663" t="inlineStr">
        <is>
          <t>BRÄCKE</t>
        </is>
      </c>
      <c r="G663" t="n">
        <v>22.2</v>
      </c>
      <c r="H663" t="n">
        <v>0</v>
      </c>
      <c r="I663" t="n">
        <v>0</v>
      </c>
      <c r="J663" t="n">
        <v>0</v>
      </c>
      <c r="K663" t="n">
        <v>0</v>
      </c>
      <c r="L663" t="n">
        <v>0</v>
      </c>
      <c r="M663" t="n">
        <v>0</v>
      </c>
      <c r="N663" t="n">
        <v>0</v>
      </c>
      <c r="O663" t="n">
        <v>0</v>
      </c>
      <c r="P663" t="n">
        <v>0</v>
      </c>
      <c r="Q663" t="n">
        <v>0</v>
      </c>
      <c r="R663" s="2" t="inlineStr"/>
    </row>
    <row r="664" ht="15" customHeight="1">
      <c r="A664" t="inlineStr">
        <is>
          <t>A 36549-2024</t>
        </is>
      </c>
      <c r="B664" s="1" t="n">
        <v>45537.46791666667</v>
      </c>
      <c r="C664" s="1" t="n">
        <v>45901</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27460-2024</t>
        </is>
      </c>
      <c r="B665" s="1" t="n">
        <v>45474.44785879629</v>
      </c>
      <c r="C665" s="1" t="n">
        <v>45901</v>
      </c>
      <c r="D665" t="inlineStr">
        <is>
          <t>JÄMTLANDS LÄN</t>
        </is>
      </c>
      <c r="E665" t="inlineStr">
        <is>
          <t>BRÄCKE</t>
        </is>
      </c>
      <c r="G665" t="n">
        <v>11.5</v>
      </c>
      <c r="H665" t="n">
        <v>0</v>
      </c>
      <c r="I665" t="n">
        <v>0</v>
      </c>
      <c r="J665" t="n">
        <v>0</v>
      </c>
      <c r="K665" t="n">
        <v>0</v>
      </c>
      <c r="L665" t="n">
        <v>0</v>
      </c>
      <c r="M665" t="n">
        <v>0</v>
      </c>
      <c r="N665" t="n">
        <v>0</v>
      </c>
      <c r="O665" t="n">
        <v>0</v>
      </c>
      <c r="P665" t="n">
        <v>0</v>
      </c>
      <c r="Q665" t="n">
        <v>0</v>
      </c>
      <c r="R665" s="2" t="inlineStr"/>
    </row>
    <row r="666" ht="15" customHeight="1">
      <c r="A666" t="inlineStr">
        <is>
          <t>A 24043-2025</t>
        </is>
      </c>
      <c r="B666" s="1" t="n">
        <v>45796.49002314815</v>
      </c>
      <c r="C666" s="1" t="n">
        <v>45901</v>
      </c>
      <c r="D666" t="inlineStr">
        <is>
          <t>JÄMTLANDS LÄN</t>
        </is>
      </c>
      <c r="E666" t="inlineStr">
        <is>
          <t>BRÄCKE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22459-2024</t>
        </is>
      </c>
      <c r="B667" s="1" t="n">
        <v>45446.94972222222</v>
      </c>
      <c r="C667" s="1" t="n">
        <v>45901</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45901</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13069-2025</t>
        </is>
      </c>
      <c r="B669" s="1" t="n">
        <v>45734.61494212963</v>
      </c>
      <c r="C669" s="1" t="n">
        <v>45901</v>
      </c>
      <c r="D669" t="inlineStr">
        <is>
          <t>JÄMTLANDS LÄN</t>
        </is>
      </c>
      <c r="E669" t="inlineStr">
        <is>
          <t>BRÄCKE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9434-2025</t>
        </is>
      </c>
      <c r="B670" s="1" t="n">
        <v>45715.41209490741</v>
      </c>
      <c r="C670" s="1" t="n">
        <v>45901</v>
      </c>
      <c r="D670" t="inlineStr">
        <is>
          <t>JÄMTLANDS LÄN</t>
        </is>
      </c>
      <c r="E670" t="inlineStr">
        <is>
          <t>BRÄCKE</t>
        </is>
      </c>
      <c r="G670" t="n">
        <v>8.9</v>
      </c>
      <c r="H670" t="n">
        <v>0</v>
      </c>
      <c r="I670" t="n">
        <v>0</v>
      </c>
      <c r="J670" t="n">
        <v>0</v>
      </c>
      <c r="K670" t="n">
        <v>0</v>
      </c>
      <c r="L670" t="n">
        <v>0</v>
      </c>
      <c r="M670" t="n">
        <v>0</v>
      </c>
      <c r="N670" t="n">
        <v>0</v>
      </c>
      <c r="O670" t="n">
        <v>0</v>
      </c>
      <c r="P670" t="n">
        <v>0</v>
      </c>
      <c r="Q670" t="n">
        <v>0</v>
      </c>
      <c r="R670" s="2" t="inlineStr"/>
    </row>
    <row r="671" ht="15" customHeight="1">
      <c r="A671" t="inlineStr">
        <is>
          <t>A 27455-2024</t>
        </is>
      </c>
      <c r="B671" s="1" t="n">
        <v>45474.43834490741</v>
      </c>
      <c r="C671" s="1" t="n">
        <v>45901</v>
      </c>
      <c r="D671" t="inlineStr">
        <is>
          <t>JÄMTLANDS LÄN</t>
        </is>
      </c>
      <c r="E671" t="inlineStr">
        <is>
          <t>BRÄCKE</t>
        </is>
      </c>
      <c r="G671" t="n">
        <v>4.4</v>
      </c>
      <c r="H671" t="n">
        <v>0</v>
      </c>
      <c r="I671" t="n">
        <v>0</v>
      </c>
      <c r="J671" t="n">
        <v>0</v>
      </c>
      <c r="K671" t="n">
        <v>0</v>
      </c>
      <c r="L671" t="n">
        <v>0</v>
      </c>
      <c r="M671" t="n">
        <v>0</v>
      </c>
      <c r="N671" t="n">
        <v>0</v>
      </c>
      <c r="O671" t="n">
        <v>0</v>
      </c>
      <c r="P671" t="n">
        <v>0</v>
      </c>
      <c r="Q671" t="n">
        <v>0</v>
      </c>
      <c r="R671" s="2" t="inlineStr"/>
    </row>
    <row r="672" ht="15" customHeight="1">
      <c r="A672" t="inlineStr">
        <is>
          <t>A 10606-2025</t>
        </is>
      </c>
      <c r="B672" s="1" t="n">
        <v>45721.59429398148</v>
      </c>
      <c r="C672" s="1" t="n">
        <v>45901</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23842-2025</t>
        </is>
      </c>
      <c r="B673" s="1" t="n">
        <v>45793.61534722222</v>
      </c>
      <c r="C673" s="1" t="n">
        <v>45901</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31558-2024</t>
        </is>
      </c>
      <c r="B674" s="1" t="n">
        <v>45505</v>
      </c>
      <c r="C674" s="1" t="n">
        <v>45901</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14492-2024</t>
        </is>
      </c>
      <c r="B675" s="1" t="n">
        <v>45394.58215277778</v>
      </c>
      <c r="C675" s="1" t="n">
        <v>45901</v>
      </c>
      <c r="D675" t="inlineStr">
        <is>
          <t>JÄMTLANDS LÄN</t>
        </is>
      </c>
      <c r="E675" t="inlineStr">
        <is>
          <t>BRÄCKE</t>
        </is>
      </c>
      <c r="G675" t="n">
        <v>16.6</v>
      </c>
      <c r="H675" t="n">
        <v>0</v>
      </c>
      <c r="I675" t="n">
        <v>0</v>
      </c>
      <c r="J675" t="n">
        <v>0</v>
      </c>
      <c r="K675" t="n">
        <v>0</v>
      </c>
      <c r="L675" t="n">
        <v>0</v>
      </c>
      <c r="M675" t="n">
        <v>0</v>
      </c>
      <c r="N675" t="n">
        <v>0</v>
      </c>
      <c r="O675" t="n">
        <v>0</v>
      </c>
      <c r="P675" t="n">
        <v>0</v>
      </c>
      <c r="Q675" t="n">
        <v>0</v>
      </c>
      <c r="R675" s="2" t="inlineStr"/>
    </row>
    <row r="676" ht="15" customHeight="1">
      <c r="A676" t="inlineStr">
        <is>
          <t>A 23723-2025</t>
        </is>
      </c>
      <c r="B676" s="1" t="n">
        <v>45793.40664351852</v>
      </c>
      <c r="C676" s="1" t="n">
        <v>45901</v>
      </c>
      <c r="D676" t="inlineStr">
        <is>
          <t>JÄMTLANDS LÄN</t>
        </is>
      </c>
      <c r="E676" t="inlineStr">
        <is>
          <t>BRÄCKE</t>
        </is>
      </c>
      <c r="F676" t="inlineStr">
        <is>
          <t>SCA</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39122-2024</t>
        </is>
      </c>
      <c r="B677" s="1" t="n">
        <v>45548.5940162037</v>
      </c>
      <c r="C677" s="1" t="n">
        <v>45901</v>
      </c>
      <c r="D677" t="inlineStr">
        <is>
          <t>JÄMTLANDS LÄN</t>
        </is>
      </c>
      <c r="E677" t="inlineStr">
        <is>
          <t>BRÄCKE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231-2025</t>
        </is>
      </c>
      <c r="B678" s="1" t="n">
        <v>45660.36972222223</v>
      </c>
      <c r="C678" s="1" t="n">
        <v>45901</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278-2025</t>
        </is>
      </c>
      <c r="B679" s="1" t="n">
        <v>45660.49075231481</v>
      </c>
      <c r="C679" s="1" t="n">
        <v>45901</v>
      </c>
      <c r="D679" t="inlineStr">
        <is>
          <t>JÄMTLANDS LÄN</t>
        </is>
      </c>
      <c r="E679" t="inlineStr">
        <is>
          <t>BRÄCKE</t>
        </is>
      </c>
      <c r="G679" t="n">
        <v>0.5</v>
      </c>
      <c r="H679" t="n">
        <v>0</v>
      </c>
      <c r="I679" t="n">
        <v>0</v>
      </c>
      <c r="J679" t="n">
        <v>0</v>
      </c>
      <c r="K679" t="n">
        <v>0</v>
      </c>
      <c r="L679" t="n">
        <v>0</v>
      </c>
      <c r="M679" t="n">
        <v>0</v>
      </c>
      <c r="N679" t="n">
        <v>0</v>
      </c>
      <c r="O679" t="n">
        <v>0</v>
      </c>
      <c r="P679" t="n">
        <v>0</v>
      </c>
      <c r="Q679" t="n">
        <v>0</v>
      </c>
      <c r="R679" s="2" t="inlineStr"/>
    </row>
    <row r="680" ht="15" customHeight="1">
      <c r="A680" t="inlineStr">
        <is>
          <t>A 29873-2024</t>
        </is>
      </c>
      <c r="B680" s="1" t="n">
        <v>45485.94542824074</v>
      </c>
      <c r="C680" s="1" t="n">
        <v>45901</v>
      </c>
      <c r="D680" t="inlineStr">
        <is>
          <t>JÄMTLANDS LÄN</t>
        </is>
      </c>
      <c r="E680" t="inlineStr">
        <is>
          <t>BRÄCKE</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15144-2024</t>
        </is>
      </c>
      <c r="B681" s="1" t="n">
        <v>45399.94340277778</v>
      </c>
      <c r="C681" s="1" t="n">
        <v>45901</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23539-2025</t>
        </is>
      </c>
      <c r="B682" s="1" t="n">
        <v>45792</v>
      </c>
      <c r="C682" s="1" t="n">
        <v>45901</v>
      </c>
      <c r="D682" t="inlineStr">
        <is>
          <t>JÄMTLANDS LÄN</t>
        </is>
      </c>
      <c r="E682" t="inlineStr">
        <is>
          <t>BRÄCKE</t>
        </is>
      </c>
      <c r="G682" t="n">
        <v>14.9</v>
      </c>
      <c r="H682" t="n">
        <v>0</v>
      </c>
      <c r="I682" t="n">
        <v>0</v>
      </c>
      <c r="J682" t="n">
        <v>0</v>
      </c>
      <c r="K682" t="n">
        <v>0</v>
      </c>
      <c r="L682" t="n">
        <v>0</v>
      </c>
      <c r="M682" t="n">
        <v>0</v>
      </c>
      <c r="N682" t="n">
        <v>0</v>
      </c>
      <c r="O682" t="n">
        <v>0</v>
      </c>
      <c r="P682" t="n">
        <v>0</v>
      </c>
      <c r="Q682" t="n">
        <v>0</v>
      </c>
      <c r="R682" s="2" t="inlineStr"/>
    </row>
    <row r="683" ht="15" customHeight="1">
      <c r="A683" t="inlineStr">
        <is>
          <t>A 17973-2025</t>
        </is>
      </c>
      <c r="B683" s="1" t="n">
        <v>45761.36490740741</v>
      </c>
      <c r="C683" s="1" t="n">
        <v>45901</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17977-2025</t>
        </is>
      </c>
      <c r="B684" s="1" t="n">
        <v>45761.36550925926</v>
      </c>
      <c r="C684" s="1" t="n">
        <v>45901</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1174-2025</t>
        </is>
      </c>
      <c r="B685" s="1" t="n">
        <v>45667.34418981482</v>
      </c>
      <c r="C685" s="1" t="n">
        <v>45901</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52712-2022</t>
        </is>
      </c>
      <c r="B686" s="1" t="n">
        <v>44874</v>
      </c>
      <c r="C686" s="1" t="n">
        <v>45901</v>
      </c>
      <c r="D686" t="inlineStr">
        <is>
          <t>JÄMTLANDS LÄN</t>
        </is>
      </c>
      <c r="E686" t="inlineStr">
        <is>
          <t>BRÄCKE</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52713-2022</t>
        </is>
      </c>
      <c r="B687" s="1" t="n">
        <v>44874.95504629629</v>
      </c>
      <c r="C687" s="1" t="n">
        <v>45901</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46597-2022</t>
        </is>
      </c>
      <c r="B688" s="1" t="n">
        <v>44848</v>
      </c>
      <c r="C688" s="1" t="n">
        <v>45901</v>
      </c>
      <c r="D688" t="inlineStr">
        <is>
          <t>JÄMTLANDS LÄN</t>
        </is>
      </c>
      <c r="E688" t="inlineStr">
        <is>
          <t>BRÄCKE</t>
        </is>
      </c>
      <c r="G688" t="n">
        <v>5.5</v>
      </c>
      <c r="H688" t="n">
        <v>0</v>
      </c>
      <c r="I688" t="n">
        <v>0</v>
      </c>
      <c r="J688" t="n">
        <v>0</v>
      </c>
      <c r="K688" t="n">
        <v>0</v>
      </c>
      <c r="L688" t="n">
        <v>0</v>
      </c>
      <c r="M688" t="n">
        <v>0</v>
      </c>
      <c r="N688" t="n">
        <v>0</v>
      </c>
      <c r="O688" t="n">
        <v>0</v>
      </c>
      <c r="P688" t="n">
        <v>0</v>
      </c>
      <c r="Q688" t="n">
        <v>0</v>
      </c>
      <c r="R688" s="2" t="inlineStr"/>
    </row>
    <row r="689" ht="15" customHeight="1">
      <c r="A689" t="inlineStr">
        <is>
          <t>A 24154-2025</t>
        </is>
      </c>
      <c r="B689" s="1" t="n">
        <v>45796.65685185185</v>
      </c>
      <c r="C689" s="1" t="n">
        <v>45901</v>
      </c>
      <c r="D689" t="inlineStr">
        <is>
          <t>JÄMTLANDS LÄN</t>
        </is>
      </c>
      <c r="E689" t="inlineStr">
        <is>
          <t>BRÄCKE</t>
        </is>
      </c>
      <c r="F689" t="inlineStr">
        <is>
          <t>SCA</t>
        </is>
      </c>
      <c r="G689" t="n">
        <v>7.4</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45901</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51809-2023</t>
        </is>
      </c>
      <c r="B691" s="1" t="n">
        <v>45222.96574074074</v>
      </c>
      <c r="C691" s="1" t="n">
        <v>45901</v>
      </c>
      <c r="D691" t="inlineStr">
        <is>
          <t>JÄMTLANDS LÄN</t>
        </is>
      </c>
      <c r="E691" t="inlineStr">
        <is>
          <t>BRÄCKE</t>
        </is>
      </c>
      <c r="G691" t="n">
        <v>2.1</v>
      </c>
      <c r="H691" t="n">
        <v>0</v>
      </c>
      <c r="I691" t="n">
        <v>0</v>
      </c>
      <c r="J691" t="n">
        <v>0</v>
      </c>
      <c r="K691" t="n">
        <v>0</v>
      </c>
      <c r="L691" t="n">
        <v>0</v>
      </c>
      <c r="M691" t="n">
        <v>0</v>
      </c>
      <c r="N691" t="n">
        <v>0</v>
      </c>
      <c r="O691" t="n">
        <v>0</v>
      </c>
      <c r="P691" t="n">
        <v>0</v>
      </c>
      <c r="Q691" t="n">
        <v>0</v>
      </c>
      <c r="R691" s="2" t="inlineStr"/>
    </row>
    <row r="692" ht="15" customHeight="1">
      <c r="A692" t="inlineStr">
        <is>
          <t>A 51832-2023</t>
        </is>
      </c>
      <c r="B692" s="1" t="n">
        <v>45222.96841435185</v>
      </c>
      <c r="C692" s="1" t="n">
        <v>45901</v>
      </c>
      <c r="D692" t="inlineStr">
        <is>
          <t>JÄMTLANDS LÄN</t>
        </is>
      </c>
      <c r="E692" t="inlineStr">
        <is>
          <t>BRÄCKE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45901</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45901</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45901</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8865-2023</t>
        </is>
      </c>
      <c r="B696" s="1" t="n">
        <v>44978</v>
      </c>
      <c r="C696" s="1" t="n">
        <v>45901</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24588-2025</t>
        </is>
      </c>
      <c r="B697" s="1" t="n">
        <v>45798.53157407408</v>
      </c>
      <c r="C697" s="1" t="n">
        <v>45901</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24236-2025</t>
        </is>
      </c>
      <c r="B698" s="1" t="n">
        <v>45797.38586805556</v>
      </c>
      <c r="C698" s="1" t="n">
        <v>45901</v>
      </c>
      <c r="D698" t="inlineStr">
        <is>
          <t>JÄMTLANDS LÄN</t>
        </is>
      </c>
      <c r="E698" t="inlineStr">
        <is>
          <t>BRÄCKE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45901</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24454-2025</t>
        </is>
      </c>
      <c r="B700" s="1" t="n">
        <v>45798.34436342592</v>
      </c>
      <c r="C700" s="1" t="n">
        <v>45901</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29456-2024</t>
        </is>
      </c>
      <c r="B701" s="1" t="n">
        <v>45483.96898148148</v>
      </c>
      <c r="C701" s="1" t="n">
        <v>45901</v>
      </c>
      <c r="D701" t="inlineStr">
        <is>
          <t>JÄMTLANDS LÄN</t>
        </is>
      </c>
      <c r="E701" t="inlineStr">
        <is>
          <t>BRÄCKE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29460-2024</t>
        </is>
      </c>
      <c r="B702" s="1" t="n">
        <v>45483.96952546296</v>
      </c>
      <c r="C702" s="1" t="n">
        <v>45901</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2774-2025</t>
        </is>
      </c>
      <c r="B703" s="1" t="n">
        <v>45677.51086805556</v>
      </c>
      <c r="C703" s="1" t="n">
        <v>45901</v>
      </c>
      <c r="D703" t="inlineStr">
        <is>
          <t>JÄMTLANDS LÄN</t>
        </is>
      </c>
      <c r="E703" t="inlineStr">
        <is>
          <t>BRÄCKE</t>
        </is>
      </c>
      <c r="F703" t="inlineStr">
        <is>
          <t>SCA</t>
        </is>
      </c>
      <c r="G703" t="n">
        <v>11.4</v>
      </c>
      <c r="H703" t="n">
        <v>0</v>
      </c>
      <c r="I703" t="n">
        <v>0</v>
      </c>
      <c r="J703" t="n">
        <v>0</v>
      </c>
      <c r="K703" t="n">
        <v>0</v>
      </c>
      <c r="L703" t="n">
        <v>0</v>
      </c>
      <c r="M703" t="n">
        <v>0</v>
      </c>
      <c r="N703" t="n">
        <v>0</v>
      </c>
      <c r="O703" t="n">
        <v>0</v>
      </c>
      <c r="P703" t="n">
        <v>0</v>
      </c>
      <c r="Q703" t="n">
        <v>0</v>
      </c>
      <c r="R703" s="2" t="inlineStr"/>
      <c r="U703">
        <f>HYPERLINK("https://klasma.github.io/Logging_2305/knärot/A 2774-2025 karta knärot.png", "A 2774-2025")</f>
        <v/>
      </c>
      <c r="V703">
        <f>HYPERLINK("https://klasma.github.io/Logging_2305/klagomål/A 2774-2025 FSC-klagomål.docx", "A 2774-2025")</f>
        <v/>
      </c>
      <c r="W703">
        <f>HYPERLINK("https://klasma.github.io/Logging_2305/klagomålsmail/A 2774-2025 FSC-klagomål mail.docx", "A 2774-2025")</f>
        <v/>
      </c>
      <c r="X703">
        <f>HYPERLINK("https://klasma.github.io/Logging_2305/tillsyn/A 2774-2025 tillsynsbegäran.docx", "A 2774-2025")</f>
        <v/>
      </c>
      <c r="Y703">
        <f>HYPERLINK("https://klasma.github.io/Logging_2305/tillsynsmail/A 2774-2025 tillsynsbegäran mail.docx", "A 2774-2025")</f>
        <v/>
      </c>
    </row>
    <row r="704" ht="15" customHeight="1">
      <c r="A704" t="inlineStr">
        <is>
          <t>A 24502-2025</t>
        </is>
      </c>
      <c r="B704" s="1" t="n">
        <v>45798.39761574074</v>
      </c>
      <c r="C704" s="1" t="n">
        <v>45901</v>
      </c>
      <c r="D704" t="inlineStr">
        <is>
          <t>JÄMTLANDS LÄN</t>
        </is>
      </c>
      <c r="E704" t="inlineStr">
        <is>
          <t>BRÄCKE</t>
        </is>
      </c>
      <c r="G704" t="n">
        <v>2.2</v>
      </c>
      <c r="H704" t="n">
        <v>0</v>
      </c>
      <c r="I704" t="n">
        <v>0</v>
      </c>
      <c r="J704" t="n">
        <v>0</v>
      </c>
      <c r="K704" t="n">
        <v>0</v>
      </c>
      <c r="L704" t="n">
        <v>0</v>
      </c>
      <c r="M704" t="n">
        <v>0</v>
      </c>
      <c r="N704" t="n">
        <v>0</v>
      </c>
      <c r="O704" t="n">
        <v>0</v>
      </c>
      <c r="P704" t="n">
        <v>0</v>
      </c>
      <c r="Q704" t="n">
        <v>0</v>
      </c>
      <c r="R704" s="2" t="inlineStr"/>
    </row>
    <row r="705" ht="15" customHeight="1">
      <c r="A705" t="inlineStr">
        <is>
          <t>A 24437-2025</t>
        </is>
      </c>
      <c r="B705" s="1" t="n">
        <v>45797.79256944444</v>
      </c>
      <c r="C705" s="1" t="n">
        <v>45901</v>
      </c>
      <c r="D705" t="inlineStr">
        <is>
          <t>JÄMTLANDS LÄN</t>
        </is>
      </c>
      <c r="E705" t="inlineStr">
        <is>
          <t>BRÄCKE</t>
        </is>
      </c>
      <c r="G705" t="n">
        <v>5</v>
      </c>
      <c r="H705" t="n">
        <v>0</v>
      </c>
      <c r="I705" t="n">
        <v>0</v>
      </c>
      <c r="J705" t="n">
        <v>0</v>
      </c>
      <c r="K705" t="n">
        <v>0</v>
      </c>
      <c r="L705" t="n">
        <v>0</v>
      </c>
      <c r="M705" t="n">
        <v>0</v>
      </c>
      <c r="N705" t="n">
        <v>0</v>
      </c>
      <c r="O705" t="n">
        <v>0</v>
      </c>
      <c r="P705" t="n">
        <v>0</v>
      </c>
      <c r="Q705" t="n">
        <v>0</v>
      </c>
      <c r="R705" s="2" t="inlineStr"/>
    </row>
    <row r="706" ht="15" customHeight="1">
      <c r="A706" t="inlineStr">
        <is>
          <t>A 24636-2025</t>
        </is>
      </c>
      <c r="B706" s="1" t="n">
        <v>45798.61528935185</v>
      </c>
      <c r="C706" s="1" t="n">
        <v>45901</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24647-2025</t>
        </is>
      </c>
      <c r="B707" s="1" t="n">
        <v>45798.63575231482</v>
      </c>
      <c r="C707" s="1" t="n">
        <v>45901</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24427-2025</t>
        </is>
      </c>
      <c r="B708" s="1" t="n">
        <v>45797.69851851852</v>
      </c>
      <c r="C708" s="1" t="n">
        <v>45901</v>
      </c>
      <c r="D708" t="inlineStr">
        <is>
          <t>JÄMTLANDS LÄN</t>
        </is>
      </c>
      <c r="E708" t="inlineStr">
        <is>
          <t>BRÄCKE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24433-2025</t>
        </is>
      </c>
      <c r="B709" s="1" t="n">
        <v>45797.75547453704</v>
      </c>
      <c r="C709" s="1" t="n">
        <v>45901</v>
      </c>
      <c r="D709" t="inlineStr">
        <is>
          <t>JÄMTLANDS LÄN</t>
        </is>
      </c>
      <c r="E709" t="inlineStr">
        <is>
          <t>BRÄCKE</t>
        </is>
      </c>
      <c r="G709" t="n">
        <v>8.6</v>
      </c>
      <c r="H709" t="n">
        <v>0</v>
      </c>
      <c r="I709" t="n">
        <v>0</v>
      </c>
      <c r="J709" t="n">
        <v>0</v>
      </c>
      <c r="K709" t="n">
        <v>0</v>
      </c>
      <c r="L709" t="n">
        <v>0</v>
      </c>
      <c r="M709" t="n">
        <v>0</v>
      </c>
      <c r="N709" t="n">
        <v>0</v>
      </c>
      <c r="O709" t="n">
        <v>0</v>
      </c>
      <c r="P709" t="n">
        <v>0</v>
      </c>
      <c r="Q709" t="n">
        <v>0</v>
      </c>
      <c r="R709" s="2" t="inlineStr"/>
    </row>
    <row r="710" ht="15" customHeight="1">
      <c r="A710" t="inlineStr">
        <is>
          <t>A 2245-2025</t>
        </is>
      </c>
      <c r="B710" s="1" t="n">
        <v>45673.49019675926</v>
      </c>
      <c r="C710" s="1" t="n">
        <v>45901</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24550-2025</t>
        </is>
      </c>
      <c r="B711" s="1" t="n">
        <v>45798.44836805556</v>
      </c>
      <c r="C711" s="1" t="n">
        <v>45901</v>
      </c>
      <c r="D711" t="inlineStr">
        <is>
          <t>JÄMTLANDS LÄN</t>
        </is>
      </c>
      <c r="E711" t="inlineStr">
        <is>
          <t>BRÄCKE</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58741-2023</t>
        </is>
      </c>
      <c r="B712" s="1" t="n">
        <v>45251.92894675926</v>
      </c>
      <c r="C712" s="1" t="n">
        <v>45901</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24604-2025</t>
        </is>
      </c>
      <c r="B713" s="1" t="n">
        <v>45798.5734375</v>
      </c>
      <c r="C713" s="1" t="n">
        <v>45901</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45304-2022</t>
        </is>
      </c>
      <c r="B714" s="1" t="n">
        <v>44841</v>
      </c>
      <c r="C714" s="1" t="n">
        <v>45901</v>
      </c>
      <c r="D714" t="inlineStr">
        <is>
          <t>JÄMTLANDS LÄN</t>
        </is>
      </c>
      <c r="E714" t="inlineStr">
        <is>
          <t>BRÄCKE</t>
        </is>
      </c>
      <c r="G714" t="n">
        <v>3.8</v>
      </c>
      <c r="H714" t="n">
        <v>0</v>
      </c>
      <c r="I714" t="n">
        <v>0</v>
      </c>
      <c r="J714" t="n">
        <v>0</v>
      </c>
      <c r="K714" t="n">
        <v>0</v>
      </c>
      <c r="L714" t="n">
        <v>0</v>
      </c>
      <c r="M714" t="n">
        <v>0</v>
      </c>
      <c r="N714" t="n">
        <v>0</v>
      </c>
      <c r="O714" t="n">
        <v>0</v>
      </c>
      <c r="P714" t="n">
        <v>0</v>
      </c>
      <c r="Q714" t="n">
        <v>0</v>
      </c>
      <c r="R714" s="2" t="inlineStr"/>
    </row>
    <row r="715" ht="15" customHeight="1">
      <c r="A715" t="inlineStr">
        <is>
          <t>A 51559-2022</t>
        </is>
      </c>
      <c r="B715" s="1" t="n">
        <v>44869</v>
      </c>
      <c r="C715" s="1" t="n">
        <v>45901</v>
      </c>
      <c r="D715" t="inlineStr">
        <is>
          <t>JÄMTLANDS LÄN</t>
        </is>
      </c>
      <c r="E715" t="inlineStr">
        <is>
          <t>BRÄCKE</t>
        </is>
      </c>
      <c r="F715" t="inlineStr">
        <is>
          <t>SCA</t>
        </is>
      </c>
      <c r="G715" t="n">
        <v>21.1</v>
      </c>
      <c r="H715" t="n">
        <v>0</v>
      </c>
      <c r="I715" t="n">
        <v>0</v>
      </c>
      <c r="J715" t="n">
        <v>0</v>
      </c>
      <c r="K715" t="n">
        <v>0</v>
      </c>
      <c r="L715" t="n">
        <v>0</v>
      </c>
      <c r="M715" t="n">
        <v>0</v>
      </c>
      <c r="N715" t="n">
        <v>0</v>
      </c>
      <c r="O715" t="n">
        <v>0</v>
      </c>
      <c r="P715" t="n">
        <v>0</v>
      </c>
      <c r="Q715" t="n">
        <v>0</v>
      </c>
      <c r="R715" s="2" t="inlineStr"/>
    </row>
    <row r="716" ht="15" customHeight="1">
      <c r="A716" t="inlineStr">
        <is>
          <t>A 24784-2025</t>
        </is>
      </c>
      <c r="B716" s="1" t="n">
        <v>45799.42741898148</v>
      </c>
      <c r="C716" s="1" t="n">
        <v>45901</v>
      </c>
      <c r="D716" t="inlineStr">
        <is>
          <t>JÄMTLANDS LÄN</t>
        </is>
      </c>
      <c r="E716" t="inlineStr">
        <is>
          <t>BRÄCKE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57605-2024</t>
        </is>
      </c>
      <c r="B717" s="1" t="n">
        <v>45630.53201388889</v>
      </c>
      <c r="C717" s="1" t="n">
        <v>45901</v>
      </c>
      <c r="D717" t="inlineStr">
        <is>
          <t>JÄMTLANDS LÄN</t>
        </is>
      </c>
      <c r="E717" t="inlineStr">
        <is>
          <t>BRÄCKE</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57623-2024</t>
        </is>
      </c>
      <c r="B718" s="1" t="n">
        <v>45630.55260416667</v>
      </c>
      <c r="C718" s="1" t="n">
        <v>45901</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45005-2023</t>
        </is>
      </c>
      <c r="B719" s="1" t="n">
        <v>45190</v>
      </c>
      <c r="C719" s="1" t="n">
        <v>45901</v>
      </c>
      <c r="D719" t="inlineStr">
        <is>
          <t>JÄMTLANDS LÄN</t>
        </is>
      </c>
      <c r="E719" t="inlineStr">
        <is>
          <t>BRÄCKE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73102-2021</t>
        </is>
      </c>
      <c r="B720" s="1" t="n">
        <v>44550.45236111111</v>
      </c>
      <c r="C720" s="1" t="n">
        <v>45901</v>
      </c>
      <c r="D720" t="inlineStr">
        <is>
          <t>JÄMTLANDS LÄN</t>
        </is>
      </c>
      <c r="E720" t="inlineStr">
        <is>
          <t>BRÄCKE</t>
        </is>
      </c>
      <c r="F720" t="inlineStr">
        <is>
          <t>Sveaskog</t>
        </is>
      </c>
      <c r="G720" t="n">
        <v>6.5</v>
      </c>
      <c r="H720" t="n">
        <v>0</v>
      </c>
      <c r="I720" t="n">
        <v>0</v>
      </c>
      <c r="J720" t="n">
        <v>0</v>
      </c>
      <c r="K720" t="n">
        <v>0</v>
      </c>
      <c r="L720" t="n">
        <v>0</v>
      </c>
      <c r="M720" t="n">
        <v>0</v>
      </c>
      <c r="N720" t="n">
        <v>0</v>
      </c>
      <c r="O720" t="n">
        <v>0</v>
      </c>
      <c r="P720" t="n">
        <v>0</v>
      </c>
      <c r="Q720" t="n">
        <v>0</v>
      </c>
      <c r="R720" s="2" t="inlineStr"/>
    </row>
    <row r="721" ht="15" customHeight="1">
      <c r="A721" t="inlineStr">
        <is>
          <t>A 10883-2025</t>
        </is>
      </c>
      <c r="B721" s="1" t="n">
        <v>45722.65655092592</v>
      </c>
      <c r="C721" s="1" t="n">
        <v>45901</v>
      </c>
      <c r="D721" t="inlineStr">
        <is>
          <t>JÄMTLANDS LÄN</t>
        </is>
      </c>
      <c r="E721" t="inlineStr">
        <is>
          <t>BRÄCKE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20760-2024</t>
        </is>
      </c>
      <c r="B722" s="1" t="n">
        <v>45436.92543981481</v>
      </c>
      <c r="C722" s="1" t="n">
        <v>45901</v>
      </c>
      <c r="D722" t="inlineStr">
        <is>
          <t>JÄMTLANDS LÄN</t>
        </is>
      </c>
      <c r="E722" t="inlineStr">
        <is>
          <t>BRÄCKE</t>
        </is>
      </c>
      <c r="G722" t="n">
        <v>10.9</v>
      </c>
      <c r="H722" t="n">
        <v>0</v>
      </c>
      <c r="I722" t="n">
        <v>0</v>
      </c>
      <c r="J722" t="n">
        <v>0</v>
      </c>
      <c r="K722" t="n">
        <v>0</v>
      </c>
      <c r="L722" t="n">
        <v>0</v>
      </c>
      <c r="M722" t="n">
        <v>0</v>
      </c>
      <c r="N722" t="n">
        <v>0</v>
      </c>
      <c r="O722" t="n">
        <v>0</v>
      </c>
      <c r="P722" t="n">
        <v>0</v>
      </c>
      <c r="Q722" t="n">
        <v>0</v>
      </c>
      <c r="R722" s="2" t="inlineStr"/>
    </row>
    <row r="723" ht="15" customHeight="1">
      <c r="A723" t="inlineStr">
        <is>
          <t>A 11553-2024</t>
        </is>
      </c>
      <c r="B723" s="1" t="n">
        <v>45372.95811342593</v>
      </c>
      <c r="C723" s="1" t="n">
        <v>45901</v>
      </c>
      <c r="D723" t="inlineStr">
        <is>
          <t>JÄMTLANDS LÄN</t>
        </is>
      </c>
      <c r="E723" t="inlineStr">
        <is>
          <t>BRÄCKE</t>
        </is>
      </c>
      <c r="F723" t="inlineStr">
        <is>
          <t>Naturvårdsverket</t>
        </is>
      </c>
      <c r="G723" t="n">
        <v>1.9</v>
      </c>
      <c r="H723" t="n">
        <v>0</v>
      </c>
      <c r="I723" t="n">
        <v>0</v>
      </c>
      <c r="J723" t="n">
        <v>0</v>
      </c>
      <c r="K723" t="n">
        <v>0</v>
      </c>
      <c r="L723" t="n">
        <v>0</v>
      </c>
      <c r="M723" t="n">
        <v>0</v>
      </c>
      <c r="N723" t="n">
        <v>0</v>
      </c>
      <c r="O723" t="n">
        <v>0</v>
      </c>
      <c r="P723" t="n">
        <v>0</v>
      </c>
      <c r="Q723" t="n">
        <v>0</v>
      </c>
      <c r="R723" s="2" t="inlineStr"/>
    </row>
    <row r="724" ht="15" customHeight="1">
      <c r="A724" t="inlineStr">
        <is>
          <t>A 10763-2023</t>
        </is>
      </c>
      <c r="B724" s="1" t="n">
        <v>44988</v>
      </c>
      <c r="C724" s="1" t="n">
        <v>45901</v>
      </c>
      <c r="D724" t="inlineStr">
        <is>
          <t>JÄMTLANDS LÄN</t>
        </is>
      </c>
      <c r="E724" t="inlineStr">
        <is>
          <t>BRÄCKE</t>
        </is>
      </c>
      <c r="G724" t="n">
        <v>1.8</v>
      </c>
      <c r="H724" t="n">
        <v>0</v>
      </c>
      <c r="I724" t="n">
        <v>0</v>
      </c>
      <c r="J724" t="n">
        <v>0</v>
      </c>
      <c r="K724" t="n">
        <v>0</v>
      </c>
      <c r="L724" t="n">
        <v>0</v>
      </c>
      <c r="M724" t="n">
        <v>0</v>
      </c>
      <c r="N724" t="n">
        <v>0</v>
      </c>
      <c r="O724" t="n">
        <v>0</v>
      </c>
      <c r="P724" t="n">
        <v>0</v>
      </c>
      <c r="Q724" t="n">
        <v>0</v>
      </c>
      <c r="R724" s="2" t="inlineStr"/>
    </row>
    <row r="725" ht="15" customHeight="1">
      <c r="A725" t="inlineStr">
        <is>
          <t>A 52846-2022</t>
        </is>
      </c>
      <c r="B725" s="1" t="n">
        <v>44875</v>
      </c>
      <c r="C725" s="1" t="n">
        <v>45901</v>
      </c>
      <c r="D725" t="inlineStr">
        <is>
          <t>JÄMTLANDS LÄN</t>
        </is>
      </c>
      <c r="E725" t="inlineStr">
        <is>
          <t>BRÄCKE</t>
        </is>
      </c>
      <c r="F725" t="inlineStr">
        <is>
          <t>Övriga Aktiebolag</t>
        </is>
      </c>
      <c r="G725" t="n">
        <v>13.1</v>
      </c>
      <c r="H725" t="n">
        <v>0</v>
      </c>
      <c r="I725" t="n">
        <v>0</v>
      </c>
      <c r="J725" t="n">
        <v>0</v>
      </c>
      <c r="K725" t="n">
        <v>0</v>
      </c>
      <c r="L725" t="n">
        <v>0</v>
      </c>
      <c r="M725" t="n">
        <v>0</v>
      </c>
      <c r="N725" t="n">
        <v>0</v>
      </c>
      <c r="O725" t="n">
        <v>0</v>
      </c>
      <c r="P725" t="n">
        <v>0</v>
      </c>
      <c r="Q725" t="n">
        <v>0</v>
      </c>
      <c r="R725" s="2" t="inlineStr"/>
    </row>
    <row r="726" ht="15" customHeight="1">
      <c r="A726" t="inlineStr">
        <is>
          <t>A 60178-2022</t>
        </is>
      </c>
      <c r="B726" s="1" t="n">
        <v>44909</v>
      </c>
      <c r="C726" s="1" t="n">
        <v>45901</v>
      </c>
      <c r="D726" t="inlineStr">
        <is>
          <t>JÄMTLANDS LÄN</t>
        </is>
      </c>
      <c r="E726" t="inlineStr">
        <is>
          <t>BRÄCKE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25101-2025</t>
        </is>
      </c>
      <c r="B727" s="1" t="n">
        <v>45800.34444444445</v>
      </c>
      <c r="C727" s="1" t="n">
        <v>45901</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25102-2025</t>
        </is>
      </c>
      <c r="B728" s="1" t="n">
        <v>45800.34445601852</v>
      </c>
      <c r="C728" s="1" t="n">
        <v>45901</v>
      </c>
      <c r="D728" t="inlineStr">
        <is>
          <t>JÄMTLANDS LÄN</t>
        </is>
      </c>
      <c r="E728" t="inlineStr">
        <is>
          <t>BRÄCKE</t>
        </is>
      </c>
      <c r="G728" t="n">
        <v>11.1</v>
      </c>
      <c r="H728" t="n">
        <v>0</v>
      </c>
      <c r="I728" t="n">
        <v>0</v>
      </c>
      <c r="J728" t="n">
        <v>0</v>
      </c>
      <c r="K728" t="n">
        <v>0</v>
      </c>
      <c r="L728" t="n">
        <v>0</v>
      </c>
      <c r="M728" t="n">
        <v>0</v>
      </c>
      <c r="N728" t="n">
        <v>0</v>
      </c>
      <c r="O728" t="n">
        <v>0</v>
      </c>
      <c r="P728" t="n">
        <v>0</v>
      </c>
      <c r="Q728" t="n">
        <v>0</v>
      </c>
      <c r="R728" s="2" t="inlineStr"/>
    </row>
    <row r="729" ht="15" customHeight="1">
      <c r="A729" t="inlineStr">
        <is>
          <t>A 56656-2022</t>
        </is>
      </c>
      <c r="B729" s="1" t="n">
        <v>44893</v>
      </c>
      <c r="C729" s="1" t="n">
        <v>45901</v>
      </c>
      <c r="D729" t="inlineStr">
        <is>
          <t>JÄMTLANDS LÄN</t>
        </is>
      </c>
      <c r="E729" t="inlineStr">
        <is>
          <t>BRÄCKE</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52021-2022</t>
        </is>
      </c>
      <c r="B730" s="1" t="n">
        <v>44872.95638888889</v>
      </c>
      <c r="C730" s="1" t="n">
        <v>45901</v>
      </c>
      <c r="D730" t="inlineStr">
        <is>
          <t>JÄMTLANDS LÄN</t>
        </is>
      </c>
      <c r="E730" t="inlineStr">
        <is>
          <t>BRÄCKE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25159-2025</t>
        </is>
      </c>
      <c r="B731" s="1" t="n">
        <v>45800.42804398148</v>
      </c>
      <c r="C731" s="1" t="n">
        <v>45901</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38336-2024</t>
        </is>
      </c>
      <c r="B732" s="1" t="n">
        <v>45545.68386574074</v>
      </c>
      <c r="C732" s="1" t="n">
        <v>45901</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10110-2025</t>
        </is>
      </c>
      <c r="B733" s="1" t="n">
        <v>45719.58855324074</v>
      </c>
      <c r="C733" s="1" t="n">
        <v>45901</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45901</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10130-2022</t>
        </is>
      </c>
      <c r="B735" s="1" t="n">
        <v>44621.94561342592</v>
      </c>
      <c r="C735" s="1" t="n">
        <v>45901</v>
      </c>
      <c r="D735" t="inlineStr">
        <is>
          <t>JÄMTLANDS LÄN</t>
        </is>
      </c>
      <c r="E735" t="inlineStr">
        <is>
          <t>BRÄCKE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54571-2021</t>
        </is>
      </c>
      <c r="B736" s="1" t="n">
        <v>44473</v>
      </c>
      <c r="C736" s="1" t="n">
        <v>45901</v>
      </c>
      <c r="D736" t="inlineStr">
        <is>
          <t>JÄMTLANDS LÄN</t>
        </is>
      </c>
      <c r="E736" t="inlineStr">
        <is>
          <t>BRÄCKE</t>
        </is>
      </c>
      <c r="G736" t="n">
        <v>3</v>
      </c>
      <c r="H736" t="n">
        <v>0</v>
      </c>
      <c r="I736" t="n">
        <v>0</v>
      </c>
      <c r="J736" t="n">
        <v>0</v>
      </c>
      <c r="K736" t="n">
        <v>0</v>
      </c>
      <c r="L736" t="n">
        <v>0</v>
      </c>
      <c r="M736" t="n">
        <v>0</v>
      </c>
      <c r="N736" t="n">
        <v>0</v>
      </c>
      <c r="O736" t="n">
        <v>0</v>
      </c>
      <c r="P736" t="n">
        <v>0</v>
      </c>
      <c r="Q736" t="n">
        <v>0</v>
      </c>
      <c r="R736" s="2" t="inlineStr"/>
    </row>
    <row r="737" ht="15" customHeight="1">
      <c r="A737" t="inlineStr">
        <is>
          <t>A 41647-2023</t>
        </is>
      </c>
      <c r="B737" s="1" t="n">
        <v>45175.95690972222</v>
      </c>
      <c r="C737" s="1" t="n">
        <v>45901</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45758-2024</t>
        </is>
      </c>
      <c r="B738" s="1" t="n">
        <v>45579.6357175926</v>
      </c>
      <c r="C738" s="1" t="n">
        <v>45901</v>
      </c>
      <c r="D738" t="inlineStr">
        <is>
          <t>JÄMTLANDS LÄN</t>
        </is>
      </c>
      <c r="E738" t="inlineStr">
        <is>
          <t>BRÄCKE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56896-2021</t>
        </is>
      </c>
      <c r="B739" s="1" t="n">
        <v>44481.92091435185</v>
      </c>
      <c r="C739" s="1" t="n">
        <v>45901</v>
      </c>
      <c r="D739" t="inlineStr">
        <is>
          <t>JÄMTLANDS LÄN</t>
        </is>
      </c>
      <c r="E739" t="inlineStr">
        <is>
          <t>BRÄCKE</t>
        </is>
      </c>
      <c r="G739" t="n">
        <v>1.3</v>
      </c>
      <c r="H739" t="n">
        <v>0</v>
      </c>
      <c r="I739" t="n">
        <v>0</v>
      </c>
      <c r="J739" t="n">
        <v>0</v>
      </c>
      <c r="K739" t="n">
        <v>0</v>
      </c>
      <c r="L739" t="n">
        <v>0</v>
      </c>
      <c r="M739" t="n">
        <v>0</v>
      </c>
      <c r="N739" t="n">
        <v>0</v>
      </c>
      <c r="O739" t="n">
        <v>0</v>
      </c>
      <c r="P739" t="n">
        <v>0</v>
      </c>
      <c r="Q739" t="n">
        <v>0</v>
      </c>
      <c r="R739" s="2" t="inlineStr"/>
    </row>
    <row r="740" ht="15" customHeight="1">
      <c r="A740" t="inlineStr">
        <is>
          <t>A 782-2025</t>
        </is>
      </c>
      <c r="B740" s="1" t="n">
        <v>45665.48423611111</v>
      </c>
      <c r="C740" s="1" t="n">
        <v>45901</v>
      </c>
      <c r="D740" t="inlineStr">
        <is>
          <t>JÄMTLANDS LÄN</t>
        </is>
      </c>
      <c r="E740" t="inlineStr">
        <is>
          <t>BRÄCKE</t>
        </is>
      </c>
      <c r="G740" t="n">
        <v>1.1</v>
      </c>
      <c r="H740" t="n">
        <v>0</v>
      </c>
      <c r="I740" t="n">
        <v>0</v>
      </c>
      <c r="J740" t="n">
        <v>0</v>
      </c>
      <c r="K740" t="n">
        <v>0</v>
      </c>
      <c r="L740" t="n">
        <v>0</v>
      </c>
      <c r="M740" t="n">
        <v>0</v>
      </c>
      <c r="N740" t="n">
        <v>0</v>
      </c>
      <c r="O740" t="n">
        <v>0</v>
      </c>
      <c r="P740" t="n">
        <v>0</v>
      </c>
      <c r="Q740" t="n">
        <v>0</v>
      </c>
      <c r="R740" s="2" t="inlineStr"/>
    </row>
    <row r="741" ht="15" customHeight="1">
      <c r="A741" t="inlineStr">
        <is>
          <t>A 20798-2024</t>
        </is>
      </c>
      <c r="B741" s="1" t="n">
        <v>45438.94798611111</v>
      </c>
      <c r="C741" s="1" t="n">
        <v>45901</v>
      </c>
      <c r="D741" t="inlineStr">
        <is>
          <t>JÄMTLANDS LÄN</t>
        </is>
      </c>
      <c r="E741" t="inlineStr">
        <is>
          <t>BRÄCKE</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4635-2022</t>
        </is>
      </c>
      <c r="B742" s="1" t="n">
        <v>44592.41413194445</v>
      </c>
      <c r="C742" s="1" t="n">
        <v>45901</v>
      </c>
      <c r="D742" t="inlineStr">
        <is>
          <t>JÄMTLANDS LÄN</t>
        </is>
      </c>
      <c r="E742" t="inlineStr">
        <is>
          <t>BRÄCKE</t>
        </is>
      </c>
      <c r="G742" t="n">
        <v>3.7</v>
      </c>
      <c r="H742" t="n">
        <v>0</v>
      </c>
      <c r="I742" t="n">
        <v>0</v>
      </c>
      <c r="J742" t="n">
        <v>0</v>
      </c>
      <c r="K742" t="n">
        <v>0</v>
      </c>
      <c r="L742" t="n">
        <v>0</v>
      </c>
      <c r="M742" t="n">
        <v>0</v>
      </c>
      <c r="N742" t="n">
        <v>0</v>
      </c>
      <c r="O742" t="n">
        <v>0</v>
      </c>
      <c r="P742" t="n">
        <v>0</v>
      </c>
      <c r="Q742" t="n">
        <v>0</v>
      </c>
      <c r="R742" s="2" t="inlineStr"/>
    </row>
    <row r="743" ht="15" customHeight="1">
      <c r="A743" t="inlineStr">
        <is>
          <t>A 21781-2023</t>
        </is>
      </c>
      <c r="B743" s="1" t="n">
        <v>45065</v>
      </c>
      <c r="C743" s="1" t="n">
        <v>45901</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25676-2023</t>
        </is>
      </c>
      <c r="B744" s="1" t="n">
        <v>45089.93925925926</v>
      </c>
      <c r="C744" s="1" t="n">
        <v>45901</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25734-2025</t>
        </is>
      </c>
      <c r="B745" s="1" t="n">
        <v>45803.76541666667</v>
      </c>
      <c r="C745" s="1" t="n">
        <v>45901</v>
      </c>
      <c r="D745" t="inlineStr">
        <is>
          <t>JÄMTLANDS LÄN</t>
        </is>
      </c>
      <c r="E745" t="inlineStr">
        <is>
          <t>BRÄCKE</t>
        </is>
      </c>
      <c r="G745" t="n">
        <v>12</v>
      </c>
      <c r="H745" t="n">
        <v>0</v>
      </c>
      <c r="I745" t="n">
        <v>0</v>
      </c>
      <c r="J745" t="n">
        <v>0</v>
      </c>
      <c r="K745" t="n">
        <v>0</v>
      </c>
      <c r="L745" t="n">
        <v>0</v>
      </c>
      <c r="M745" t="n">
        <v>0</v>
      </c>
      <c r="N745" t="n">
        <v>0</v>
      </c>
      <c r="O745" t="n">
        <v>0</v>
      </c>
      <c r="P745" t="n">
        <v>0</v>
      </c>
      <c r="Q745" t="n">
        <v>0</v>
      </c>
      <c r="R745" s="2" t="inlineStr"/>
    </row>
    <row r="746" ht="15" customHeight="1">
      <c r="A746" t="inlineStr">
        <is>
          <t>A 49526-2024</t>
        </is>
      </c>
      <c r="B746" s="1" t="n">
        <v>45596.40731481482</v>
      </c>
      <c r="C746" s="1" t="n">
        <v>45901</v>
      </c>
      <c r="D746" t="inlineStr">
        <is>
          <t>JÄMTLANDS LÄN</t>
        </is>
      </c>
      <c r="E746" t="inlineStr">
        <is>
          <t>BRÄCKE</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25821-2025</t>
        </is>
      </c>
      <c r="B747" s="1" t="n">
        <v>45804.43686342592</v>
      </c>
      <c r="C747" s="1" t="n">
        <v>45901</v>
      </c>
      <c r="D747" t="inlineStr">
        <is>
          <t>JÄMTLANDS LÄN</t>
        </is>
      </c>
      <c r="E747" t="inlineStr">
        <is>
          <t>BRÄCKE</t>
        </is>
      </c>
      <c r="G747" t="n">
        <v>3.3</v>
      </c>
      <c r="H747" t="n">
        <v>0</v>
      </c>
      <c r="I747" t="n">
        <v>0</v>
      </c>
      <c r="J747" t="n">
        <v>0</v>
      </c>
      <c r="K747" t="n">
        <v>0</v>
      </c>
      <c r="L747" t="n">
        <v>0</v>
      </c>
      <c r="M747" t="n">
        <v>0</v>
      </c>
      <c r="N747" t="n">
        <v>0</v>
      </c>
      <c r="O747" t="n">
        <v>0</v>
      </c>
      <c r="P747" t="n">
        <v>0</v>
      </c>
      <c r="Q747" t="n">
        <v>0</v>
      </c>
      <c r="R747" s="2" t="inlineStr"/>
    </row>
    <row r="748" ht="15" customHeight="1">
      <c r="A748" t="inlineStr">
        <is>
          <t>A 48342-2024</t>
        </is>
      </c>
      <c r="B748" s="1" t="n">
        <v>45590.55238425926</v>
      </c>
      <c r="C748" s="1" t="n">
        <v>45901</v>
      </c>
      <c r="D748" t="inlineStr">
        <is>
          <t>JÄMTLANDS LÄN</t>
        </is>
      </c>
      <c r="E748" t="inlineStr">
        <is>
          <t>BRÄCKE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27799-2024</t>
        </is>
      </c>
      <c r="B749" s="1" t="n">
        <v>45475.56605324074</v>
      </c>
      <c r="C749" s="1" t="n">
        <v>45901</v>
      </c>
      <c r="D749" t="inlineStr">
        <is>
          <t>JÄMTLANDS LÄN</t>
        </is>
      </c>
      <c r="E749" t="inlineStr">
        <is>
          <t>BRÄCKE</t>
        </is>
      </c>
      <c r="G749" t="n">
        <v>3.6</v>
      </c>
      <c r="H749" t="n">
        <v>0</v>
      </c>
      <c r="I749" t="n">
        <v>0</v>
      </c>
      <c r="J749" t="n">
        <v>0</v>
      </c>
      <c r="K749" t="n">
        <v>0</v>
      </c>
      <c r="L749" t="n">
        <v>0</v>
      </c>
      <c r="M749" t="n">
        <v>0</v>
      </c>
      <c r="N749" t="n">
        <v>0</v>
      </c>
      <c r="O749" t="n">
        <v>0</v>
      </c>
      <c r="P749" t="n">
        <v>0</v>
      </c>
      <c r="Q749" t="n">
        <v>0</v>
      </c>
      <c r="R749" s="2" t="inlineStr"/>
    </row>
    <row r="750" ht="15" customHeight="1">
      <c r="A750" t="inlineStr">
        <is>
          <t>A 19584-2024</t>
        </is>
      </c>
      <c r="B750" s="1" t="n">
        <v>45429</v>
      </c>
      <c r="C750" s="1" t="n">
        <v>45901</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28796-2023</t>
        </is>
      </c>
      <c r="B751" s="1" t="n">
        <v>45096</v>
      </c>
      <c r="C751" s="1" t="n">
        <v>45901</v>
      </c>
      <c r="D751" t="inlineStr">
        <is>
          <t>JÄMTLANDS LÄN</t>
        </is>
      </c>
      <c r="E751" t="inlineStr">
        <is>
          <t>BRÄCKE</t>
        </is>
      </c>
      <c r="G751" t="n">
        <v>1</v>
      </c>
      <c r="H751" t="n">
        <v>0</v>
      </c>
      <c r="I751" t="n">
        <v>0</v>
      </c>
      <c r="J751" t="n">
        <v>0</v>
      </c>
      <c r="K751" t="n">
        <v>0</v>
      </c>
      <c r="L751" t="n">
        <v>0</v>
      </c>
      <c r="M751" t="n">
        <v>0</v>
      </c>
      <c r="N751" t="n">
        <v>0</v>
      </c>
      <c r="O751" t="n">
        <v>0</v>
      </c>
      <c r="P751" t="n">
        <v>0</v>
      </c>
      <c r="Q751" t="n">
        <v>0</v>
      </c>
      <c r="R751" s="2" t="inlineStr"/>
    </row>
    <row r="752" ht="15" customHeight="1">
      <c r="A752" t="inlineStr">
        <is>
          <t>A 39326-2024</t>
        </is>
      </c>
      <c r="B752" s="1" t="n">
        <v>45551.42741898148</v>
      </c>
      <c r="C752" s="1" t="n">
        <v>45901</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20095-2023</t>
        </is>
      </c>
      <c r="B753" s="1" t="n">
        <v>45054.94199074074</v>
      </c>
      <c r="C753" s="1" t="n">
        <v>45901</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45950-2023</t>
        </is>
      </c>
      <c r="B754" s="1" t="n">
        <v>45195</v>
      </c>
      <c r="C754" s="1" t="n">
        <v>45901</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18641-2024</t>
        </is>
      </c>
      <c r="B755" s="1" t="n">
        <v>45425.9666087963</v>
      </c>
      <c r="C755" s="1" t="n">
        <v>45901</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58449-2024</t>
        </is>
      </c>
      <c r="B756" s="1" t="n">
        <v>45635.34413194445</v>
      </c>
      <c r="C756" s="1" t="n">
        <v>45901</v>
      </c>
      <c r="D756" t="inlineStr">
        <is>
          <t>JÄMTLANDS LÄN</t>
        </is>
      </c>
      <c r="E756" t="inlineStr">
        <is>
          <t>BRÄCKE</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49032-2024</t>
        </is>
      </c>
      <c r="B757" s="1" t="n">
        <v>45594.53152777778</v>
      </c>
      <c r="C757" s="1" t="n">
        <v>45901</v>
      </c>
      <c r="D757" t="inlineStr">
        <is>
          <t>JÄMTLANDS LÄN</t>
        </is>
      </c>
      <c r="E757" t="inlineStr">
        <is>
          <t>BRÄCKE</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43070-2020</t>
        </is>
      </c>
      <c r="B758" s="1" t="n">
        <v>44078</v>
      </c>
      <c r="C758" s="1" t="n">
        <v>45901</v>
      </c>
      <c r="D758" t="inlineStr">
        <is>
          <t>JÄMTLANDS LÄN</t>
        </is>
      </c>
      <c r="E758" t="inlineStr">
        <is>
          <t>BRÄCKE</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41922-2023</t>
        </is>
      </c>
      <c r="B759" s="1" t="n">
        <v>45176</v>
      </c>
      <c r="C759" s="1" t="n">
        <v>45901</v>
      </c>
      <c r="D759" t="inlineStr">
        <is>
          <t>JÄMTLANDS LÄN</t>
        </is>
      </c>
      <c r="E759" t="inlineStr">
        <is>
          <t>BRÄCKE</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25718-2025</t>
        </is>
      </c>
      <c r="B760" s="1" t="n">
        <v>45803.69876157407</v>
      </c>
      <c r="C760" s="1" t="n">
        <v>45901</v>
      </c>
      <c r="D760" t="inlineStr">
        <is>
          <t>JÄMTLANDS LÄN</t>
        </is>
      </c>
      <c r="E760" t="inlineStr">
        <is>
          <t>BRÄCKE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24062-2024</t>
        </is>
      </c>
      <c r="B761" s="1" t="n">
        <v>45456.54141203704</v>
      </c>
      <c r="C761" s="1" t="n">
        <v>45901</v>
      </c>
      <c r="D761" t="inlineStr">
        <is>
          <t>JÄMTLANDS LÄN</t>
        </is>
      </c>
      <c r="E761" t="inlineStr">
        <is>
          <t>BRÄCKE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26379-2025</t>
        </is>
      </c>
      <c r="B762" s="1" t="n">
        <v>45806.48998842593</v>
      </c>
      <c r="C762" s="1" t="n">
        <v>45901</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10510-2025</t>
        </is>
      </c>
      <c r="B763" s="1" t="n">
        <v>45721.40363425926</v>
      </c>
      <c r="C763" s="1" t="n">
        <v>45901</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55478-2024</t>
        </is>
      </c>
      <c r="B764" s="1" t="n">
        <v>45622.43795138889</v>
      </c>
      <c r="C764" s="1" t="n">
        <v>45901</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48416-2024</t>
        </is>
      </c>
      <c r="B765" s="1" t="n">
        <v>45590.64153935185</v>
      </c>
      <c r="C765" s="1" t="n">
        <v>45901</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11550-2023</t>
        </is>
      </c>
      <c r="B766" s="1" t="n">
        <v>44993</v>
      </c>
      <c r="C766" s="1" t="n">
        <v>45901</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30480-2024</t>
        </is>
      </c>
      <c r="B767" s="1" t="n">
        <v>45491.9494675926</v>
      </c>
      <c r="C767" s="1" t="n">
        <v>45901</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3180-2024</t>
        </is>
      </c>
      <c r="B768" s="1" t="n">
        <v>45316.64880787037</v>
      </c>
      <c r="C768" s="1" t="n">
        <v>45901</v>
      </c>
      <c r="D768" t="inlineStr">
        <is>
          <t>JÄMTLANDS LÄN</t>
        </is>
      </c>
      <c r="E768" t="inlineStr">
        <is>
          <t>BRÄCKE</t>
        </is>
      </c>
      <c r="G768" t="n">
        <v>4.7</v>
      </c>
      <c r="H768" t="n">
        <v>0</v>
      </c>
      <c r="I768" t="n">
        <v>0</v>
      </c>
      <c r="J768" t="n">
        <v>0</v>
      </c>
      <c r="K768" t="n">
        <v>0</v>
      </c>
      <c r="L768" t="n">
        <v>0</v>
      </c>
      <c r="M768" t="n">
        <v>0</v>
      </c>
      <c r="N768" t="n">
        <v>0</v>
      </c>
      <c r="O768" t="n">
        <v>0</v>
      </c>
      <c r="P768" t="n">
        <v>0</v>
      </c>
      <c r="Q768" t="n">
        <v>0</v>
      </c>
      <c r="R768" s="2" t="inlineStr"/>
    </row>
    <row r="769" ht="15" customHeight="1">
      <c r="A769" t="inlineStr">
        <is>
          <t>A 3182-2024</t>
        </is>
      </c>
      <c r="B769" s="1" t="n">
        <v>45316.65004629629</v>
      </c>
      <c r="C769" s="1" t="n">
        <v>45901</v>
      </c>
      <c r="D769" t="inlineStr">
        <is>
          <t>JÄMTLANDS LÄN</t>
        </is>
      </c>
      <c r="E769" t="inlineStr">
        <is>
          <t>BRÄCKE</t>
        </is>
      </c>
      <c r="G769" t="n">
        <v>2.6</v>
      </c>
      <c r="H769" t="n">
        <v>0</v>
      </c>
      <c r="I769" t="n">
        <v>0</v>
      </c>
      <c r="J769" t="n">
        <v>0</v>
      </c>
      <c r="K769" t="n">
        <v>0</v>
      </c>
      <c r="L769" t="n">
        <v>0</v>
      </c>
      <c r="M769" t="n">
        <v>0</v>
      </c>
      <c r="N769" t="n">
        <v>0</v>
      </c>
      <c r="O769" t="n">
        <v>0</v>
      </c>
      <c r="P769" t="n">
        <v>0</v>
      </c>
      <c r="Q769" t="n">
        <v>0</v>
      </c>
      <c r="R769" s="2" t="inlineStr"/>
    </row>
    <row r="770" ht="15" customHeight="1">
      <c r="A770" t="inlineStr">
        <is>
          <t>A 56493-2024</t>
        </is>
      </c>
      <c r="B770" s="1" t="n">
        <v>45625.49034722222</v>
      </c>
      <c r="C770" s="1" t="n">
        <v>45901</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44500.93565972222</v>
      </c>
      <c r="C771" s="1" t="n">
        <v>45901</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45901</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29262-2024</t>
        </is>
      </c>
      <c r="B773" s="1" t="n">
        <v>45482.9487962963</v>
      </c>
      <c r="C773" s="1" t="n">
        <v>45901</v>
      </c>
      <c r="D773" t="inlineStr">
        <is>
          <t>JÄMTLANDS LÄN</t>
        </is>
      </c>
      <c r="E773" t="inlineStr">
        <is>
          <t>BRÄCKE</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28765-2024</t>
        </is>
      </c>
      <c r="B774" s="1" t="n">
        <v>45478.59344907408</v>
      </c>
      <c r="C774" s="1" t="n">
        <v>45901</v>
      </c>
      <c r="D774" t="inlineStr">
        <is>
          <t>JÄMTLANDS LÄN</t>
        </is>
      </c>
      <c r="E774" t="inlineStr">
        <is>
          <t>BRÄCKE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59932-2022</t>
        </is>
      </c>
      <c r="B775" s="1" t="n">
        <v>44909.36262731482</v>
      </c>
      <c r="C775" s="1" t="n">
        <v>45901</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58086-2024</t>
        </is>
      </c>
      <c r="B776" s="1" t="n">
        <v>45632.34436342592</v>
      </c>
      <c r="C776" s="1" t="n">
        <v>45901</v>
      </c>
      <c r="D776" t="inlineStr">
        <is>
          <t>JÄMTLANDS LÄN</t>
        </is>
      </c>
      <c r="E776" t="inlineStr">
        <is>
          <t>BRÄCKE</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45028-2023</t>
        </is>
      </c>
      <c r="B777" s="1" t="n">
        <v>45190</v>
      </c>
      <c r="C777" s="1" t="n">
        <v>45901</v>
      </c>
      <c r="D777" t="inlineStr">
        <is>
          <t>JÄMTLANDS LÄN</t>
        </is>
      </c>
      <c r="E777" t="inlineStr">
        <is>
          <t>BRÄCKE</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26298-2025</t>
        </is>
      </c>
      <c r="B778" s="1" t="n">
        <v>45805.63619212963</v>
      </c>
      <c r="C778" s="1" t="n">
        <v>45901</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37959-2024</t>
        </is>
      </c>
      <c r="B779" s="1" t="n">
        <v>45544.53870370371</v>
      </c>
      <c r="C779" s="1" t="n">
        <v>45901</v>
      </c>
      <c r="D779" t="inlineStr">
        <is>
          <t>JÄMTLANDS LÄN</t>
        </is>
      </c>
      <c r="E779" t="inlineStr">
        <is>
          <t>BRÄCKE</t>
        </is>
      </c>
      <c r="G779" t="n">
        <v>6.5</v>
      </c>
      <c r="H779" t="n">
        <v>0</v>
      </c>
      <c r="I779" t="n">
        <v>0</v>
      </c>
      <c r="J779" t="n">
        <v>0</v>
      </c>
      <c r="K779" t="n">
        <v>0</v>
      </c>
      <c r="L779" t="n">
        <v>0</v>
      </c>
      <c r="M779" t="n">
        <v>0</v>
      </c>
      <c r="N779" t="n">
        <v>0</v>
      </c>
      <c r="O779" t="n">
        <v>0</v>
      </c>
      <c r="P779" t="n">
        <v>0</v>
      </c>
      <c r="Q779" t="n">
        <v>0</v>
      </c>
      <c r="R779" s="2" t="inlineStr"/>
    </row>
    <row r="780" ht="15" customHeight="1">
      <c r="A780" t="inlineStr">
        <is>
          <t>A 48433-2023</t>
        </is>
      </c>
      <c r="B780" s="1" t="n">
        <v>45205</v>
      </c>
      <c r="C780" s="1" t="n">
        <v>45901</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48473-2023</t>
        </is>
      </c>
      <c r="B781" s="1" t="n">
        <v>45206.95770833334</v>
      </c>
      <c r="C781" s="1" t="n">
        <v>45901</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26371-2025</t>
        </is>
      </c>
      <c r="B782" s="1" t="n">
        <v>45806.40653935185</v>
      </c>
      <c r="C782" s="1" t="n">
        <v>45901</v>
      </c>
      <c r="D782" t="inlineStr">
        <is>
          <t>JÄMTLANDS LÄN</t>
        </is>
      </c>
      <c r="E782" t="inlineStr">
        <is>
          <t>BRÄCKE</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18265-2025</t>
        </is>
      </c>
      <c r="B783" s="1" t="n">
        <v>45762.36525462963</v>
      </c>
      <c r="C783" s="1" t="n">
        <v>45901</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57096-2024</t>
        </is>
      </c>
      <c r="B784" s="1" t="n">
        <v>45629.35810185185</v>
      </c>
      <c r="C784" s="1" t="n">
        <v>45901</v>
      </c>
      <c r="D784" t="inlineStr">
        <is>
          <t>JÄMTLANDS LÄN</t>
        </is>
      </c>
      <c r="E784" t="inlineStr">
        <is>
          <t>BRÄCKE</t>
        </is>
      </c>
      <c r="F784" t="inlineStr">
        <is>
          <t>SCA</t>
        </is>
      </c>
      <c r="G784" t="n">
        <v>5.1</v>
      </c>
      <c r="H784" t="n">
        <v>0</v>
      </c>
      <c r="I784" t="n">
        <v>0</v>
      </c>
      <c r="J784" t="n">
        <v>0</v>
      </c>
      <c r="K784" t="n">
        <v>0</v>
      </c>
      <c r="L784" t="n">
        <v>0</v>
      </c>
      <c r="M784" t="n">
        <v>0</v>
      </c>
      <c r="N784" t="n">
        <v>0</v>
      </c>
      <c r="O784" t="n">
        <v>0</v>
      </c>
      <c r="P784" t="n">
        <v>0</v>
      </c>
      <c r="Q784" t="n">
        <v>0</v>
      </c>
      <c r="R784" s="2" t="inlineStr"/>
    </row>
    <row r="785" ht="15" customHeight="1">
      <c r="A785" t="inlineStr">
        <is>
          <t>A 28135-2024</t>
        </is>
      </c>
      <c r="B785" s="1" t="n">
        <v>45476</v>
      </c>
      <c r="C785" s="1" t="n">
        <v>45901</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49043-2023</t>
        </is>
      </c>
      <c r="B786" s="1" t="n">
        <v>45209.95743055556</v>
      </c>
      <c r="C786" s="1" t="n">
        <v>45901</v>
      </c>
      <c r="D786" t="inlineStr">
        <is>
          <t>JÄMTLANDS LÄN</t>
        </is>
      </c>
      <c r="E786" t="inlineStr">
        <is>
          <t>BRÄCKE</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4132-2025</t>
        </is>
      </c>
      <c r="B787" s="1" t="n">
        <v>45685.34538194445</v>
      </c>
      <c r="C787" s="1" t="n">
        <v>45901</v>
      </c>
      <c r="D787" t="inlineStr">
        <is>
          <t>JÄMTLANDS LÄN</t>
        </is>
      </c>
      <c r="E787" t="inlineStr">
        <is>
          <t>BRÄCKE</t>
        </is>
      </c>
      <c r="F787" t="inlineStr">
        <is>
          <t>SCA</t>
        </is>
      </c>
      <c r="G787" t="n">
        <v>6.6</v>
      </c>
      <c r="H787" t="n">
        <v>0</v>
      </c>
      <c r="I787" t="n">
        <v>0</v>
      </c>
      <c r="J787" t="n">
        <v>0</v>
      </c>
      <c r="K787" t="n">
        <v>0</v>
      </c>
      <c r="L787" t="n">
        <v>0</v>
      </c>
      <c r="M787" t="n">
        <v>0</v>
      </c>
      <c r="N787" t="n">
        <v>0</v>
      </c>
      <c r="O787" t="n">
        <v>0</v>
      </c>
      <c r="P787" t="n">
        <v>0</v>
      </c>
      <c r="Q787" t="n">
        <v>0</v>
      </c>
      <c r="R787" s="2" t="inlineStr"/>
    </row>
    <row r="788" ht="15" customHeight="1">
      <c r="A788" t="inlineStr">
        <is>
          <t>A 40394-2023</t>
        </is>
      </c>
      <c r="B788" s="1" t="n">
        <v>45169.93751157408</v>
      </c>
      <c r="C788" s="1" t="n">
        <v>45901</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39004-2023</t>
        </is>
      </c>
      <c r="B789" s="1" t="n">
        <v>45162</v>
      </c>
      <c r="C789" s="1" t="n">
        <v>45901</v>
      </c>
      <c r="D789" t="inlineStr">
        <is>
          <t>JÄMTLANDS LÄN</t>
        </is>
      </c>
      <c r="E789" t="inlineStr">
        <is>
          <t>BRÄCKE</t>
        </is>
      </c>
      <c r="G789" t="n">
        <v>4.4</v>
      </c>
      <c r="H789" t="n">
        <v>0</v>
      </c>
      <c r="I789" t="n">
        <v>0</v>
      </c>
      <c r="J789" t="n">
        <v>0</v>
      </c>
      <c r="K789" t="n">
        <v>0</v>
      </c>
      <c r="L789" t="n">
        <v>0</v>
      </c>
      <c r="M789" t="n">
        <v>0</v>
      </c>
      <c r="N789" t="n">
        <v>0</v>
      </c>
      <c r="O789" t="n">
        <v>0</v>
      </c>
      <c r="P789" t="n">
        <v>0</v>
      </c>
      <c r="Q789" t="n">
        <v>0</v>
      </c>
      <c r="R789" s="2" t="inlineStr"/>
    </row>
    <row r="790" ht="15" customHeight="1">
      <c r="A790" t="inlineStr">
        <is>
          <t>A 59047-2022</t>
        </is>
      </c>
      <c r="B790" s="1" t="n">
        <v>44903.95328703704</v>
      </c>
      <c r="C790" s="1" t="n">
        <v>45901</v>
      </c>
      <c r="D790" t="inlineStr">
        <is>
          <t>JÄMTLANDS LÄN</t>
        </is>
      </c>
      <c r="E790" t="inlineStr">
        <is>
          <t>BRÄCKE</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37239-2023</t>
        </is>
      </c>
      <c r="B791" s="1" t="n">
        <v>45155.95373842592</v>
      </c>
      <c r="C791" s="1" t="n">
        <v>45901</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26736-2025</t>
        </is>
      </c>
      <c r="B792" s="1" t="n">
        <v>45810.51644675926</v>
      </c>
      <c r="C792" s="1" t="n">
        <v>45901</v>
      </c>
      <c r="D792" t="inlineStr">
        <is>
          <t>JÄMTLANDS LÄN</t>
        </is>
      </c>
      <c r="E792" t="inlineStr">
        <is>
          <t>BRÄCKE</t>
        </is>
      </c>
      <c r="G792" t="n">
        <v>4.2</v>
      </c>
      <c r="H792" t="n">
        <v>0</v>
      </c>
      <c r="I792" t="n">
        <v>0</v>
      </c>
      <c r="J792" t="n">
        <v>0</v>
      </c>
      <c r="K792" t="n">
        <v>0</v>
      </c>
      <c r="L792" t="n">
        <v>0</v>
      </c>
      <c r="M792" t="n">
        <v>0</v>
      </c>
      <c r="N792" t="n">
        <v>0</v>
      </c>
      <c r="O792" t="n">
        <v>0</v>
      </c>
      <c r="P792" t="n">
        <v>0</v>
      </c>
      <c r="Q792" t="n">
        <v>0</v>
      </c>
      <c r="R792" s="2" t="inlineStr"/>
    </row>
    <row r="793" ht="15" customHeight="1">
      <c r="A793" t="inlineStr">
        <is>
          <t>A 28903-2021</t>
        </is>
      </c>
      <c r="B793" s="1" t="n">
        <v>44357</v>
      </c>
      <c r="C793" s="1" t="n">
        <v>45901</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50520-2024</t>
        </is>
      </c>
      <c r="B794" s="1" t="n">
        <v>45601.55320601852</v>
      </c>
      <c r="C794" s="1" t="n">
        <v>45901</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49307-2024</t>
        </is>
      </c>
      <c r="B795" s="1" t="n">
        <v>45595.55241898148</v>
      </c>
      <c r="C795" s="1" t="n">
        <v>45901</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1504-2025</t>
        </is>
      </c>
      <c r="B796" s="1" t="n">
        <v>45670.42738425926</v>
      </c>
      <c r="C796" s="1" t="n">
        <v>45901</v>
      </c>
      <c r="D796" t="inlineStr">
        <is>
          <t>JÄMTLANDS LÄN</t>
        </is>
      </c>
      <c r="E796" t="inlineStr">
        <is>
          <t>BRÄCKE</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2498-2025</t>
        </is>
      </c>
      <c r="B797" s="1" t="n">
        <v>45674.5315625</v>
      </c>
      <c r="C797" s="1" t="n">
        <v>45901</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2511-2025</t>
        </is>
      </c>
      <c r="B798" s="1" t="n">
        <v>45674.57393518519</v>
      </c>
      <c r="C798" s="1" t="n">
        <v>45901</v>
      </c>
      <c r="D798" t="inlineStr">
        <is>
          <t>JÄMTLANDS LÄN</t>
        </is>
      </c>
      <c r="E798" t="inlineStr">
        <is>
          <t>BRÄCKE</t>
        </is>
      </c>
      <c r="F798" t="inlineStr">
        <is>
          <t>SCA</t>
        </is>
      </c>
      <c r="G798" t="n">
        <v>10.5</v>
      </c>
      <c r="H798" t="n">
        <v>0</v>
      </c>
      <c r="I798" t="n">
        <v>0</v>
      </c>
      <c r="J798" t="n">
        <v>0</v>
      </c>
      <c r="K798" t="n">
        <v>0</v>
      </c>
      <c r="L798" t="n">
        <v>0</v>
      </c>
      <c r="M798" t="n">
        <v>0</v>
      </c>
      <c r="N798" t="n">
        <v>0</v>
      </c>
      <c r="O798" t="n">
        <v>0</v>
      </c>
      <c r="P798" t="n">
        <v>0</v>
      </c>
      <c r="Q798" t="n">
        <v>0</v>
      </c>
      <c r="R798" s="2" t="inlineStr"/>
    </row>
    <row r="799" ht="15" customHeight="1">
      <c r="A799" t="inlineStr">
        <is>
          <t>A 1864-2022</t>
        </is>
      </c>
      <c r="B799" s="1" t="n">
        <v>44574</v>
      </c>
      <c r="C799" s="1" t="n">
        <v>45901</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14607-2025</t>
        </is>
      </c>
      <c r="B800" s="1" t="n">
        <v>45742.37540509259</v>
      </c>
      <c r="C800" s="1" t="n">
        <v>45901</v>
      </c>
      <c r="D800" t="inlineStr">
        <is>
          <t>JÄMTLANDS LÄN</t>
        </is>
      </c>
      <c r="E800" t="inlineStr">
        <is>
          <t>BRÄCKE</t>
        </is>
      </c>
      <c r="G800" t="n">
        <v>6.7</v>
      </c>
      <c r="H800" t="n">
        <v>0</v>
      </c>
      <c r="I800" t="n">
        <v>0</v>
      </c>
      <c r="J800" t="n">
        <v>0</v>
      </c>
      <c r="K800" t="n">
        <v>0</v>
      </c>
      <c r="L800" t="n">
        <v>0</v>
      </c>
      <c r="M800" t="n">
        <v>0</v>
      </c>
      <c r="N800" t="n">
        <v>0</v>
      </c>
      <c r="O800" t="n">
        <v>0</v>
      </c>
      <c r="P800" t="n">
        <v>0</v>
      </c>
      <c r="Q800" t="n">
        <v>0</v>
      </c>
      <c r="R800" s="2" t="inlineStr"/>
    </row>
    <row r="801" ht="15" customHeight="1">
      <c r="A801" t="inlineStr">
        <is>
          <t>A 53608-2024</t>
        </is>
      </c>
      <c r="B801" s="1" t="n">
        <v>45614</v>
      </c>
      <c r="C801" s="1" t="n">
        <v>45901</v>
      </c>
      <c r="D801" t="inlineStr">
        <is>
          <t>JÄMTLANDS LÄN</t>
        </is>
      </c>
      <c r="E801" t="inlineStr">
        <is>
          <t>BRÄCKE</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20625-2023</t>
        </is>
      </c>
      <c r="B802" s="1" t="n">
        <v>45057.94351851852</v>
      </c>
      <c r="C802" s="1" t="n">
        <v>45901</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11310-2025</t>
        </is>
      </c>
      <c r="B803" s="1" t="n">
        <v>45726.44832175926</v>
      </c>
      <c r="C803" s="1" t="n">
        <v>45901</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26818-2025</t>
        </is>
      </c>
      <c r="B804" s="1" t="n">
        <v>45810.63622685185</v>
      </c>
      <c r="C804" s="1" t="n">
        <v>45901</v>
      </c>
      <c r="D804" t="inlineStr">
        <is>
          <t>JÄMTLANDS LÄN</t>
        </is>
      </c>
      <c r="E804" t="inlineStr">
        <is>
          <t>BRÄCKE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1201-2022</t>
        </is>
      </c>
      <c r="B805" s="1" t="n">
        <v>44572</v>
      </c>
      <c r="C805" s="1" t="n">
        <v>45901</v>
      </c>
      <c r="D805" t="inlineStr">
        <is>
          <t>JÄMTLANDS LÄN</t>
        </is>
      </c>
      <c r="E805" t="inlineStr">
        <is>
          <t>BRÄCKE</t>
        </is>
      </c>
      <c r="G805" t="n">
        <v>13.7</v>
      </c>
      <c r="H805" t="n">
        <v>0</v>
      </c>
      <c r="I805" t="n">
        <v>0</v>
      </c>
      <c r="J805" t="n">
        <v>0</v>
      </c>
      <c r="K805" t="n">
        <v>0</v>
      </c>
      <c r="L805" t="n">
        <v>0</v>
      </c>
      <c r="M805" t="n">
        <v>0</v>
      </c>
      <c r="N805" t="n">
        <v>0</v>
      </c>
      <c r="O805" t="n">
        <v>0</v>
      </c>
      <c r="P805" t="n">
        <v>0</v>
      </c>
      <c r="Q805" t="n">
        <v>0</v>
      </c>
      <c r="R805" s="2" t="inlineStr"/>
    </row>
    <row r="806" ht="15" customHeight="1">
      <c r="A806" t="inlineStr">
        <is>
          <t>A 3865-2025</t>
        </is>
      </c>
      <c r="B806" s="1" t="n">
        <v>45684.31815972222</v>
      </c>
      <c r="C806" s="1" t="n">
        <v>45901</v>
      </c>
      <c r="D806" t="inlineStr">
        <is>
          <t>JÄMTLANDS LÄN</t>
        </is>
      </c>
      <c r="E806" t="inlineStr">
        <is>
          <t>BRÄCKE</t>
        </is>
      </c>
      <c r="G806" t="n">
        <v>1.4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44629.94712962963</v>
      </c>
      <c r="C807" s="1" t="n">
        <v>45901</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5340-2025</t>
        </is>
      </c>
      <c r="B808" s="1" t="n">
        <v>45692.55248842593</v>
      </c>
      <c r="C808" s="1" t="n">
        <v>45901</v>
      </c>
      <c r="D808" t="inlineStr">
        <is>
          <t>JÄMTLANDS LÄN</t>
        </is>
      </c>
      <c r="E808" t="inlineStr">
        <is>
          <t>BRÄCKE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20014-2022</t>
        </is>
      </c>
      <c r="B809" s="1" t="n">
        <v>44697.64387731482</v>
      </c>
      <c r="C809" s="1" t="n">
        <v>45901</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56491-2024</t>
        </is>
      </c>
      <c r="B810" s="1" t="n">
        <v>45625.48987268518</v>
      </c>
      <c r="C810" s="1" t="n">
        <v>45901</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59245-2024</t>
        </is>
      </c>
      <c r="B811" s="1" t="n">
        <v>45637.59230324074</v>
      </c>
      <c r="C811" s="1" t="n">
        <v>45901</v>
      </c>
      <c r="D811" t="inlineStr">
        <is>
          <t>JÄMTLANDS LÄN</t>
        </is>
      </c>
      <c r="E811" t="inlineStr">
        <is>
          <t>BRÄCKE</t>
        </is>
      </c>
      <c r="G811" t="n">
        <v>4.9</v>
      </c>
      <c r="H811" t="n">
        <v>0</v>
      </c>
      <c r="I811" t="n">
        <v>0</v>
      </c>
      <c r="J811" t="n">
        <v>0</v>
      </c>
      <c r="K811" t="n">
        <v>0</v>
      </c>
      <c r="L811" t="n">
        <v>0</v>
      </c>
      <c r="M811" t="n">
        <v>0</v>
      </c>
      <c r="N811" t="n">
        <v>0</v>
      </c>
      <c r="O811" t="n">
        <v>0</v>
      </c>
      <c r="P811" t="n">
        <v>0</v>
      </c>
      <c r="Q811" t="n">
        <v>0</v>
      </c>
      <c r="R811" s="2" t="inlineStr"/>
    </row>
    <row r="812" ht="15" customHeight="1">
      <c r="A812" t="inlineStr">
        <is>
          <t>A 56780-2020</t>
        </is>
      </c>
      <c r="B812" s="1" t="n">
        <v>44137</v>
      </c>
      <c r="C812" s="1" t="n">
        <v>45901</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15261-2025</t>
        </is>
      </c>
      <c r="B813" s="1" t="n">
        <v>45744.65678240741</v>
      </c>
      <c r="C813" s="1" t="n">
        <v>45901</v>
      </c>
      <c r="D813" t="inlineStr">
        <is>
          <t>JÄMTLANDS LÄN</t>
        </is>
      </c>
      <c r="E813" t="inlineStr">
        <is>
          <t>BRÄCKE</t>
        </is>
      </c>
      <c r="F813" t="inlineStr">
        <is>
          <t>SCA</t>
        </is>
      </c>
      <c r="G813" t="n">
        <v>9</v>
      </c>
      <c r="H813" t="n">
        <v>0</v>
      </c>
      <c r="I813" t="n">
        <v>0</v>
      </c>
      <c r="J813" t="n">
        <v>0</v>
      </c>
      <c r="K813" t="n">
        <v>0</v>
      </c>
      <c r="L813" t="n">
        <v>0</v>
      </c>
      <c r="M813" t="n">
        <v>0</v>
      </c>
      <c r="N813" t="n">
        <v>0</v>
      </c>
      <c r="O813" t="n">
        <v>0</v>
      </c>
      <c r="P813" t="n">
        <v>0</v>
      </c>
      <c r="Q813" t="n">
        <v>0</v>
      </c>
      <c r="R813" s="2" t="inlineStr"/>
    </row>
    <row r="814" ht="15" customHeight="1">
      <c r="A814" t="inlineStr">
        <is>
          <t>A 30478-2022</t>
        </is>
      </c>
      <c r="B814" s="1" t="n">
        <v>44761</v>
      </c>
      <c r="C814" s="1" t="n">
        <v>45901</v>
      </c>
      <c r="D814" t="inlineStr">
        <is>
          <t>JÄMTLANDS LÄN</t>
        </is>
      </c>
      <c r="E814" t="inlineStr">
        <is>
          <t>BRÄCKE</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30480-2022</t>
        </is>
      </c>
      <c r="B815" s="1" t="n">
        <v>44761.94019675926</v>
      </c>
      <c r="C815" s="1" t="n">
        <v>45901</v>
      </c>
      <c r="D815" t="inlineStr">
        <is>
          <t>JÄMTLANDS LÄN</t>
        </is>
      </c>
      <c r="E815" t="inlineStr">
        <is>
          <t>BRÄCKE</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12601-2022</t>
        </is>
      </c>
      <c r="B816" s="1" t="n">
        <v>44638</v>
      </c>
      <c r="C816" s="1" t="n">
        <v>45901</v>
      </c>
      <c r="D816" t="inlineStr">
        <is>
          <t>JÄMTLANDS LÄN</t>
        </is>
      </c>
      <c r="E816" t="inlineStr">
        <is>
          <t>BRÄCKE</t>
        </is>
      </c>
      <c r="G816" t="n">
        <v>3.1</v>
      </c>
      <c r="H816" t="n">
        <v>0</v>
      </c>
      <c r="I816" t="n">
        <v>0</v>
      </c>
      <c r="J816" t="n">
        <v>0</v>
      </c>
      <c r="K816" t="n">
        <v>0</v>
      </c>
      <c r="L816" t="n">
        <v>0</v>
      </c>
      <c r="M816" t="n">
        <v>0</v>
      </c>
      <c r="N816" t="n">
        <v>0</v>
      </c>
      <c r="O816" t="n">
        <v>0</v>
      </c>
      <c r="P816" t="n">
        <v>0</v>
      </c>
      <c r="Q816" t="n">
        <v>0</v>
      </c>
      <c r="R816" s="2" t="inlineStr"/>
    </row>
    <row r="817" ht="15" customHeight="1">
      <c r="A817" t="inlineStr">
        <is>
          <t>A 15423-2025</t>
        </is>
      </c>
      <c r="B817" s="1" t="n">
        <v>45747.4640162037</v>
      </c>
      <c r="C817" s="1" t="n">
        <v>45901</v>
      </c>
      <c r="D817" t="inlineStr">
        <is>
          <t>JÄMTLANDS LÄN</t>
        </is>
      </c>
      <c r="E817" t="inlineStr">
        <is>
          <t>BRÄCKE</t>
        </is>
      </c>
      <c r="G817" t="n">
        <v>3.4</v>
      </c>
      <c r="H817" t="n">
        <v>0</v>
      </c>
      <c r="I817" t="n">
        <v>0</v>
      </c>
      <c r="J817" t="n">
        <v>0</v>
      </c>
      <c r="K817" t="n">
        <v>0</v>
      </c>
      <c r="L817" t="n">
        <v>0</v>
      </c>
      <c r="M817" t="n">
        <v>0</v>
      </c>
      <c r="N817" t="n">
        <v>0</v>
      </c>
      <c r="O817" t="n">
        <v>0</v>
      </c>
      <c r="P817" t="n">
        <v>0</v>
      </c>
      <c r="Q817" t="n">
        <v>0</v>
      </c>
      <c r="R817" s="2" t="inlineStr"/>
    </row>
    <row r="818" ht="15" customHeight="1">
      <c r="A818" t="inlineStr">
        <is>
          <t>A 27278-2025</t>
        </is>
      </c>
      <c r="B818" s="1" t="n">
        <v>45812.53168981482</v>
      </c>
      <c r="C818" s="1" t="n">
        <v>45901</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30287-2024</t>
        </is>
      </c>
      <c r="B819" s="1" t="n">
        <v>45490.6452199074</v>
      </c>
      <c r="C819" s="1" t="n">
        <v>45901</v>
      </c>
      <c r="D819" t="inlineStr">
        <is>
          <t>JÄMTLANDS LÄN</t>
        </is>
      </c>
      <c r="E819" t="inlineStr">
        <is>
          <t>BRÄCKE</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24489-2025</t>
        </is>
      </c>
      <c r="B820" s="1" t="n">
        <v>45798.3859375</v>
      </c>
      <c r="C820" s="1" t="n">
        <v>45901</v>
      </c>
      <c r="D820" t="inlineStr">
        <is>
          <t>JÄMTLANDS LÄN</t>
        </is>
      </c>
      <c r="E820" t="inlineStr">
        <is>
          <t>BRÄCKE</t>
        </is>
      </c>
      <c r="G820" t="n">
        <v>1.5</v>
      </c>
      <c r="H820" t="n">
        <v>0</v>
      </c>
      <c r="I820" t="n">
        <v>0</v>
      </c>
      <c r="J820" t="n">
        <v>0</v>
      </c>
      <c r="K820" t="n">
        <v>0</v>
      </c>
      <c r="L820" t="n">
        <v>0</v>
      </c>
      <c r="M820" t="n">
        <v>0</v>
      </c>
      <c r="N820" t="n">
        <v>0</v>
      </c>
      <c r="O820" t="n">
        <v>0</v>
      </c>
      <c r="P820" t="n">
        <v>0</v>
      </c>
      <c r="Q820" t="n">
        <v>0</v>
      </c>
      <c r="R820" s="2" t="inlineStr"/>
    </row>
    <row r="821" ht="15" customHeight="1">
      <c r="A821" t="inlineStr">
        <is>
          <t>A 50609-2023</t>
        </is>
      </c>
      <c r="B821" s="1" t="n">
        <v>45217</v>
      </c>
      <c r="C821" s="1" t="n">
        <v>45901</v>
      </c>
      <c r="D821" t="inlineStr">
        <is>
          <t>JÄMTLANDS LÄN</t>
        </is>
      </c>
      <c r="E821" t="inlineStr">
        <is>
          <t>BRÄCKE</t>
        </is>
      </c>
      <c r="G821" t="n">
        <v>5.7</v>
      </c>
      <c r="H821" t="n">
        <v>0</v>
      </c>
      <c r="I821" t="n">
        <v>0</v>
      </c>
      <c r="J821" t="n">
        <v>0</v>
      </c>
      <c r="K821" t="n">
        <v>0</v>
      </c>
      <c r="L821" t="n">
        <v>0</v>
      </c>
      <c r="M821" t="n">
        <v>0</v>
      </c>
      <c r="N821" t="n">
        <v>0</v>
      </c>
      <c r="O821" t="n">
        <v>0</v>
      </c>
      <c r="P821" t="n">
        <v>0</v>
      </c>
      <c r="Q821" t="n">
        <v>0</v>
      </c>
      <c r="R821" s="2" t="inlineStr"/>
    </row>
    <row r="822" ht="15" customHeight="1">
      <c r="A822" t="inlineStr">
        <is>
          <t>A 27041-2025</t>
        </is>
      </c>
      <c r="B822" s="1" t="n">
        <v>45811.60465277778</v>
      </c>
      <c r="C822" s="1" t="n">
        <v>45901</v>
      </c>
      <c r="D822" t="inlineStr">
        <is>
          <t>JÄMTLANDS LÄN</t>
        </is>
      </c>
      <c r="E822" t="inlineStr">
        <is>
          <t>BRÄCKE</t>
        </is>
      </c>
      <c r="G822" t="n">
        <v>2.6</v>
      </c>
      <c r="H822" t="n">
        <v>0</v>
      </c>
      <c r="I822" t="n">
        <v>0</v>
      </c>
      <c r="J822" t="n">
        <v>0</v>
      </c>
      <c r="K822" t="n">
        <v>0</v>
      </c>
      <c r="L822" t="n">
        <v>0</v>
      </c>
      <c r="M822" t="n">
        <v>0</v>
      </c>
      <c r="N822" t="n">
        <v>0</v>
      </c>
      <c r="O822" t="n">
        <v>0</v>
      </c>
      <c r="P822" t="n">
        <v>0</v>
      </c>
      <c r="Q822" t="n">
        <v>0</v>
      </c>
      <c r="R822" s="2" t="inlineStr"/>
    </row>
    <row r="823" ht="15" customHeight="1">
      <c r="A823" t="inlineStr">
        <is>
          <t>A 20513-2024</t>
        </is>
      </c>
      <c r="B823" s="1" t="n">
        <v>45435.94380787037</v>
      </c>
      <c r="C823" s="1" t="n">
        <v>45901</v>
      </c>
      <c r="D823" t="inlineStr">
        <is>
          <t>JÄMTLANDS LÄN</t>
        </is>
      </c>
      <c r="E823" t="inlineStr">
        <is>
          <t>BRÄCKE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58903-2024</t>
        </is>
      </c>
      <c r="B824" s="1" t="n">
        <v>45636.4775</v>
      </c>
      <c r="C824" s="1" t="n">
        <v>45901</v>
      </c>
      <c r="D824" t="inlineStr">
        <is>
          <t>JÄMTLANDS LÄN</t>
        </is>
      </c>
      <c r="E824" t="inlineStr">
        <is>
          <t>BRÄCKE</t>
        </is>
      </c>
      <c r="F824" t="inlineStr">
        <is>
          <t>Övriga Aktiebolag</t>
        </is>
      </c>
      <c r="G824" t="n">
        <v>2.8</v>
      </c>
      <c r="H824" t="n">
        <v>0</v>
      </c>
      <c r="I824" t="n">
        <v>0</v>
      </c>
      <c r="J824" t="n">
        <v>0</v>
      </c>
      <c r="K824" t="n">
        <v>0</v>
      </c>
      <c r="L824" t="n">
        <v>0</v>
      </c>
      <c r="M824" t="n">
        <v>0</v>
      </c>
      <c r="N824" t="n">
        <v>0</v>
      </c>
      <c r="O824" t="n">
        <v>0</v>
      </c>
      <c r="P824" t="n">
        <v>0</v>
      </c>
      <c r="Q824" t="n">
        <v>0</v>
      </c>
      <c r="R824" s="2" t="inlineStr"/>
    </row>
    <row r="825" ht="15" customHeight="1">
      <c r="A825" t="inlineStr">
        <is>
          <t>A 12864-2024</t>
        </is>
      </c>
      <c r="B825" s="1" t="n">
        <v>45384.9415625</v>
      </c>
      <c r="C825" s="1" t="n">
        <v>45901</v>
      </c>
      <c r="D825" t="inlineStr">
        <is>
          <t>JÄMTLANDS LÄN</t>
        </is>
      </c>
      <c r="E825" t="inlineStr">
        <is>
          <t>BRÄCKE</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27197-2025</t>
        </is>
      </c>
      <c r="B826" s="1" t="n">
        <v>45812.38596064815</v>
      </c>
      <c r="C826" s="1" t="n">
        <v>45901</v>
      </c>
      <c r="D826" t="inlineStr">
        <is>
          <t>JÄMTLANDS LÄN</t>
        </is>
      </c>
      <c r="E826" t="inlineStr">
        <is>
          <t>BRÄCKE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47550-2024</t>
        </is>
      </c>
      <c r="B827" s="1" t="n">
        <v>45587.66041666667</v>
      </c>
      <c r="C827" s="1" t="n">
        <v>45901</v>
      </c>
      <c r="D827" t="inlineStr">
        <is>
          <t>JÄMTLANDS LÄN</t>
        </is>
      </c>
      <c r="E827" t="inlineStr">
        <is>
          <t>BRÄCKE</t>
        </is>
      </c>
      <c r="G827" t="n">
        <v>5.3</v>
      </c>
      <c r="H827" t="n">
        <v>0</v>
      </c>
      <c r="I827" t="n">
        <v>0</v>
      </c>
      <c r="J827" t="n">
        <v>0</v>
      </c>
      <c r="K827" t="n">
        <v>0</v>
      </c>
      <c r="L827" t="n">
        <v>0</v>
      </c>
      <c r="M827" t="n">
        <v>0</v>
      </c>
      <c r="N827" t="n">
        <v>0</v>
      </c>
      <c r="O827" t="n">
        <v>0</v>
      </c>
      <c r="P827" t="n">
        <v>0</v>
      </c>
      <c r="Q827" t="n">
        <v>0</v>
      </c>
      <c r="R827" s="2" t="inlineStr"/>
    </row>
    <row r="828" ht="15" customHeight="1">
      <c r="A828" t="inlineStr">
        <is>
          <t>A 7301-2025</t>
        </is>
      </c>
      <c r="B828" s="1" t="n">
        <v>45702.65668981482</v>
      </c>
      <c r="C828" s="1" t="n">
        <v>45901</v>
      </c>
      <c r="D828" t="inlineStr">
        <is>
          <t>JÄMTLANDS LÄN</t>
        </is>
      </c>
      <c r="E828" t="inlineStr">
        <is>
          <t>BRÄCKE</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54447-2023</t>
        </is>
      </c>
      <c r="B829" s="1" t="n">
        <v>45233.44271990741</v>
      </c>
      <c r="C829" s="1" t="n">
        <v>45901</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13165-2025</t>
        </is>
      </c>
      <c r="B830" s="1" t="n">
        <v>45735.36491898148</v>
      </c>
      <c r="C830" s="1" t="n">
        <v>45901</v>
      </c>
      <c r="D830" t="inlineStr">
        <is>
          <t>JÄMTLANDS LÄN</t>
        </is>
      </c>
      <c r="E830" t="inlineStr">
        <is>
          <t>BRÄCKE</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58498-2022</t>
        </is>
      </c>
      <c r="B831" s="1" t="n">
        <v>44902.37547453704</v>
      </c>
      <c r="C831" s="1" t="n">
        <v>45901</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12900-2023</t>
        </is>
      </c>
      <c r="B832" s="1" t="n">
        <v>45001</v>
      </c>
      <c r="C832" s="1" t="n">
        <v>45901</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64495-2020</t>
        </is>
      </c>
      <c r="B833" s="1" t="n">
        <v>44168</v>
      </c>
      <c r="C833" s="1" t="n">
        <v>45901</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16372-2023</t>
        </is>
      </c>
      <c r="B834" s="1" t="n">
        <v>45028.94083333333</v>
      </c>
      <c r="C834" s="1" t="n">
        <v>45901</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27453-2025</t>
        </is>
      </c>
      <c r="B835" s="1" t="n">
        <v>45813.34454861111</v>
      </c>
      <c r="C835" s="1" t="n">
        <v>45901</v>
      </c>
      <c r="D835" t="inlineStr">
        <is>
          <t>JÄMTLANDS LÄN</t>
        </is>
      </c>
      <c r="E835" t="inlineStr">
        <is>
          <t>BRÄCKE</t>
        </is>
      </c>
      <c r="G835" t="n">
        <v>0.8</v>
      </c>
      <c r="H835" t="n">
        <v>0</v>
      </c>
      <c r="I835" t="n">
        <v>0</v>
      </c>
      <c r="J835" t="n">
        <v>0</v>
      </c>
      <c r="K835" t="n">
        <v>0</v>
      </c>
      <c r="L835" t="n">
        <v>0</v>
      </c>
      <c r="M835" t="n">
        <v>0</v>
      </c>
      <c r="N835" t="n">
        <v>0</v>
      </c>
      <c r="O835" t="n">
        <v>0</v>
      </c>
      <c r="P835" t="n">
        <v>0</v>
      </c>
      <c r="Q835" t="n">
        <v>0</v>
      </c>
      <c r="R835" s="2" t="inlineStr"/>
    </row>
    <row r="836" ht="15" customHeight="1">
      <c r="A836" t="inlineStr">
        <is>
          <t>A 52229-2024</t>
        </is>
      </c>
      <c r="B836" s="1" t="n">
        <v>45608.60803240741</v>
      </c>
      <c r="C836" s="1" t="n">
        <v>45901</v>
      </c>
      <c r="D836" t="inlineStr">
        <is>
          <t>JÄMTLANDS LÄN</t>
        </is>
      </c>
      <c r="E836" t="inlineStr">
        <is>
          <t>BRÄCKE</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59846-2024</t>
        </is>
      </c>
      <c r="B837" s="1" t="n">
        <v>45639.67769675926</v>
      </c>
      <c r="C837" s="1" t="n">
        <v>45901</v>
      </c>
      <c r="D837" t="inlineStr">
        <is>
          <t>JÄMTLANDS LÄN</t>
        </is>
      </c>
      <c r="E837" t="inlineStr">
        <is>
          <t>BRÄCKE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27516-2025</t>
        </is>
      </c>
      <c r="B838" s="1" t="n">
        <v>45813.43526620371</v>
      </c>
      <c r="C838" s="1" t="n">
        <v>45901</v>
      </c>
      <c r="D838" t="inlineStr">
        <is>
          <t>JÄMTLANDS LÄN</t>
        </is>
      </c>
      <c r="E838" t="inlineStr">
        <is>
          <t>BRÄCKE</t>
        </is>
      </c>
      <c r="G838" t="n">
        <v>0.1</v>
      </c>
      <c r="H838" t="n">
        <v>0</v>
      </c>
      <c r="I838" t="n">
        <v>0</v>
      </c>
      <c r="J838" t="n">
        <v>0</v>
      </c>
      <c r="K838" t="n">
        <v>0</v>
      </c>
      <c r="L838" t="n">
        <v>0</v>
      </c>
      <c r="M838" t="n">
        <v>0</v>
      </c>
      <c r="N838" t="n">
        <v>0</v>
      </c>
      <c r="O838" t="n">
        <v>0</v>
      </c>
      <c r="P838" t="n">
        <v>0</v>
      </c>
      <c r="Q838" t="n">
        <v>0</v>
      </c>
      <c r="R838" s="2" t="inlineStr"/>
    </row>
    <row r="839" ht="15" customHeight="1">
      <c r="A839" t="inlineStr">
        <is>
          <t>A 27542-2025</t>
        </is>
      </c>
      <c r="B839" s="1" t="n">
        <v>45813.46913194445</v>
      </c>
      <c r="C839" s="1" t="n">
        <v>45901</v>
      </c>
      <c r="D839" t="inlineStr">
        <is>
          <t>JÄMTLANDS LÄN</t>
        </is>
      </c>
      <c r="E839" t="inlineStr">
        <is>
          <t>BRÄCKE</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60150-2024</t>
        </is>
      </c>
      <c r="B840" s="1" t="n">
        <v>45639</v>
      </c>
      <c r="C840" s="1" t="n">
        <v>45901</v>
      </c>
      <c r="D840" t="inlineStr">
        <is>
          <t>JÄMTLANDS LÄN</t>
        </is>
      </c>
      <c r="E840" t="inlineStr">
        <is>
          <t>BRÄCKE</t>
        </is>
      </c>
      <c r="G840" t="n">
        <v>2.9</v>
      </c>
      <c r="H840" t="n">
        <v>0</v>
      </c>
      <c r="I840" t="n">
        <v>0</v>
      </c>
      <c r="J840" t="n">
        <v>0</v>
      </c>
      <c r="K840" t="n">
        <v>0</v>
      </c>
      <c r="L840" t="n">
        <v>0</v>
      </c>
      <c r="M840" t="n">
        <v>0</v>
      </c>
      <c r="N840" t="n">
        <v>0</v>
      </c>
      <c r="O840" t="n">
        <v>0</v>
      </c>
      <c r="P840" t="n">
        <v>0</v>
      </c>
      <c r="Q840" t="n">
        <v>0</v>
      </c>
      <c r="R840" s="2" t="inlineStr"/>
    </row>
    <row r="841" ht="15" customHeight="1">
      <c r="A841" t="inlineStr">
        <is>
          <t>A 27511-2025</t>
        </is>
      </c>
      <c r="B841" s="1" t="n">
        <v>45813.42799768518</v>
      </c>
      <c r="C841" s="1" t="n">
        <v>45901</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27546-2025</t>
        </is>
      </c>
      <c r="B842" s="1" t="n">
        <v>45813.46957175926</v>
      </c>
      <c r="C842" s="1" t="n">
        <v>45901</v>
      </c>
      <c r="D842" t="inlineStr">
        <is>
          <t>JÄMTLANDS LÄN</t>
        </is>
      </c>
      <c r="E842" t="inlineStr">
        <is>
          <t>BRÄCKE</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17097-2025</t>
        </is>
      </c>
      <c r="B843" s="1" t="n">
        <v>45755.65677083333</v>
      </c>
      <c r="C843" s="1" t="n">
        <v>45901</v>
      </c>
      <c r="D843" t="inlineStr">
        <is>
          <t>JÄMTLANDS LÄN</t>
        </is>
      </c>
      <c r="E843" t="inlineStr">
        <is>
          <t>BRÄCKE</t>
        </is>
      </c>
      <c r="F843" t="inlineStr">
        <is>
          <t>SCA</t>
        </is>
      </c>
      <c r="G843" t="n">
        <v>29.9</v>
      </c>
      <c r="H843" t="n">
        <v>0</v>
      </c>
      <c r="I843" t="n">
        <v>0</v>
      </c>
      <c r="J843" t="n">
        <v>0</v>
      </c>
      <c r="K843" t="n">
        <v>0</v>
      </c>
      <c r="L843" t="n">
        <v>0</v>
      </c>
      <c r="M843" t="n">
        <v>0</v>
      </c>
      <c r="N843" t="n">
        <v>0</v>
      </c>
      <c r="O843" t="n">
        <v>0</v>
      </c>
      <c r="P843" t="n">
        <v>0</v>
      </c>
      <c r="Q843" t="n">
        <v>0</v>
      </c>
      <c r="R843" s="2" t="inlineStr"/>
    </row>
    <row r="844" ht="15" customHeight="1">
      <c r="A844" t="inlineStr">
        <is>
          <t>A 19485-2023</t>
        </is>
      </c>
      <c r="B844" s="1" t="n">
        <v>45049</v>
      </c>
      <c r="C844" s="1" t="n">
        <v>45901</v>
      </c>
      <c r="D844" t="inlineStr">
        <is>
          <t>JÄMTLANDS LÄN</t>
        </is>
      </c>
      <c r="E844" t="inlineStr">
        <is>
          <t>BRÄCKE</t>
        </is>
      </c>
      <c r="G844" t="n">
        <v>2.6</v>
      </c>
      <c r="H844" t="n">
        <v>0</v>
      </c>
      <c r="I844" t="n">
        <v>0</v>
      </c>
      <c r="J844" t="n">
        <v>0</v>
      </c>
      <c r="K844" t="n">
        <v>0</v>
      </c>
      <c r="L844" t="n">
        <v>0</v>
      </c>
      <c r="M844" t="n">
        <v>0</v>
      </c>
      <c r="N844" t="n">
        <v>0</v>
      </c>
      <c r="O844" t="n">
        <v>0</v>
      </c>
      <c r="P844" t="n">
        <v>0</v>
      </c>
      <c r="Q844" t="n">
        <v>0</v>
      </c>
      <c r="R844" s="2" t="inlineStr"/>
    </row>
    <row r="845" ht="15" customHeight="1">
      <c r="A845" t="inlineStr">
        <is>
          <t>A 13249-2025</t>
        </is>
      </c>
      <c r="B845" s="1" t="n">
        <v>45735.48996527777</v>
      </c>
      <c r="C845" s="1" t="n">
        <v>45901</v>
      </c>
      <c r="D845" t="inlineStr">
        <is>
          <t>JÄMTLANDS LÄN</t>
        </is>
      </c>
      <c r="E845" t="inlineStr">
        <is>
          <t>BRÄCKE</t>
        </is>
      </c>
      <c r="F845" t="inlineStr">
        <is>
          <t>SCA</t>
        </is>
      </c>
      <c r="G845" t="n">
        <v>8.9</v>
      </c>
      <c r="H845" t="n">
        <v>0</v>
      </c>
      <c r="I845" t="n">
        <v>0</v>
      </c>
      <c r="J845" t="n">
        <v>0</v>
      </c>
      <c r="K845" t="n">
        <v>0</v>
      </c>
      <c r="L845" t="n">
        <v>0</v>
      </c>
      <c r="M845" t="n">
        <v>0</v>
      </c>
      <c r="N845" t="n">
        <v>0</v>
      </c>
      <c r="O845" t="n">
        <v>0</v>
      </c>
      <c r="P845" t="n">
        <v>0</v>
      </c>
      <c r="Q845" t="n">
        <v>0</v>
      </c>
      <c r="R845" s="2" t="inlineStr"/>
    </row>
    <row r="846" ht="15" customHeight="1">
      <c r="A846" t="inlineStr">
        <is>
          <t>A 67612-2020</t>
        </is>
      </c>
      <c r="B846" s="1" t="n">
        <v>44181</v>
      </c>
      <c r="C846" s="1" t="n">
        <v>45901</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5167-2025</t>
        </is>
      </c>
      <c r="B847" s="1" t="n">
        <v>45691.61539351852</v>
      </c>
      <c r="C847" s="1" t="n">
        <v>45901</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28153-2025</t>
        </is>
      </c>
      <c r="B848" s="1" t="n">
        <v>45818.35738425926</v>
      </c>
      <c r="C848" s="1" t="n">
        <v>45901</v>
      </c>
      <c r="D848" t="inlineStr">
        <is>
          <t>JÄMTLANDS LÄN</t>
        </is>
      </c>
      <c r="E848" t="inlineStr">
        <is>
          <t>BRÄCKE</t>
        </is>
      </c>
      <c r="F848" t="inlineStr">
        <is>
          <t>Övriga Aktiebolag</t>
        </is>
      </c>
      <c r="G848" t="n">
        <v>16.2</v>
      </c>
      <c r="H848" t="n">
        <v>0</v>
      </c>
      <c r="I848" t="n">
        <v>0</v>
      </c>
      <c r="J848" t="n">
        <v>0</v>
      </c>
      <c r="K848" t="n">
        <v>0</v>
      </c>
      <c r="L848" t="n">
        <v>0</v>
      </c>
      <c r="M848" t="n">
        <v>0</v>
      </c>
      <c r="N848" t="n">
        <v>0</v>
      </c>
      <c r="O848" t="n">
        <v>0</v>
      </c>
      <c r="P848" t="n">
        <v>0</v>
      </c>
      <c r="Q848" t="n">
        <v>0</v>
      </c>
      <c r="R848" s="2" t="inlineStr"/>
    </row>
    <row r="849" ht="15" customHeight="1">
      <c r="A849" t="inlineStr">
        <is>
          <t>A 35731-2025</t>
        </is>
      </c>
      <c r="B849" s="1" t="n">
        <v>45860.46923611111</v>
      </c>
      <c r="C849" s="1" t="n">
        <v>45901</v>
      </c>
      <c r="D849" t="inlineStr">
        <is>
          <t>JÄMTLANDS LÄN</t>
        </is>
      </c>
      <c r="E849" t="inlineStr">
        <is>
          <t>BRÄCKE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43123-2023</t>
        </is>
      </c>
      <c r="B850" s="1" t="n">
        <v>45182</v>
      </c>
      <c r="C850" s="1" t="n">
        <v>45901</v>
      </c>
      <c r="D850" t="inlineStr">
        <is>
          <t>JÄMTLANDS LÄN</t>
        </is>
      </c>
      <c r="E850" t="inlineStr">
        <is>
          <t>BRÄCKE</t>
        </is>
      </c>
      <c r="F850" t="inlineStr">
        <is>
          <t>Naturvårdsverket</t>
        </is>
      </c>
      <c r="G850" t="n">
        <v>9.9</v>
      </c>
      <c r="H850" t="n">
        <v>0</v>
      </c>
      <c r="I850" t="n">
        <v>0</v>
      </c>
      <c r="J850" t="n">
        <v>0</v>
      </c>
      <c r="K850" t="n">
        <v>0</v>
      </c>
      <c r="L850" t="n">
        <v>0</v>
      </c>
      <c r="M850" t="n">
        <v>0</v>
      </c>
      <c r="N850" t="n">
        <v>0</v>
      </c>
      <c r="O850" t="n">
        <v>0</v>
      </c>
      <c r="P850" t="n">
        <v>0</v>
      </c>
      <c r="Q850" t="n">
        <v>0</v>
      </c>
      <c r="R850" s="2" t="inlineStr"/>
    </row>
    <row r="851" ht="15" customHeight="1">
      <c r="A851" t="inlineStr">
        <is>
          <t>A 16317-2025</t>
        </is>
      </c>
      <c r="B851" s="1" t="n">
        <v>45751.3480787037</v>
      </c>
      <c r="C851" s="1" t="n">
        <v>45901</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41825-2024</t>
        </is>
      </c>
      <c r="B852" s="1" t="n">
        <v>45561.39943287037</v>
      </c>
      <c r="C852" s="1" t="n">
        <v>45901</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14798-2023</t>
        </is>
      </c>
      <c r="B853" s="1" t="n">
        <v>45014.61738425926</v>
      </c>
      <c r="C853" s="1" t="n">
        <v>45901</v>
      </c>
      <c r="D853" t="inlineStr">
        <is>
          <t>JÄMTLANDS LÄN</t>
        </is>
      </c>
      <c r="E853" t="inlineStr">
        <is>
          <t>BRÄCKE</t>
        </is>
      </c>
      <c r="G853" t="n">
        <v>3.5</v>
      </c>
      <c r="H853" t="n">
        <v>0</v>
      </c>
      <c r="I853" t="n">
        <v>0</v>
      </c>
      <c r="J853" t="n">
        <v>0</v>
      </c>
      <c r="K853" t="n">
        <v>0</v>
      </c>
      <c r="L853" t="n">
        <v>0</v>
      </c>
      <c r="M853" t="n">
        <v>0</v>
      </c>
      <c r="N853" t="n">
        <v>0</v>
      </c>
      <c r="O853" t="n">
        <v>0</v>
      </c>
      <c r="P853" t="n">
        <v>0</v>
      </c>
      <c r="Q853" t="n">
        <v>0</v>
      </c>
      <c r="R853" s="2" t="inlineStr"/>
    </row>
    <row r="854" ht="15" customHeight="1">
      <c r="A854" t="inlineStr">
        <is>
          <t>A 28198-2025</t>
        </is>
      </c>
      <c r="B854" s="1" t="n">
        <v>45818.43175925926</v>
      </c>
      <c r="C854" s="1" t="n">
        <v>45901</v>
      </c>
      <c r="D854" t="inlineStr">
        <is>
          <t>JÄMTLANDS LÄN</t>
        </is>
      </c>
      <c r="E854" t="inlineStr">
        <is>
          <t>BRÄCKE</t>
        </is>
      </c>
      <c r="F854" t="inlineStr">
        <is>
          <t>Övriga Aktiebolag</t>
        </is>
      </c>
      <c r="G854" t="n">
        <v>3</v>
      </c>
      <c r="H854" t="n">
        <v>0</v>
      </c>
      <c r="I854" t="n">
        <v>0</v>
      </c>
      <c r="J854" t="n">
        <v>0</v>
      </c>
      <c r="K854" t="n">
        <v>0</v>
      </c>
      <c r="L854" t="n">
        <v>0</v>
      </c>
      <c r="M854" t="n">
        <v>0</v>
      </c>
      <c r="N854" t="n">
        <v>0</v>
      </c>
      <c r="O854" t="n">
        <v>0</v>
      </c>
      <c r="P854" t="n">
        <v>0</v>
      </c>
      <c r="Q854" t="n">
        <v>0</v>
      </c>
      <c r="R854" s="2" t="inlineStr"/>
    </row>
    <row r="855" ht="15" customHeight="1">
      <c r="A855" t="inlineStr">
        <is>
          <t>A 24492-2025</t>
        </is>
      </c>
      <c r="B855" s="1" t="n">
        <v>45798.38611111111</v>
      </c>
      <c r="C855" s="1" t="n">
        <v>45901</v>
      </c>
      <c r="D855" t="inlineStr">
        <is>
          <t>JÄMTLANDS LÄN</t>
        </is>
      </c>
      <c r="E855" t="inlineStr">
        <is>
          <t>BRÄCKE</t>
        </is>
      </c>
      <c r="G855" t="n">
        <v>6.9</v>
      </c>
      <c r="H855" t="n">
        <v>0</v>
      </c>
      <c r="I855" t="n">
        <v>0</v>
      </c>
      <c r="J855" t="n">
        <v>0</v>
      </c>
      <c r="K855" t="n">
        <v>0</v>
      </c>
      <c r="L855" t="n">
        <v>0</v>
      </c>
      <c r="M855" t="n">
        <v>0</v>
      </c>
      <c r="N855" t="n">
        <v>0</v>
      </c>
      <c r="O855" t="n">
        <v>0</v>
      </c>
      <c r="P855" t="n">
        <v>0</v>
      </c>
      <c r="Q855" t="n">
        <v>0</v>
      </c>
      <c r="R855" s="2" t="inlineStr"/>
    </row>
    <row r="856" ht="15" customHeight="1">
      <c r="A856" t="inlineStr">
        <is>
          <t>A 27872-2025</t>
        </is>
      </c>
      <c r="B856" s="1" t="n">
        <v>45817.43042824074</v>
      </c>
      <c r="C856" s="1" t="n">
        <v>45901</v>
      </c>
      <c r="D856" t="inlineStr">
        <is>
          <t>JÄMTLANDS LÄN</t>
        </is>
      </c>
      <c r="E856" t="inlineStr">
        <is>
          <t>BRÄCKE</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35712-2025</t>
        </is>
      </c>
      <c r="B857" s="1" t="n">
        <v>45860.40660879629</v>
      </c>
      <c r="C857" s="1" t="n">
        <v>45901</v>
      </c>
      <c r="D857" t="inlineStr">
        <is>
          <t>JÄMTLANDS LÄN</t>
        </is>
      </c>
      <c r="E857" t="inlineStr">
        <is>
          <t>BRÄCKE</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51432-2023</t>
        </is>
      </c>
      <c r="B858" s="1" t="n">
        <v>45219.96431712963</v>
      </c>
      <c r="C858" s="1" t="n">
        <v>45901</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16462-2024</t>
        </is>
      </c>
      <c r="B859" s="1" t="n">
        <v>45408.05018518519</v>
      </c>
      <c r="C859" s="1" t="n">
        <v>45901</v>
      </c>
      <c r="D859" t="inlineStr">
        <is>
          <t>JÄMTLANDS LÄN</t>
        </is>
      </c>
      <c r="E859" t="inlineStr">
        <is>
          <t>BRÄCKE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17182-2024</t>
        </is>
      </c>
      <c r="B860" s="1" t="n">
        <v>45412.97984953703</v>
      </c>
      <c r="C860" s="1" t="n">
        <v>45901</v>
      </c>
      <c r="D860" t="inlineStr">
        <is>
          <t>JÄMTLANDS LÄN</t>
        </is>
      </c>
      <c r="E860" t="inlineStr">
        <is>
          <t>BRÄCKE</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10532-2022</t>
        </is>
      </c>
      <c r="B861" s="1" t="n">
        <v>44623</v>
      </c>
      <c r="C861" s="1" t="n">
        <v>45901</v>
      </c>
      <c r="D861" t="inlineStr">
        <is>
          <t>JÄMTLANDS LÄN</t>
        </is>
      </c>
      <c r="E861" t="inlineStr">
        <is>
          <t>BRÄCKE</t>
        </is>
      </c>
      <c r="G861" t="n">
        <v>3.1</v>
      </c>
      <c r="H861" t="n">
        <v>0</v>
      </c>
      <c r="I861" t="n">
        <v>0</v>
      </c>
      <c r="J861" t="n">
        <v>0</v>
      </c>
      <c r="K861" t="n">
        <v>0</v>
      </c>
      <c r="L861" t="n">
        <v>0</v>
      </c>
      <c r="M861" t="n">
        <v>0</v>
      </c>
      <c r="N861" t="n">
        <v>0</v>
      </c>
      <c r="O861" t="n">
        <v>0</v>
      </c>
      <c r="P861" t="n">
        <v>0</v>
      </c>
      <c r="Q861" t="n">
        <v>0</v>
      </c>
      <c r="R861" s="2" t="inlineStr"/>
    </row>
    <row r="862" ht="15" customHeight="1">
      <c r="A862" t="inlineStr">
        <is>
          <t>A 25883-2022</t>
        </is>
      </c>
      <c r="B862" s="1" t="n">
        <v>44733</v>
      </c>
      <c r="C862" s="1" t="n">
        <v>45901</v>
      </c>
      <c r="D862" t="inlineStr">
        <is>
          <t>JÄMTLANDS LÄN</t>
        </is>
      </c>
      <c r="E862" t="inlineStr">
        <is>
          <t>BRÄCKE</t>
        </is>
      </c>
      <c r="F862" t="inlineStr">
        <is>
          <t>Övriga Aktiebolag</t>
        </is>
      </c>
      <c r="G862" t="n">
        <v>23.4</v>
      </c>
      <c r="H862" t="n">
        <v>0</v>
      </c>
      <c r="I862" t="n">
        <v>0</v>
      </c>
      <c r="J862" t="n">
        <v>0</v>
      </c>
      <c r="K862" t="n">
        <v>0</v>
      </c>
      <c r="L862" t="n">
        <v>0</v>
      </c>
      <c r="M862" t="n">
        <v>0</v>
      </c>
      <c r="N862" t="n">
        <v>0</v>
      </c>
      <c r="O862" t="n">
        <v>0</v>
      </c>
      <c r="P862" t="n">
        <v>0</v>
      </c>
      <c r="Q862" t="n">
        <v>0</v>
      </c>
      <c r="R862" s="2" t="inlineStr"/>
    </row>
    <row r="863" ht="15" customHeight="1">
      <c r="A863" t="inlineStr">
        <is>
          <t>A 10369-2025</t>
        </is>
      </c>
      <c r="B863" s="1" t="n">
        <v>45720.55243055556</v>
      </c>
      <c r="C863" s="1" t="n">
        <v>45901</v>
      </c>
      <c r="D863" t="inlineStr">
        <is>
          <t>JÄMTLANDS LÄN</t>
        </is>
      </c>
      <c r="E863" t="inlineStr">
        <is>
          <t>BRÄCKE</t>
        </is>
      </c>
      <c r="F863" t="inlineStr">
        <is>
          <t>SCA</t>
        </is>
      </c>
      <c r="G863" t="n">
        <v>7.8</v>
      </c>
      <c r="H863" t="n">
        <v>0</v>
      </c>
      <c r="I863" t="n">
        <v>0</v>
      </c>
      <c r="J863" t="n">
        <v>0</v>
      </c>
      <c r="K863" t="n">
        <v>0</v>
      </c>
      <c r="L863" t="n">
        <v>0</v>
      </c>
      <c r="M863" t="n">
        <v>0</v>
      </c>
      <c r="N863" t="n">
        <v>0</v>
      </c>
      <c r="O863" t="n">
        <v>0</v>
      </c>
      <c r="P863" t="n">
        <v>0</v>
      </c>
      <c r="Q863" t="n">
        <v>0</v>
      </c>
      <c r="R863" s="2" t="inlineStr"/>
    </row>
    <row r="864" ht="15" customHeight="1">
      <c r="A864" t="inlineStr">
        <is>
          <t>A 35642-2025</t>
        </is>
      </c>
      <c r="B864" s="1" t="n">
        <v>45859.48991898148</v>
      </c>
      <c r="C864" s="1" t="n">
        <v>45901</v>
      </c>
      <c r="D864" t="inlineStr">
        <is>
          <t>JÄMTLANDS LÄN</t>
        </is>
      </c>
      <c r="E864" t="inlineStr">
        <is>
          <t>BRÄCKE</t>
        </is>
      </c>
      <c r="F864" t="inlineStr">
        <is>
          <t>SCA</t>
        </is>
      </c>
      <c r="G864" t="n">
        <v>14.3</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45818.38231481481</v>
      </c>
      <c r="C865" s="1" t="n">
        <v>45901</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5004-2023</t>
        </is>
      </c>
      <c r="B866" s="1" t="n">
        <v>44956</v>
      </c>
      <c r="C866" s="1" t="n">
        <v>45901</v>
      </c>
      <c r="D866" t="inlineStr">
        <is>
          <t>JÄMTLANDS LÄN</t>
        </is>
      </c>
      <c r="E866" t="inlineStr">
        <is>
          <t>BRÄCKE</t>
        </is>
      </c>
      <c r="G866" t="n">
        <v>1.1</v>
      </c>
      <c r="H866" t="n">
        <v>0</v>
      </c>
      <c r="I866" t="n">
        <v>0</v>
      </c>
      <c r="J866" t="n">
        <v>0</v>
      </c>
      <c r="K866" t="n">
        <v>0</v>
      </c>
      <c r="L866" t="n">
        <v>0</v>
      </c>
      <c r="M866" t="n">
        <v>0</v>
      </c>
      <c r="N866" t="n">
        <v>0</v>
      </c>
      <c r="O866" t="n">
        <v>0</v>
      </c>
      <c r="P866" t="n">
        <v>0</v>
      </c>
      <c r="Q866" t="n">
        <v>0</v>
      </c>
      <c r="R866" s="2" t="inlineStr"/>
    </row>
    <row r="867" ht="15" customHeight="1">
      <c r="A867" t="inlineStr">
        <is>
          <t>A 5169-2025</t>
        </is>
      </c>
      <c r="B867" s="1" t="n">
        <v>45691.61571759259</v>
      </c>
      <c r="C867" s="1" t="n">
        <v>45901</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28210-2025</t>
        </is>
      </c>
      <c r="B868" s="1" t="n">
        <v>45818.45143518518</v>
      </c>
      <c r="C868" s="1" t="n">
        <v>45901</v>
      </c>
      <c r="D868" t="inlineStr">
        <is>
          <t>JÄMTLANDS LÄN</t>
        </is>
      </c>
      <c r="E868" t="inlineStr">
        <is>
          <t>BRÄCKE</t>
        </is>
      </c>
      <c r="F868" t="inlineStr">
        <is>
          <t>Övriga Aktiebolag</t>
        </is>
      </c>
      <c r="G868" t="n">
        <v>2.5</v>
      </c>
      <c r="H868" t="n">
        <v>0</v>
      </c>
      <c r="I868" t="n">
        <v>0</v>
      </c>
      <c r="J868" t="n">
        <v>0</v>
      </c>
      <c r="K868" t="n">
        <v>0</v>
      </c>
      <c r="L868" t="n">
        <v>0</v>
      </c>
      <c r="M868" t="n">
        <v>0</v>
      </c>
      <c r="N868" t="n">
        <v>0</v>
      </c>
      <c r="O868" t="n">
        <v>0</v>
      </c>
      <c r="P868" t="n">
        <v>0</v>
      </c>
      <c r="Q868" t="n">
        <v>0</v>
      </c>
      <c r="R868" s="2" t="inlineStr"/>
    </row>
    <row r="869" ht="15" customHeight="1">
      <c r="A869" t="inlineStr">
        <is>
          <t>A 28323-2025</t>
        </is>
      </c>
      <c r="B869" s="1" t="n">
        <v>45818.64758101852</v>
      </c>
      <c r="C869" s="1" t="n">
        <v>45901</v>
      </c>
      <c r="D869" t="inlineStr">
        <is>
          <t>JÄMTLANDS LÄN</t>
        </is>
      </c>
      <c r="E869" t="inlineStr">
        <is>
          <t>BRÄCKE</t>
        </is>
      </c>
      <c r="G869" t="n">
        <v>6.8</v>
      </c>
      <c r="H869" t="n">
        <v>0</v>
      </c>
      <c r="I869" t="n">
        <v>0</v>
      </c>
      <c r="J869" t="n">
        <v>0</v>
      </c>
      <c r="K869" t="n">
        <v>0</v>
      </c>
      <c r="L869" t="n">
        <v>0</v>
      </c>
      <c r="M869" t="n">
        <v>0</v>
      </c>
      <c r="N869" t="n">
        <v>0</v>
      </c>
      <c r="O869" t="n">
        <v>0</v>
      </c>
      <c r="P869" t="n">
        <v>0</v>
      </c>
      <c r="Q869" t="n">
        <v>0</v>
      </c>
      <c r="R869" s="2" t="inlineStr"/>
    </row>
    <row r="870" ht="15" customHeight="1">
      <c r="A870" t="inlineStr">
        <is>
          <t>A 24490-2025</t>
        </is>
      </c>
      <c r="B870" s="1" t="n">
        <v>45798.38594907407</v>
      </c>
      <c r="C870" s="1" t="n">
        <v>45901</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35668-2025</t>
        </is>
      </c>
      <c r="B871" s="1" t="n">
        <v>45859.61552083334</v>
      </c>
      <c r="C871" s="1" t="n">
        <v>45901</v>
      </c>
      <c r="D871" t="inlineStr">
        <is>
          <t>JÄMTLANDS LÄN</t>
        </is>
      </c>
      <c r="E871" t="inlineStr">
        <is>
          <t>BRÄCKE</t>
        </is>
      </c>
      <c r="G871" t="n">
        <v>7.2</v>
      </c>
      <c r="H871" t="n">
        <v>0</v>
      </c>
      <c r="I871" t="n">
        <v>0</v>
      </c>
      <c r="J871" t="n">
        <v>0</v>
      </c>
      <c r="K871" t="n">
        <v>0</v>
      </c>
      <c r="L871" t="n">
        <v>0</v>
      </c>
      <c r="M871" t="n">
        <v>0</v>
      </c>
      <c r="N871" t="n">
        <v>0</v>
      </c>
      <c r="O871" t="n">
        <v>0</v>
      </c>
      <c r="P871" t="n">
        <v>0</v>
      </c>
      <c r="Q871" t="n">
        <v>0</v>
      </c>
      <c r="R871" s="2" t="inlineStr"/>
    </row>
    <row r="872" ht="15" customHeight="1">
      <c r="A872" t="inlineStr">
        <is>
          <t>A 59650-2024</t>
        </is>
      </c>
      <c r="B872" s="1" t="n">
        <v>45639.34488425926</v>
      </c>
      <c r="C872" s="1" t="n">
        <v>45901</v>
      </c>
      <c r="D872" t="inlineStr">
        <is>
          <t>JÄMTLANDS LÄN</t>
        </is>
      </c>
      <c r="E872" t="inlineStr">
        <is>
          <t>BRÄCKE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28289-2025</t>
        </is>
      </c>
      <c r="B873" s="1" t="n">
        <v>45818.59244212963</v>
      </c>
      <c r="C873" s="1" t="n">
        <v>45901</v>
      </c>
      <c r="D873" t="inlineStr">
        <is>
          <t>JÄMTLANDS LÄN</t>
        </is>
      </c>
      <c r="E873" t="inlineStr">
        <is>
          <t>BRÄCKE</t>
        </is>
      </c>
      <c r="F873" t="inlineStr">
        <is>
          <t>Övriga Aktiebolag</t>
        </is>
      </c>
      <c r="G873" t="n">
        <v>12.8</v>
      </c>
      <c r="H873" t="n">
        <v>0</v>
      </c>
      <c r="I873" t="n">
        <v>0</v>
      </c>
      <c r="J873" t="n">
        <v>0</v>
      </c>
      <c r="K873" t="n">
        <v>0</v>
      </c>
      <c r="L873" t="n">
        <v>0</v>
      </c>
      <c r="M873" t="n">
        <v>0</v>
      </c>
      <c r="N873" t="n">
        <v>0</v>
      </c>
      <c r="O873" t="n">
        <v>0</v>
      </c>
      <c r="P873" t="n">
        <v>0</v>
      </c>
      <c r="Q873" t="n">
        <v>0</v>
      </c>
      <c r="R873" s="2" t="inlineStr"/>
    </row>
    <row r="874" ht="15" customHeight="1">
      <c r="A874" t="inlineStr">
        <is>
          <t>A 24726-2022</t>
        </is>
      </c>
      <c r="B874" s="1" t="n">
        <v>44727</v>
      </c>
      <c r="C874" s="1" t="n">
        <v>45901</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28928-2025</t>
        </is>
      </c>
      <c r="B875" s="1" t="n">
        <v>45820.67738425926</v>
      </c>
      <c r="C875" s="1" t="n">
        <v>45901</v>
      </c>
      <c r="D875" t="inlineStr">
        <is>
          <t>JÄMTLANDS LÄN</t>
        </is>
      </c>
      <c r="E875" t="inlineStr">
        <is>
          <t>BRÄCKE</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28675-2025</t>
        </is>
      </c>
      <c r="B876" s="1" t="n">
        <v>45819.67756944444</v>
      </c>
      <c r="C876" s="1" t="n">
        <v>45901</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30685-2024</t>
        </is>
      </c>
      <c r="B877" s="1" t="n">
        <v>45495.95159722222</v>
      </c>
      <c r="C877" s="1" t="n">
        <v>45901</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5527-2025</t>
        </is>
      </c>
      <c r="B878" s="1" t="n">
        <v>45693.42859953704</v>
      </c>
      <c r="C878" s="1" t="n">
        <v>45901</v>
      </c>
      <c r="D878" t="inlineStr">
        <is>
          <t>JÄMTLANDS LÄN</t>
        </is>
      </c>
      <c r="E878" t="inlineStr">
        <is>
          <t>BRÄCKE</t>
        </is>
      </c>
      <c r="G878" t="n">
        <v>4.8</v>
      </c>
      <c r="H878" t="n">
        <v>0</v>
      </c>
      <c r="I878" t="n">
        <v>0</v>
      </c>
      <c r="J878" t="n">
        <v>0</v>
      </c>
      <c r="K878" t="n">
        <v>0</v>
      </c>
      <c r="L878" t="n">
        <v>0</v>
      </c>
      <c r="M878" t="n">
        <v>0</v>
      </c>
      <c r="N878" t="n">
        <v>0</v>
      </c>
      <c r="O878" t="n">
        <v>0</v>
      </c>
      <c r="P878" t="n">
        <v>0</v>
      </c>
      <c r="Q878" t="n">
        <v>0</v>
      </c>
      <c r="R878" s="2" t="inlineStr"/>
    </row>
    <row r="879" ht="15" customHeight="1">
      <c r="A879" t="inlineStr">
        <is>
          <t>A 48779-2023</t>
        </is>
      </c>
      <c r="B879" s="1" t="n">
        <v>45208.9496875</v>
      </c>
      <c r="C879" s="1" t="n">
        <v>45901</v>
      </c>
      <c r="D879" t="inlineStr">
        <is>
          <t>JÄMTLANDS LÄN</t>
        </is>
      </c>
      <c r="E879" t="inlineStr">
        <is>
          <t>BRÄCKE</t>
        </is>
      </c>
      <c r="F879" t="inlineStr">
        <is>
          <t>Naturvårdsverket</t>
        </is>
      </c>
      <c r="G879" t="n">
        <v>5.4</v>
      </c>
      <c r="H879" t="n">
        <v>0</v>
      </c>
      <c r="I879" t="n">
        <v>0</v>
      </c>
      <c r="J879" t="n">
        <v>0</v>
      </c>
      <c r="K879" t="n">
        <v>0</v>
      </c>
      <c r="L879" t="n">
        <v>0</v>
      </c>
      <c r="M879" t="n">
        <v>0</v>
      </c>
      <c r="N879" t="n">
        <v>0</v>
      </c>
      <c r="O879" t="n">
        <v>0</v>
      </c>
      <c r="P879" t="n">
        <v>0</v>
      </c>
      <c r="Q879" t="n">
        <v>0</v>
      </c>
      <c r="R879" s="2" t="inlineStr"/>
    </row>
    <row r="880" ht="15" customHeight="1">
      <c r="A880" t="inlineStr">
        <is>
          <t>A 28636-2025</t>
        </is>
      </c>
      <c r="B880" s="1" t="n">
        <v>45819.63576388889</v>
      </c>
      <c r="C880" s="1" t="n">
        <v>45901</v>
      </c>
      <c r="D880" t="inlineStr">
        <is>
          <t>JÄMTLANDS LÄN</t>
        </is>
      </c>
      <c r="E880" t="inlineStr">
        <is>
          <t>BRÄCKE</t>
        </is>
      </c>
      <c r="G880" t="n">
        <v>7.6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45901</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35906-2025</t>
        </is>
      </c>
      <c r="B882" s="1" t="n">
        <v>45862.51081018519</v>
      </c>
      <c r="C882" s="1" t="n">
        <v>45901</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10542-2022</t>
        </is>
      </c>
      <c r="B883" s="1" t="n">
        <v>44623.92204861111</v>
      </c>
      <c r="C883" s="1" t="n">
        <v>45901</v>
      </c>
      <c r="D883" t="inlineStr">
        <is>
          <t>JÄMTLANDS LÄN</t>
        </is>
      </c>
      <c r="E883" t="inlineStr">
        <is>
          <t>BRÄCKE</t>
        </is>
      </c>
      <c r="G883" t="n">
        <v>2.9</v>
      </c>
      <c r="H883" t="n">
        <v>0</v>
      </c>
      <c r="I883" t="n">
        <v>0</v>
      </c>
      <c r="J883" t="n">
        <v>0</v>
      </c>
      <c r="K883" t="n">
        <v>0</v>
      </c>
      <c r="L883" t="n">
        <v>0</v>
      </c>
      <c r="M883" t="n">
        <v>0</v>
      </c>
      <c r="N883" t="n">
        <v>0</v>
      </c>
      <c r="O883" t="n">
        <v>0</v>
      </c>
      <c r="P883" t="n">
        <v>0</v>
      </c>
      <c r="Q883" t="n">
        <v>0</v>
      </c>
      <c r="R883" s="2" t="inlineStr"/>
    </row>
    <row r="884" ht="15" customHeight="1">
      <c r="A884" t="inlineStr">
        <is>
          <t>A 35908-2025</t>
        </is>
      </c>
      <c r="B884" s="1" t="n">
        <v>45862.51113425926</v>
      </c>
      <c r="C884" s="1" t="n">
        <v>45901</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3840-2024</t>
        </is>
      </c>
      <c r="B885" s="1" t="n">
        <v>45321.94605324074</v>
      </c>
      <c r="C885" s="1" t="n">
        <v>45901</v>
      </c>
      <c r="D885" t="inlineStr">
        <is>
          <t>JÄMTLANDS LÄN</t>
        </is>
      </c>
      <c r="E885" t="inlineStr">
        <is>
          <t>BRÄCKE</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41450-2024</t>
        </is>
      </c>
      <c r="B886" s="1" t="n">
        <v>45560.40653935185</v>
      </c>
      <c r="C886" s="1" t="n">
        <v>45901</v>
      </c>
      <c r="D886" t="inlineStr">
        <is>
          <t>JÄMTLANDS LÄN</t>
        </is>
      </c>
      <c r="E886" t="inlineStr">
        <is>
          <t>BRÄCKE</t>
        </is>
      </c>
      <c r="G886" t="n">
        <v>7.5</v>
      </c>
      <c r="H886" t="n">
        <v>0</v>
      </c>
      <c r="I886" t="n">
        <v>0</v>
      </c>
      <c r="J886" t="n">
        <v>0</v>
      </c>
      <c r="K886" t="n">
        <v>0</v>
      </c>
      <c r="L886" t="n">
        <v>0</v>
      </c>
      <c r="M886" t="n">
        <v>0</v>
      </c>
      <c r="N886" t="n">
        <v>0</v>
      </c>
      <c r="O886" t="n">
        <v>0</v>
      </c>
      <c r="P886" t="n">
        <v>0</v>
      </c>
      <c r="Q886" t="n">
        <v>0</v>
      </c>
      <c r="R886" s="2" t="inlineStr"/>
    </row>
    <row r="887" ht="15" customHeight="1">
      <c r="A887" t="inlineStr">
        <is>
          <t>A 35879-2025</t>
        </is>
      </c>
      <c r="B887" s="1" t="n">
        <v>45862.37929398148</v>
      </c>
      <c r="C887" s="1" t="n">
        <v>45901</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35880-2025</t>
        </is>
      </c>
      <c r="B888" s="1" t="n">
        <v>45862.38334490741</v>
      </c>
      <c r="C888" s="1" t="n">
        <v>45901</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28937-2025</t>
        </is>
      </c>
      <c r="B889" s="1" t="n">
        <v>45820.69825231482</v>
      </c>
      <c r="C889" s="1" t="n">
        <v>45901</v>
      </c>
      <c r="D889" t="inlineStr">
        <is>
          <t>JÄMTLANDS LÄN</t>
        </is>
      </c>
      <c r="E889" t="inlineStr">
        <is>
          <t>BRÄCKE</t>
        </is>
      </c>
      <c r="F889" t="inlineStr">
        <is>
          <t>SCA</t>
        </is>
      </c>
      <c r="G889" t="n">
        <v>11.5</v>
      </c>
      <c r="H889" t="n">
        <v>0</v>
      </c>
      <c r="I889" t="n">
        <v>0</v>
      </c>
      <c r="J889" t="n">
        <v>0</v>
      </c>
      <c r="K889" t="n">
        <v>0</v>
      </c>
      <c r="L889" t="n">
        <v>0</v>
      </c>
      <c r="M889" t="n">
        <v>0</v>
      </c>
      <c r="N889" t="n">
        <v>0</v>
      </c>
      <c r="O889" t="n">
        <v>0</v>
      </c>
      <c r="P889" t="n">
        <v>0</v>
      </c>
      <c r="Q889" t="n">
        <v>0</v>
      </c>
      <c r="R889" s="2" t="inlineStr"/>
    </row>
    <row r="890" ht="15" customHeight="1">
      <c r="A890" t="inlineStr">
        <is>
          <t>A 28656-2025</t>
        </is>
      </c>
      <c r="B890" s="1" t="n">
        <v>45819.65671296296</v>
      </c>
      <c r="C890" s="1" t="n">
        <v>45901</v>
      </c>
      <c r="D890" t="inlineStr">
        <is>
          <t>JÄMTLANDS LÄN</t>
        </is>
      </c>
      <c r="E890" t="inlineStr">
        <is>
          <t>BRÄCKE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58461-2023</t>
        </is>
      </c>
      <c r="B891" s="1" t="n">
        <v>45250</v>
      </c>
      <c r="C891" s="1" t="n">
        <v>45901</v>
      </c>
      <c r="D891" t="inlineStr">
        <is>
          <t>JÄMTLANDS LÄN</t>
        </is>
      </c>
      <c r="E891" t="inlineStr">
        <is>
          <t>BRÄCKE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29021-2025</t>
        </is>
      </c>
      <c r="B892" s="1" t="n">
        <v>45821.42736111111</v>
      </c>
      <c r="C892" s="1" t="n">
        <v>45901</v>
      </c>
      <c r="D892" t="inlineStr">
        <is>
          <t>JÄMTLANDS LÄN</t>
        </is>
      </c>
      <c r="E892" t="inlineStr">
        <is>
          <t>BRÄCKE</t>
        </is>
      </c>
      <c r="G892" t="n">
        <v>4.1</v>
      </c>
      <c r="H892" t="n">
        <v>0</v>
      </c>
      <c r="I892" t="n">
        <v>0</v>
      </c>
      <c r="J892" t="n">
        <v>0</v>
      </c>
      <c r="K892" t="n">
        <v>0</v>
      </c>
      <c r="L892" t="n">
        <v>0</v>
      </c>
      <c r="M892" t="n">
        <v>0</v>
      </c>
      <c r="N892" t="n">
        <v>0</v>
      </c>
      <c r="O892" t="n">
        <v>0</v>
      </c>
      <c r="P892" t="n">
        <v>0</v>
      </c>
      <c r="Q892" t="n">
        <v>0</v>
      </c>
      <c r="R892" s="2" t="inlineStr"/>
    </row>
    <row r="893" ht="15" customHeight="1">
      <c r="A893" t="inlineStr">
        <is>
          <t>A 5618-2025</t>
        </is>
      </c>
      <c r="B893" s="1" t="n">
        <v>45693.61509259259</v>
      </c>
      <c r="C893" s="1" t="n">
        <v>45901</v>
      </c>
      <c r="D893" t="inlineStr">
        <is>
          <t>JÄMTLANDS LÄN</t>
        </is>
      </c>
      <c r="E893" t="inlineStr">
        <is>
          <t>BRÄCKE</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29124-2025</t>
        </is>
      </c>
      <c r="B894" s="1" t="n">
        <v>45821.59456018519</v>
      </c>
      <c r="C894" s="1" t="n">
        <v>45901</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5621-2025</t>
        </is>
      </c>
      <c r="B895" s="1" t="n">
        <v>45693.6357175926</v>
      </c>
      <c r="C895" s="1" t="n">
        <v>45901</v>
      </c>
      <c r="D895" t="inlineStr">
        <is>
          <t>JÄMTLANDS LÄN</t>
        </is>
      </c>
      <c r="E895" t="inlineStr">
        <is>
          <t>BRÄCKE</t>
        </is>
      </c>
      <c r="F895" t="inlineStr">
        <is>
          <t>SCA</t>
        </is>
      </c>
      <c r="G895" t="n">
        <v>8.4</v>
      </c>
      <c r="H895" t="n">
        <v>0</v>
      </c>
      <c r="I895" t="n">
        <v>0</v>
      </c>
      <c r="J895" t="n">
        <v>0</v>
      </c>
      <c r="K895" t="n">
        <v>0</v>
      </c>
      <c r="L895" t="n">
        <v>0</v>
      </c>
      <c r="M895" t="n">
        <v>0</v>
      </c>
      <c r="N895" t="n">
        <v>0</v>
      </c>
      <c r="O895" t="n">
        <v>0</v>
      </c>
      <c r="P895" t="n">
        <v>0</v>
      </c>
      <c r="Q895" t="n">
        <v>0</v>
      </c>
      <c r="R895" s="2" t="inlineStr"/>
    </row>
    <row r="896" ht="15" customHeight="1">
      <c r="A896" t="inlineStr">
        <is>
          <t>A 29038-2025</t>
        </is>
      </c>
      <c r="B896" s="1" t="n">
        <v>45821.44832175926</v>
      </c>
      <c r="C896" s="1" t="n">
        <v>45901</v>
      </c>
      <c r="D896" t="inlineStr">
        <is>
          <t>JÄMTLANDS LÄN</t>
        </is>
      </c>
      <c r="E896" t="inlineStr">
        <is>
          <t>BRÄCKE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45901</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17601-2025</t>
        </is>
      </c>
      <c r="B898" s="1" t="n">
        <v>45757.71991898148</v>
      </c>
      <c r="C898" s="1" t="n">
        <v>45901</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36034-2025</t>
        </is>
      </c>
      <c r="B899" s="1" t="n">
        <v>45865.64755787037</v>
      </c>
      <c r="C899" s="1" t="n">
        <v>45901</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45901</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28972-2025</t>
        </is>
      </c>
      <c r="B901" s="1" t="n">
        <v>45821.34505787037</v>
      </c>
      <c r="C901" s="1" t="n">
        <v>45901</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49399-2024</t>
        </is>
      </c>
      <c r="B902" s="1" t="n">
        <v>45595.67138888889</v>
      </c>
      <c r="C902" s="1" t="n">
        <v>45901</v>
      </c>
      <c r="D902" t="inlineStr">
        <is>
          <t>JÄMTLANDS LÄN</t>
        </is>
      </c>
      <c r="E902" t="inlineStr">
        <is>
          <t>BRÄCKE</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49400-2024</t>
        </is>
      </c>
      <c r="B903" s="1" t="n">
        <v>45595.67152777778</v>
      </c>
      <c r="C903" s="1" t="n">
        <v>45901</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29431-2025</t>
        </is>
      </c>
      <c r="B904" s="1" t="n">
        <v>45824.65053240741</v>
      </c>
      <c r="C904" s="1" t="n">
        <v>45901</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29091-2025</t>
        </is>
      </c>
      <c r="B905" s="1" t="n">
        <v>45821.55241898148</v>
      </c>
      <c r="C905" s="1" t="n">
        <v>45901</v>
      </c>
      <c r="D905" t="inlineStr">
        <is>
          <t>JÄMTLANDS LÄN</t>
        </is>
      </c>
      <c r="E905" t="inlineStr">
        <is>
          <t>BRÄCKE</t>
        </is>
      </c>
      <c r="F905" t="inlineStr">
        <is>
          <t>SCA</t>
        </is>
      </c>
      <c r="G905" t="n">
        <v>13.8</v>
      </c>
      <c r="H905" t="n">
        <v>0</v>
      </c>
      <c r="I905" t="n">
        <v>0</v>
      </c>
      <c r="J905" t="n">
        <v>0</v>
      </c>
      <c r="K905" t="n">
        <v>0</v>
      </c>
      <c r="L905" t="n">
        <v>0</v>
      </c>
      <c r="M905" t="n">
        <v>0</v>
      </c>
      <c r="N905" t="n">
        <v>0</v>
      </c>
      <c r="O905" t="n">
        <v>0</v>
      </c>
      <c r="P905" t="n">
        <v>0</v>
      </c>
      <c r="Q905" t="n">
        <v>0</v>
      </c>
      <c r="R905" s="2" t="inlineStr"/>
    </row>
    <row r="906" ht="15" customHeight="1">
      <c r="A906" t="inlineStr">
        <is>
          <t>A 29909-2025</t>
        </is>
      </c>
      <c r="B906" s="1" t="n">
        <v>45826.40671296296</v>
      </c>
      <c r="C906" s="1" t="n">
        <v>45901</v>
      </c>
      <c r="D906" t="inlineStr">
        <is>
          <t>JÄMTLANDS LÄN</t>
        </is>
      </c>
      <c r="E906" t="inlineStr">
        <is>
          <t>BRÄCKE</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35880-2023</t>
        </is>
      </c>
      <c r="B907" s="1" t="n">
        <v>45148</v>
      </c>
      <c r="C907" s="1" t="n">
        <v>45901</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25895-2023</t>
        </is>
      </c>
      <c r="B908" s="1" t="n">
        <v>45085</v>
      </c>
      <c r="C908" s="1" t="n">
        <v>45901</v>
      </c>
      <c r="D908" t="inlineStr">
        <is>
          <t>JÄMTLANDS LÄN</t>
        </is>
      </c>
      <c r="E908" t="inlineStr">
        <is>
          <t>BRÄCKE</t>
        </is>
      </c>
      <c r="G908" t="n">
        <v>4.7</v>
      </c>
      <c r="H908" t="n">
        <v>0</v>
      </c>
      <c r="I908" t="n">
        <v>0</v>
      </c>
      <c r="J908" t="n">
        <v>0</v>
      </c>
      <c r="K908" t="n">
        <v>0</v>
      </c>
      <c r="L908" t="n">
        <v>0</v>
      </c>
      <c r="M908" t="n">
        <v>0</v>
      </c>
      <c r="N908" t="n">
        <v>0</v>
      </c>
      <c r="O908" t="n">
        <v>0</v>
      </c>
      <c r="P908" t="n">
        <v>0</v>
      </c>
      <c r="Q908" t="n">
        <v>0</v>
      </c>
      <c r="R908" s="2" t="inlineStr"/>
    </row>
    <row r="909" ht="15" customHeight="1">
      <c r="A909" t="inlineStr">
        <is>
          <t>A 35424-2023</t>
        </is>
      </c>
      <c r="B909" s="1" t="n">
        <v>45146.6240625</v>
      </c>
      <c r="C909" s="1" t="n">
        <v>45901</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29763-2025</t>
        </is>
      </c>
      <c r="B910" s="1" t="n">
        <v>45825.61837962963</v>
      </c>
      <c r="C910" s="1" t="n">
        <v>45901</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45722-2024</t>
        </is>
      </c>
      <c r="B911" s="1" t="n">
        <v>45579.59447916667</v>
      </c>
      <c r="C911" s="1" t="n">
        <v>45901</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53113-2022</t>
        </is>
      </c>
      <c r="B912" s="1" t="n">
        <v>44873</v>
      </c>
      <c r="C912" s="1" t="n">
        <v>45901</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36223-2025</t>
        </is>
      </c>
      <c r="B913" s="1" t="n">
        <v>45867.51101851852</v>
      </c>
      <c r="C913" s="1" t="n">
        <v>45901</v>
      </c>
      <c r="D913" t="inlineStr">
        <is>
          <t>JÄMTLANDS LÄN</t>
        </is>
      </c>
      <c r="E913" t="inlineStr">
        <is>
          <t>BRÄCKE</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30014-2025</t>
        </is>
      </c>
      <c r="B914" s="1" t="n">
        <v>45826.55246527777</v>
      </c>
      <c r="C914" s="1" t="n">
        <v>45901</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30016-2025</t>
        </is>
      </c>
      <c r="B915" s="1" t="n">
        <v>45826.55288194444</v>
      </c>
      <c r="C915" s="1" t="n">
        <v>45901</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29996-2025</t>
        </is>
      </c>
      <c r="B916" s="1" t="n">
        <v>45826.51090277778</v>
      </c>
      <c r="C916" s="1" t="n">
        <v>45901</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29534-2025</t>
        </is>
      </c>
      <c r="B917" s="1" t="n">
        <v>45825.34476851852</v>
      </c>
      <c r="C917" s="1" t="n">
        <v>45901</v>
      </c>
      <c r="D917" t="inlineStr">
        <is>
          <t>JÄMTLANDS LÄN</t>
        </is>
      </c>
      <c r="E917" t="inlineStr">
        <is>
          <t>BRÄCKE</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19996-2024</t>
        </is>
      </c>
      <c r="B918" s="1" t="n">
        <v>45433.92756944444</v>
      </c>
      <c r="C918" s="1" t="n">
        <v>45901</v>
      </c>
      <c r="D918" t="inlineStr">
        <is>
          <t>JÄMTLANDS LÄN</t>
        </is>
      </c>
      <c r="E918" t="inlineStr">
        <is>
          <t>BRÄCKE</t>
        </is>
      </c>
      <c r="G918" t="n">
        <v>1.1</v>
      </c>
      <c r="H918" t="n">
        <v>0</v>
      </c>
      <c r="I918" t="n">
        <v>0</v>
      </c>
      <c r="J918" t="n">
        <v>0</v>
      </c>
      <c r="K918" t="n">
        <v>0</v>
      </c>
      <c r="L918" t="n">
        <v>0</v>
      </c>
      <c r="M918" t="n">
        <v>0</v>
      </c>
      <c r="N918" t="n">
        <v>0</v>
      </c>
      <c r="O918" t="n">
        <v>0</v>
      </c>
      <c r="P918" t="n">
        <v>0</v>
      </c>
      <c r="Q918" t="n">
        <v>0</v>
      </c>
      <c r="R918" s="2" t="inlineStr"/>
    </row>
    <row r="919" ht="15" customHeight="1">
      <c r="A919" t="inlineStr">
        <is>
          <t>A 36311-2025</t>
        </is>
      </c>
      <c r="B919" s="1" t="n">
        <v>45868.34434027778</v>
      </c>
      <c r="C919" s="1" t="n">
        <v>45901</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56732-2022</t>
        </is>
      </c>
      <c r="B920" s="1" t="n">
        <v>44893.94966435185</v>
      </c>
      <c r="C920" s="1" t="n">
        <v>45901</v>
      </c>
      <c r="D920" t="inlineStr">
        <is>
          <t>JÄMTLANDS LÄN</t>
        </is>
      </c>
      <c r="E920" t="inlineStr">
        <is>
          <t>BRÄCKE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11331-2024</t>
        </is>
      </c>
      <c r="B921" s="1" t="n">
        <v>45372.04696759259</v>
      </c>
      <c r="C921" s="1" t="n">
        <v>45901</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9467-2025</t>
        </is>
      </c>
      <c r="B922" s="1" t="n">
        <v>45715.46903935185</v>
      </c>
      <c r="C922" s="1" t="n">
        <v>45901</v>
      </c>
      <c r="D922" t="inlineStr">
        <is>
          <t>JÄMTLANDS LÄN</t>
        </is>
      </c>
      <c r="E922" t="inlineStr">
        <is>
          <t>BRÄCKE</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4857-2025</t>
        </is>
      </c>
      <c r="B923" s="1" t="n">
        <v>45688.67418981482</v>
      </c>
      <c r="C923" s="1" t="n">
        <v>45901</v>
      </c>
      <c r="D923" t="inlineStr">
        <is>
          <t>JÄMTLANDS LÄN</t>
        </is>
      </c>
      <c r="E923" t="inlineStr">
        <is>
          <t>BRÄCKE</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9386-2025</t>
        </is>
      </c>
      <c r="B924" s="1" t="n">
        <v>45715.34450231482</v>
      </c>
      <c r="C924" s="1" t="n">
        <v>45901</v>
      </c>
      <c r="D924" t="inlineStr">
        <is>
          <t>JÄMTLANDS LÄN</t>
        </is>
      </c>
      <c r="E924" t="inlineStr">
        <is>
          <t>BRÄCKE</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31517-2024</t>
        </is>
      </c>
      <c r="B925" s="1" t="n">
        <v>45505</v>
      </c>
      <c r="C925" s="1" t="n">
        <v>45901</v>
      </c>
      <c r="D925" t="inlineStr">
        <is>
          <t>JÄMTLANDS LÄN</t>
        </is>
      </c>
      <c r="E925" t="inlineStr">
        <is>
          <t>BRÄCKE</t>
        </is>
      </c>
      <c r="F925" t="inlineStr">
        <is>
          <t>SCA</t>
        </is>
      </c>
      <c r="G925" t="n">
        <v>0.3</v>
      </c>
      <c r="H925" t="n">
        <v>0</v>
      </c>
      <c r="I925" t="n">
        <v>0</v>
      </c>
      <c r="J925" t="n">
        <v>0</v>
      </c>
      <c r="K925" t="n">
        <v>0</v>
      </c>
      <c r="L925" t="n">
        <v>0</v>
      </c>
      <c r="M925" t="n">
        <v>0</v>
      </c>
      <c r="N925" t="n">
        <v>0</v>
      </c>
      <c r="O925" t="n">
        <v>0</v>
      </c>
      <c r="P925" t="n">
        <v>0</v>
      </c>
      <c r="Q925" t="n">
        <v>0</v>
      </c>
      <c r="R925" s="2" t="inlineStr"/>
    </row>
    <row r="926" ht="15" customHeight="1">
      <c r="A926" t="inlineStr">
        <is>
          <t>A 55221-2024</t>
        </is>
      </c>
      <c r="B926" s="1" t="n">
        <v>45621.57369212963</v>
      </c>
      <c r="C926" s="1" t="n">
        <v>45901</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36386-2025</t>
        </is>
      </c>
      <c r="B927" s="1" t="n">
        <v>45868.59412037037</v>
      </c>
      <c r="C927" s="1" t="n">
        <v>45901</v>
      </c>
      <c r="D927" t="inlineStr">
        <is>
          <t>JÄMTLANDS LÄN</t>
        </is>
      </c>
      <c r="E927" t="inlineStr">
        <is>
          <t>BRÄCKE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36169-2025</t>
        </is>
      </c>
      <c r="B928" s="1" t="n">
        <v>45867.38596064815</v>
      </c>
      <c r="C928" s="1" t="n">
        <v>45901</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36222-2025</t>
        </is>
      </c>
      <c r="B929" s="1" t="n">
        <v>45867.51087962963</v>
      </c>
      <c r="C929" s="1" t="n">
        <v>45901</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57414-2023</t>
        </is>
      </c>
      <c r="B930" s="1" t="n">
        <v>45245.96939814815</v>
      </c>
      <c r="C930" s="1" t="n">
        <v>45901</v>
      </c>
      <c r="D930" t="inlineStr">
        <is>
          <t>JÄMTLANDS LÄN</t>
        </is>
      </c>
      <c r="E930" t="inlineStr">
        <is>
          <t>BRÄCKE</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30310-2025</t>
        </is>
      </c>
      <c r="B931" s="1" t="n">
        <v>45827.48996527777</v>
      </c>
      <c r="C931" s="1" t="n">
        <v>45901</v>
      </c>
      <c r="D931" t="inlineStr">
        <is>
          <t>JÄMTLANDS LÄN</t>
        </is>
      </c>
      <c r="E931" t="inlineStr">
        <is>
          <t>BRÄCKE</t>
        </is>
      </c>
      <c r="F931" t="inlineStr">
        <is>
          <t>SCA</t>
        </is>
      </c>
      <c r="G931" t="n">
        <v>6.4</v>
      </c>
      <c r="H931" t="n">
        <v>0</v>
      </c>
      <c r="I931" t="n">
        <v>0</v>
      </c>
      <c r="J931" t="n">
        <v>0</v>
      </c>
      <c r="K931" t="n">
        <v>0</v>
      </c>
      <c r="L931" t="n">
        <v>0</v>
      </c>
      <c r="M931" t="n">
        <v>0</v>
      </c>
      <c r="N931" t="n">
        <v>0</v>
      </c>
      <c r="O931" t="n">
        <v>0</v>
      </c>
      <c r="P931" t="n">
        <v>0</v>
      </c>
      <c r="Q931" t="n">
        <v>0</v>
      </c>
      <c r="R931" s="2" t="inlineStr"/>
    </row>
    <row r="932" ht="15" customHeight="1">
      <c r="A932" t="inlineStr">
        <is>
          <t>A 30317-2025</t>
        </is>
      </c>
      <c r="B932" s="1" t="n">
        <v>45827.49087962963</v>
      </c>
      <c r="C932" s="1" t="n">
        <v>45901</v>
      </c>
      <c r="D932" t="inlineStr">
        <is>
          <t>JÄMTLANDS LÄN</t>
        </is>
      </c>
      <c r="E932" t="inlineStr">
        <is>
          <t>BRÄCKE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45901</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51827-2023</t>
        </is>
      </c>
      <c r="B934" s="1" t="n">
        <v>45222.96791666667</v>
      </c>
      <c r="C934" s="1" t="n">
        <v>45901</v>
      </c>
      <c r="D934" t="inlineStr">
        <is>
          <t>JÄMTLANDS LÄN</t>
        </is>
      </c>
      <c r="E934" t="inlineStr">
        <is>
          <t>BRÄCKE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30393-2025</t>
        </is>
      </c>
      <c r="B935" s="1" t="n">
        <v>45827.57416666667</v>
      </c>
      <c r="C935" s="1" t="n">
        <v>45901</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41831-2024</t>
        </is>
      </c>
      <c r="B936" s="1" t="n">
        <v>45561.40703703704</v>
      </c>
      <c r="C936" s="1" t="n">
        <v>45901</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18984-2022</t>
        </is>
      </c>
      <c r="B937" s="1" t="n">
        <v>44690</v>
      </c>
      <c r="C937" s="1" t="n">
        <v>45901</v>
      </c>
      <c r="D937" t="inlineStr">
        <is>
          <t>JÄMTLANDS LÄN</t>
        </is>
      </c>
      <c r="E937" t="inlineStr">
        <is>
          <t>BRÄCKE</t>
        </is>
      </c>
      <c r="G937" t="n">
        <v>2.7</v>
      </c>
      <c r="H937" t="n">
        <v>0</v>
      </c>
      <c r="I937" t="n">
        <v>0</v>
      </c>
      <c r="J937" t="n">
        <v>0</v>
      </c>
      <c r="K937" t="n">
        <v>0</v>
      </c>
      <c r="L937" t="n">
        <v>0</v>
      </c>
      <c r="M937" t="n">
        <v>0</v>
      </c>
      <c r="N937" t="n">
        <v>0</v>
      </c>
      <c r="O937" t="n">
        <v>0</v>
      </c>
      <c r="P937" t="n">
        <v>0</v>
      </c>
      <c r="Q937" t="n">
        <v>0</v>
      </c>
      <c r="R937" s="2" t="inlineStr"/>
    </row>
    <row r="938" ht="15" customHeight="1">
      <c r="A938" t="inlineStr">
        <is>
          <t>A 30424-2025</t>
        </is>
      </c>
      <c r="B938" s="1" t="n">
        <v>45827.61495370371</v>
      </c>
      <c r="C938" s="1" t="n">
        <v>45901</v>
      </c>
      <c r="D938" t="inlineStr">
        <is>
          <t>JÄMTLANDS LÄN</t>
        </is>
      </c>
      <c r="E938" t="inlineStr">
        <is>
          <t>BRÄCKE</t>
        </is>
      </c>
      <c r="G938" t="n">
        <v>0.4</v>
      </c>
      <c r="H938" t="n">
        <v>0</v>
      </c>
      <c r="I938" t="n">
        <v>0</v>
      </c>
      <c r="J938" t="n">
        <v>0</v>
      </c>
      <c r="K938" t="n">
        <v>0</v>
      </c>
      <c r="L938" t="n">
        <v>0</v>
      </c>
      <c r="M938" t="n">
        <v>0</v>
      </c>
      <c r="N938" t="n">
        <v>0</v>
      </c>
      <c r="O938" t="n">
        <v>0</v>
      </c>
      <c r="P938" t="n">
        <v>0</v>
      </c>
      <c r="Q938" t="n">
        <v>0</v>
      </c>
      <c r="R938" s="2" t="inlineStr"/>
    </row>
    <row r="939" ht="15" customHeight="1">
      <c r="A939" t="inlineStr">
        <is>
          <t>A 6399-2021</t>
        </is>
      </c>
      <c r="B939" s="1" t="n">
        <v>44232</v>
      </c>
      <c r="C939" s="1" t="n">
        <v>45901</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59416-2023</t>
        </is>
      </c>
      <c r="B940" s="1" t="n">
        <v>45253</v>
      </c>
      <c r="C940" s="1" t="n">
        <v>45901</v>
      </c>
      <c r="D940" t="inlineStr">
        <is>
          <t>JÄMTLANDS LÄN</t>
        </is>
      </c>
      <c r="E940" t="inlineStr">
        <is>
          <t>BRÄCKE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30391-2025</t>
        </is>
      </c>
      <c r="B941" s="1" t="n">
        <v>45827.57387731481</v>
      </c>
      <c r="C941" s="1" t="n">
        <v>45901</v>
      </c>
      <c r="D941" t="inlineStr">
        <is>
          <t>JÄMTLANDS LÄN</t>
        </is>
      </c>
      <c r="E941" t="inlineStr">
        <is>
          <t>BRÄCKE</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30425-2025</t>
        </is>
      </c>
      <c r="B942" s="1" t="n">
        <v>45827.61511574074</v>
      </c>
      <c r="C942" s="1" t="n">
        <v>45901</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36507-2025</t>
        </is>
      </c>
      <c r="B943" s="1" t="n">
        <v>45869.57335648148</v>
      </c>
      <c r="C943" s="1" t="n">
        <v>45901</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30392-2025</t>
        </is>
      </c>
      <c r="B944" s="1" t="n">
        <v>45827.5740162037</v>
      </c>
      <c r="C944" s="1" t="n">
        <v>45901</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45901</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56895-2021</t>
        </is>
      </c>
      <c r="B946" s="1" t="n">
        <v>44481.92086805555</v>
      </c>
      <c r="C946" s="1" t="n">
        <v>45901</v>
      </c>
      <c r="D946" t="inlineStr">
        <is>
          <t>JÄMTLANDS LÄN</t>
        </is>
      </c>
      <c r="E946" t="inlineStr">
        <is>
          <t>BRÄCKE</t>
        </is>
      </c>
      <c r="G946" t="n">
        <v>1.6</v>
      </c>
      <c r="H946" t="n">
        <v>0</v>
      </c>
      <c r="I946" t="n">
        <v>0</v>
      </c>
      <c r="J946" t="n">
        <v>0</v>
      </c>
      <c r="K946" t="n">
        <v>0</v>
      </c>
      <c r="L946" t="n">
        <v>0</v>
      </c>
      <c r="M946" t="n">
        <v>0</v>
      </c>
      <c r="N946" t="n">
        <v>0</v>
      </c>
      <c r="O946" t="n">
        <v>0</v>
      </c>
      <c r="P946" t="n">
        <v>0</v>
      </c>
      <c r="Q946" t="n">
        <v>0</v>
      </c>
      <c r="R946" s="2" t="inlineStr"/>
    </row>
    <row r="947" ht="15" customHeight="1">
      <c r="A947" t="inlineStr">
        <is>
          <t>A 53578-2024</t>
        </is>
      </c>
      <c r="B947" s="1" t="n">
        <v>45614</v>
      </c>
      <c r="C947" s="1" t="n">
        <v>45901</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36508-2025</t>
        </is>
      </c>
      <c r="B948" s="1" t="n">
        <v>45869.57351851852</v>
      </c>
      <c r="C948" s="1" t="n">
        <v>45901</v>
      </c>
      <c r="D948" t="inlineStr">
        <is>
          <t>JÄMTLANDS LÄN</t>
        </is>
      </c>
      <c r="E948" t="inlineStr">
        <is>
          <t>BRÄCKE</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22980-2024</t>
        </is>
      </c>
      <c r="B949" s="1" t="n">
        <v>45449.90008101852</v>
      </c>
      <c r="C949" s="1" t="n">
        <v>45901</v>
      </c>
      <c r="D949" t="inlineStr">
        <is>
          <t>JÄMTLANDS LÄN</t>
        </is>
      </c>
      <c r="E949" t="inlineStr">
        <is>
          <t>BRÄCKE</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36534-2025</t>
        </is>
      </c>
      <c r="B950" s="1" t="n">
        <v>45869.61495370371</v>
      </c>
      <c r="C950" s="1" t="n">
        <v>45901</v>
      </c>
      <c r="D950" t="inlineStr">
        <is>
          <t>JÄMTLANDS LÄN</t>
        </is>
      </c>
      <c r="E950" t="inlineStr">
        <is>
          <t>BRÄCKE</t>
        </is>
      </c>
      <c r="F950" t="inlineStr">
        <is>
          <t>SCA</t>
        </is>
      </c>
      <c r="G950" t="n">
        <v>22.1</v>
      </c>
      <c r="H950" t="n">
        <v>0</v>
      </c>
      <c r="I950" t="n">
        <v>0</v>
      </c>
      <c r="J950" t="n">
        <v>0</v>
      </c>
      <c r="K950" t="n">
        <v>0</v>
      </c>
      <c r="L950" t="n">
        <v>0</v>
      </c>
      <c r="M950" t="n">
        <v>0</v>
      </c>
      <c r="N950" t="n">
        <v>0</v>
      </c>
      <c r="O950" t="n">
        <v>0</v>
      </c>
      <c r="P950" t="n">
        <v>0</v>
      </c>
      <c r="Q950" t="n">
        <v>0</v>
      </c>
      <c r="R950" s="2" t="inlineStr"/>
    </row>
    <row r="951" ht="15" customHeight="1">
      <c r="A951" t="inlineStr">
        <is>
          <t>A 7123-2025</t>
        </is>
      </c>
      <c r="B951" s="1" t="n">
        <v>45702.34427083333</v>
      </c>
      <c r="C951" s="1" t="n">
        <v>45901</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3020-2023</t>
        </is>
      </c>
      <c r="B952" s="1" t="n">
        <v>44945.9396412037</v>
      </c>
      <c r="C952" s="1" t="n">
        <v>45901</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30313-2025</t>
        </is>
      </c>
      <c r="B953" s="1" t="n">
        <v>45827.49033564814</v>
      </c>
      <c r="C953" s="1" t="n">
        <v>45901</v>
      </c>
      <c r="D953" t="inlineStr">
        <is>
          <t>JÄMTLANDS LÄN</t>
        </is>
      </c>
      <c r="E953" t="inlineStr">
        <is>
          <t>BRÄCKE</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6707-2025</t>
        </is>
      </c>
      <c r="B954" s="1" t="n">
        <v>45700.55247685185</v>
      </c>
      <c r="C954" s="1" t="n">
        <v>45901</v>
      </c>
      <c r="D954" t="inlineStr">
        <is>
          <t>JÄMTLANDS LÄN</t>
        </is>
      </c>
      <c r="E954" t="inlineStr">
        <is>
          <t>BRÄCKE</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18982-2025</t>
        </is>
      </c>
      <c r="B955" s="1" t="n">
        <v>45764.55288194444</v>
      </c>
      <c r="C955" s="1" t="n">
        <v>45901</v>
      </c>
      <c r="D955" t="inlineStr">
        <is>
          <t>JÄMTLANDS LÄN</t>
        </is>
      </c>
      <c r="E955" t="inlineStr">
        <is>
          <t>BRÄCKE</t>
        </is>
      </c>
      <c r="F955" t="inlineStr">
        <is>
          <t>SCA</t>
        </is>
      </c>
      <c r="G955" t="n">
        <v>10.3</v>
      </c>
      <c r="H955" t="n">
        <v>0</v>
      </c>
      <c r="I955" t="n">
        <v>0</v>
      </c>
      <c r="J955" t="n">
        <v>0</v>
      </c>
      <c r="K955" t="n">
        <v>0</v>
      </c>
      <c r="L955" t="n">
        <v>0</v>
      </c>
      <c r="M955" t="n">
        <v>0</v>
      </c>
      <c r="N955" t="n">
        <v>0</v>
      </c>
      <c r="O955" t="n">
        <v>0</v>
      </c>
      <c r="P955" t="n">
        <v>0</v>
      </c>
      <c r="Q955" t="n">
        <v>0</v>
      </c>
      <c r="R955" s="2" t="inlineStr"/>
    </row>
    <row r="956" ht="15" customHeight="1">
      <c r="A956" t="inlineStr">
        <is>
          <t>A 3032-2023</t>
        </is>
      </c>
      <c r="B956" s="1" t="n">
        <v>44945.9412962963</v>
      </c>
      <c r="C956" s="1" t="n">
        <v>45901</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48900-2023</t>
        </is>
      </c>
      <c r="B957" s="1" t="n">
        <v>45209</v>
      </c>
      <c r="C957" s="1" t="n">
        <v>45901</v>
      </c>
      <c r="D957" t="inlineStr">
        <is>
          <t>JÄMTLANDS LÄN</t>
        </is>
      </c>
      <c r="E957" t="inlineStr">
        <is>
          <t>BRÄCKE</t>
        </is>
      </c>
      <c r="G957" t="n">
        <v>4.9</v>
      </c>
      <c r="H957" t="n">
        <v>0</v>
      </c>
      <c r="I957" t="n">
        <v>0</v>
      </c>
      <c r="J957" t="n">
        <v>0</v>
      </c>
      <c r="K957" t="n">
        <v>0</v>
      </c>
      <c r="L957" t="n">
        <v>0</v>
      </c>
      <c r="M957" t="n">
        <v>0</v>
      </c>
      <c r="N957" t="n">
        <v>0</v>
      </c>
      <c r="O957" t="n">
        <v>0</v>
      </c>
      <c r="P957" t="n">
        <v>0</v>
      </c>
      <c r="Q957" t="n">
        <v>0</v>
      </c>
      <c r="R957" s="2" t="inlineStr"/>
    </row>
    <row r="958" ht="15" customHeight="1">
      <c r="A958" t="inlineStr">
        <is>
          <t>A 33172-2023</t>
        </is>
      </c>
      <c r="B958" s="1" t="n">
        <v>45126.94283564815</v>
      </c>
      <c r="C958" s="1" t="n">
        <v>45901</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37960-2024</t>
        </is>
      </c>
      <c r="B959" s="1" t="n">
        <v>45544.53925925926</v>
      </c>
      <c r="C959" s="1" t="n">
        <v>45901</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31566-2024</t>
        </is>
      </c>
      <c r="B960" s="1" t="n">
        <v>45505.96675925926</v>
      </c>
      <c r="C960" s="1" t="n">
        <v>45901</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32229-2023</t>
        </is>
      </c>
      <c r="B961" s="1" t="n">
        <v>45119.94334490741</v>
      </c>
      <c r="C961" s="1" t="n">
        <v>45901</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30732-2025</t>
        </is>
      </c>
      <c r="B962" s="1" t="n">
        <v>45831.57324074074</v>
      </c>
      <c r="C962" s="1" t="n">
        <v>45901</v>
      </c>
      <c r="D962" t="inlineStr">
        <is>
          <t>JÄMTLANDS LÄN</t>
        </is>
      </c>
      <c r="E962" t="inlineStr">
        <is>
          <t>BRÄCKE</t>
        </is>
      </c>
      <c r="G962" t="n">
        <v>1.6</v>
      </c>
      <c r="H962" t="n">
        <v>0</v>
      </c>
      <c r="I962" t="n">
        <v>0</v>
      </c>
      <c r="J962" t="n">
        <v>0</v>
      </c>
      <c r="K962" t="n">
        <v>0</v>
      </c>
      <c r="L962" t="n">
        <v>0</v>
      </c>
      <c r="M962" t="n">
        <v>0</v>
      </c>
      <c r="N962" t="n">
        <v>0</v>
      </c>
      <c r="O962" t="n">
        <v>0</v>
      </c>
      <c r="P962" t="n">
        <v>0</v>
      </c>
      <c r="Q962" t="n">
        <v>0</v>
      </c>
      <c r="R962" s="2" t="inlineStr"/>
    </row>
    <row r="963" ht="15" customHeight="1">
      <c r="A963" t="inlineStr">
        <is>
          <t>A 34807-2024</t>
        </is>
      </c>
      <c r="B963" s="1" t="n">
        <v>45526.69046296296</v>
      </c>
      <c r="C963" s="1" t="n">
        <v>45901</v>
      </c>
      <c r="D963" t="inlineStr">
        <is>
          <t>JÄMTLANDS LÄN</t>
        </is>
      </c>
      <c r="E963" t="inlineStr">
        <is>
          <t>BRÄCKE</t>
        </is>
      </c>
      <c r="G963" t="n">
        <v>5.3</v>
      </c>
      <c r="H963" t="n">
        <v>0</v>
      </c>
      <c r="I963" t="n">
        <v>0</v>
      </c>
      <c r="J963" t="n">
        <v>0</v>
      </c>
      <c r="K963" t="n">
        <v>0</v>
      </c>
      <c r="L963" t="n">
        <v>0</v>
      </c>
      <c r="M963" t="n">
        <v>0</v>
      </c>
      <c r="N963" t="n">
        <v>0</v>
      </c>
      <c r="O963" t="n">
        <v>0</v>
      </c>
      <c r="P963" t="n">
        <v>0</v>
      </c>
      <c r="Q963" t="n">
        <v>0</v>
      </c>
      <c r="R963" s="2" t="inlineStr"/>
    </row>
    <row r="964" ht="15" customHeight="1">
      <c r="A964" t="inlineStr">
        <is>
          <t>A 9816-2024</t>
        </is>
      </c>
      <c r="B964" s="1" t="n">
        <v>45363.04525462963</v>
      </c>
      <c r="C964" s="1" t="n">
        <v>45901</v>
      </c>
      <c r="D964" t="inlineStr">
        <is>
          <t>JÄMTLANDS LÄN</t>
        </is>
      </c>
      <c r="E964" t="inlineStr">
        <is>
          <t>BRÄCKE</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1672-2025</t>
        </is>
      </c>
      <c r="B965" s="1" t="n">
        <v>45670.6781712963</v>
      </c>
      <c r="C965" s="1" t="n">
        <v>45901</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30874-2024</t>
        </is>
      </c>
      <c r="B966" s="1" t="n">
        <v>45498.3091087963</v>
      </c>
      <c r="C966" s="1" t="n">
        <v>45901</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41923-2023</t>
        </is>
      </c>
      <c r="B967" s="1" t="n">
        <v>45176</v>
      </c>
      <c r="C967" s="1" t="n">
        <v>45901</v>
      </c>
      <c r="D967" t="inlineStr">
        <is>
          <t>JÄMTLANDS LÄN</t>
        </is>
      </c>
      <c r="E967" t="inlineStr">
        <is>
          <t>BRÄCKE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68968-2020</t>
        </is>
      </c>
      <c r="B968" s="1" t="n">
        <v>44187</v>
      </c>
      <c r="C968" s="1" t="n">
        <v>45901</v>
      </c>
      <c r="D968" t="inlineStr">
        <is>
          <t>JÄMTLANDS LÄN</t>
        </is>
      </c>
      <c r="E968" t="inlineStr">
        <is>
          <t>BRÄCKE</t>
        </is>
      </c>
      <c r="G968" t="n">
        <v>14.2</v>
      </c>
      <c r="H968" t="n">
        <v>0</v>
      </c>
      <c r="I968" t="n">
        <v>0</v>
      </c>
      <c r="J968" t="n">
        <v>0</v>
      </c>
      <c r="K968" t="n">
        <v>0</v>
      </c>
      <c r="L968" t="n">
        <v>0</v>
      </c>
      <c r="M968" t="n">
        <v>0</v>
      </c>
      <c r="N968" t="n">
        <v>0</v>
      </c>
      <c r="O968" t="n">
        <v>0</v>
      </c>
      <c r="P968" t="n">
        <v>0</v>
      </c>
      <c r="Q968" t="n">
        <v>0</v>
      </c>
      <c r="R968" s="2" t="inlineStr"/>
    </row>
    <row r="969" ht="15" customHeight="1">
      <c r="A969" t="inlineStr">
        <is>
          <t>A 58467-2023</t>
        </is>
      </c>
      <c r="B969" s="1" t="n">
        <v>45250.96192129629</v>
      </c>
      <c r="C969" s="1" t="n">
        <v>45901</v>
      </c>
      <c r="D969" t="inlineStr">
        <is>
          <t>JÄMTLANDS LÄN</t>
        </is>
      </c>
      <c r="E969" t="inlineStr">
        <is>
          <t>BRÄCKE</t>
        </is>
      </c>
      <c r="F969" t="inlineStr">
        <is>
          <t>SCA</t>
        </is>
      </c>
      <c r="G969" t="n">
        <v>9.1</v>
      </c>
      <c r="H969" t="n">
        <v>0</v>
      </c>
      <c r="I969" t="n">
        <v>0</v>
      </c>
      <c r="J969" t="n">
        <v>0</v>
      </c>
      <c r="K969" t="n">
        <v>0</v>
      </c>
      <c r="L969" t="n">
        <v>0</v>
      </c>
      <c r="M969" t="n">
        <v>0</v>
      </c>
      <c r="N969" t="n">
        <v>0</v>
      </c>
      <c r="O969" t="n">
        <v>0</v>
      </c>
      <c r="P969" t="n">
        <v>0</v>
      </c>
      <c r="Q969" t="n">
        <v>0</v>
      </c>
      <c r="R969" s="2" t="inlineStr"/>
    </row>
    <row r="970" ht="15" customHeight="1">
      <c r="A970" t="inlineStr">
        <is>
          <t>A 35972-2023</t>
        </is>
      </c>
      <c r="B970" s="1" t="n">
        <v>45148</v>
      </c>
      <c r="C970" s="1" t="n">
        <v>45901</v>
      </c>
      <c r="D970" t="inlineStr">
        <is>
          <t>JÄMTLANDS LÄN</t>
        </is>
      </c>
      <c r="E970" t="inlineStr">
        <is>
          <t>BRÄCKE</t>
        </is>
      </c>
      <c r="G970" t="n">
        <v>2.2</v>
      </c>
      <c r="H970" t="n">
        <v>0</v>
      </c>
      <c r="I970" t="n">
        <v>0</v>
      </c>
      <c r="J970" t="n">
        <v>0</v>
      </c>
      <c r="K970" t="n">
        <v>0</v>
      </c>
      <c r="L970" t="n">
        <v>0</v>
      </c>
      <c r="M970" t="n">
        <v>0</v>
      </c>
      <c r="N970" t="n">
        <v>0</v>
      </c>
      <c r="O970" t="n">
        <v>0</v>
      </c>
      <c r="P970" t="n">
        <v>0</v>
      </c>
      <c r="Q970" t="n">
        <v>0</v>
      </c>
      <c r="R970" s="2" t="inlineStr"/>
    </row>
    <row r="971" ht="15" customHeight="1">
      <c r="A971" t="inlineStr">
        <is>
          <t>A 55662-2023</t>
        </is>
      </c>
      <c r="B971" s="1" t="n">
        <v>45238.96730324074</v>
      </c>
      <c r="C971" s="1" t="n">
        <v>45901</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29835-2022</t>
        </is>
      </c>
      <c r="B972" s="1" t="n">
        <v>44755.94592592592</v>
      </c>
      <c r="C972" s="1" t="n">
        <v>45901</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61362-2024</t>
        </is>
      </c>
      <c r="B973" s="1" t="n">
        <v>45646.3857175926</v>
      </c>
      <c r="C973" s="1" t="n">
        <v>45901</v>
      </c>
      <c r="D973" t="inlineStr">
        <is>
          <t>JÄMTLANDS LÄN</t>
        </is>
      </c>
      <c r="E973" t="inlineStr">
        <is>
          <t>BRÄCKE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37238-2023</t>
        </is>
      </c>
      <c r="B974" s="1" t="n">
        <v>45155.95366898148</v>
      </c>
      <c r="C974" s="1" t="n">
        <v>45901</v>
      </c>
      <c r="D974" t="inlineStr">
        <is>
          <t>JÄMTLANDS LÄN</t>
        </is>
      </c>
      <c r="E974" t="inlineStr">
        <is>
          <t>BRÄCKE</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40410-2023</t>
        </is>
      </c>
      <c r="B975" s="1" t="n">
        <v>45169</v>
      </c>
      <c r="C975" s="1" t="n">
        <v>45901</v>
      </c>
      <c r="D975" t="inlineStr">
        <is>
          <t>JÄMTLANDS LÄN</t>
        </is>
      </c>
      <c r="E975" t="inlineStr">
        <is>
          <t>BRÄCKE</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51161-2023</t>
        </is>
      </c>
      <c r="B976" s="1" t="n">
        <v>45219.38019675926</v>
      </c>
      <c r="C976" s="1" t="n">
        <v>45901</v>
      </c>
      <c r="D976" t="inlineStr">
        <is>
          <t>JÄMTLANDS LÄN</t>
        </is>
      </c>
      <c r="E976" t="inlineStr">
        <is>
          <t>BRÄCKE</t>
        </is>
      </c>
      <c r="G976" t="n">
        <v>2.5</v>
      </c>
      <c r="H976" t="n">
        <v>0</v>
      </c>
      <c r="I976" t="n">
        <v>0</v>
      </c>
      <c r="J976" t="n">
        <v>0</v>
      </c>
      <c r="K976" t="n">
        <v>0</v>
      </c>
      <c r="L976" t="n">
        <v>0</v>
      </c>
      <c r="M976" t="n">
        <v>0</v>
      </c>
      <c r="N976" t="n">
        <v>0</v>
      </c>
      <c r="O976" t="n">
        <v>0</v>
      </c>
      <c r="P976" t="n">
        <v>0</v>
      </c>
      <c r="Q976" t="n">
        <v>0</v>
      </c>
      <c r="R976" s="2" t="inlineStr"/>
    </row>
    <row r="977" ht="15" customHeight="1">
      <c r="A977" t="inlineStr">
        <is>
          <t>A 22985-2023</t>
        </is>
      </c>
      <c r="B977" s="1" t="n">
        <v>45072</v>
      </c>
      <c r="C977" s="1" t="n">
        <v>45901</v>
      </c>
      <c r="D977" t="inlineStr">
        <is>
          <t>JÄMTLANDS LÄN</t>
        </is>
      </c>
      <c r="E977" t="inlineStr">
        <is>
          <t>BRÄCKE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18645-2024</t>
        </is>
      </c>
      <c r="B978" s="1" t="n">
        <v>45425.96738425926</v>
      </c>
      <c r="C978" s="1" t="n">
        <v>45901</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44082-2024</t>
        </is>
      </c>
      <c r="B979" s="1" t="n">
        <v>45572.61549768518</v>
      </c>
      <c r="C979" s="1" t="n">
        <v>45901</v>
      </c>
      <c r="D979" t="inlineStr">
        <is>
          <t>JÄMTLANDS LÄN</t>
        </is>
      </c>
      <c r="E979" t="inlineStr">
        <is>
          <t>BRÄCKE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8386-2025</t>
        </is>
      </c>
      <c r="B980" s="1" t="n">
        <v>45709.35850694445</v>
      </c>
      <c r="C980" s="1" t="n">
        <v>45901</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30619-2025</t>
        </is>
      </c>
      <c r="B981" s="1" t="n">
        <v>45831.46922453704</v>
      </c>
      <c r="C981" s="1" t="n">
        <v>45901</v>
      </c>
      <c r="D981" t="inlineStr">
        <is>
          <t>JÄMTLANDS LÄN</t>
        </is>
      </c>
      <c r="E981" t="inlineStr">
        <is>
          <t>BRÄCKE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36970-2025</t>
        </is>
      </c>
      <c r="B982" s="1" t="n">
        <v>45874.63700231481</v>
      </c>
      <c r="C982" s="1" t="n">
        <v>45901</v>
      </c>
      <c r="D982" t="inlineStr">
        <is>
          <t>JÄMTLANDS LÄN</t>
        </is>
      </c>
      <c r="E982" t="inlineStr">
        <is>
          <t>BRÄCKE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2829-2021</t>
        </is>
      </c>
      <c r="B983" s="1" t="n">
        <v>44215</v>
      </c>
      <c r="C983" s="1" t="n">
        <v>45901</v>
      </c>
      <c r="D983" t="inlineStr">
        <is>
          <t>JÄMTLANDS LÄN</t>
        </is>
      </c>
      <c r="E983" t="inlineStr">
        <is>
          <t>BRÄCKE</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31138-2025</t>
        </is>
      </c>
      <c r="B984" s="1" t="n">
        <v>45832.63618055556</v>
      </c>
      <c r="C984" s="1" t="n">
        <v>45901</v>
      </c>
      <c r="D984" t="inlineStr">
        <is>
          <t>JÄMTLANDS LÄN</t>
        </is>
      </c>
      <c r="E984" t="inlineStr">
        <is>
          <t>BRÄCKE</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18965-2025</t>
        </is>
      </c>
      <c r="B985" s="1" t="n">
        <v>45764.53155092592</v>
      </c>
      <c r="C985" s="1" t="n">
        <v>45901</v>
      </c>
      <c r="D985" t="inlineStr">
        <is>
          <t>JÄMTLANDS LÄN</t>
        </is>
      </c>
      <c r="E985" t="inlineStr">
        <is>
          <t>BRÄCKE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30714-2025</t>
        </is>
      </c>
      <c r="B986" s="1" t="n">
        <v>45831.55284722222</v>
      </c>
      <c r="C986" s="1" t="n">
        <v>45901</v>
      </c>
      <c r="D986" t="inlineStr">
        <is>
          <t>JÄMTLANDS LÄN</t>
        </is>
      </c>
      <c r="E986" t="inlineStr">
        <is>
          <t>BRÄCKE</t>
        </is>
      </c>
      <c r="G986" t="n">
        <v>0.5</v>
      </c>
      <c r="H986" t="n">
        <v>0</v>
      </c>
      <c r="I986" t="n">
        <v>0</v>
      </c>
      <c r="J986" t="n">
        <v>0</v>
      </c>
      <c r="K986" t="n">
        <v>0</v>
      </c>
      <c r="L986" t="n">
        <v>0</v>
      </c>
      <c r="M986" t="n">
        <v>0</v>
      </c>
      <c r="N986" t="n">
        <v>0</v>
      </c>
      <c r="O986" t="n">
        <v>0</v>
      </c>
      <c r="P986" t="n">
        <v>0</v>
      </c>
      <c r="Q986" t="n">
        <v>0</v>
      </c>
      <c r="R986" s="2" t="inlineStr"/>
    </row>
    <row r="987" ht="15" customHeight="1">
      <c r="A987" t="inlineStr">
        <is>
          <t>A 35766-2023</t>
        </is>
      </c>
      <c r="B987" s="1" t="n">
        <v>45147</v>
      </c>
      <c r="C987" s="1" t="n">
        <v>45901</v>
      </c>
      <c r="D987" t="inlineStr">
        <is>
          <t>JÄMTLANDS LÄN</t>
        </is>
      </c>
      <c r="E987" t="inlineStr">
        <is>
          <t>BRÄCKE</t>
        </is>
      </c>
      <c r="G987" t="n">
        <v>2.2</v>
      </c>
      <c r="H987" t="n">
        <v>0</v>
      </c>
      <c r="I987" t="n">
        <v>0</v>
      </c>
      <c r="J987" t="n">
        <v>0</v>
      </c>
      <c r="K987" t="n">
        <v>0</v>
      </c>
      <c r="L987" t="n">
        <v>0</v>
      </c>
      <c r="M987" t="n">
        <v>0</v>
      </c>
      <c r="N987" t="n">
        <v>0</v>
      </c>
      <c r="O987" t="n">
        <v>0</v>
      </c>
      <c r="P987" t="n">
        <v>0</v>
      </c>
      <c r="Q987" t="n">
        <v>0</v>
      </c>
      <c r="R987" s="2" t="inlineStr"/>
    </row>
    <row r="988" ht="15" customHeight="1">
      <c r="A988" t="inlineStr">
        <is>
          <t>A 31059-2025</t>
        </is>
      </c>
      <c r="B988" s="1" t="n">
        <v>45832.5734837963</v>
      </c>
      <c r="C988" s="1" t="n">
        <v>45901</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56499-2023</t>
        </is>
      </c>
      <c r="B989" s="1" t="n">
        <v>45237</v>
      </c>
      <c r="C989" s="1" t="n">
        <v>45901</v>
      </c>
      <c r="D989" t="inlineStr">
        <is>
          <t>JÄMTLANDS LÄN</t>
        </is>
      </c>
      <c r="E989" t="inlineStr">
        <is>
          <t>BRÄCKE</t>
        </is>
      </c>
      <c r="G989" t="n">
        <v>1.9</v>
      </c>
      <c r="H989" t="n">
        <v>0</v>
      </c>
      <c r="I989" t="n">
        <v>0</v>
      </c>
      <c r="J989" t="n">
        <v>0</v>
      </c>
      <c r="K989" t="n">
        <v>0</v>
      </c>
      <c r="L989" t="n">
        <v>0</v>
      </c>
      <c r="M989" t="n">
        <v>0</v>
      </c>
      <c r="N989" t="n">
        <v>0</v>
      </c>
      <c r="O989" t="n">
        <v>0</v>
      </c>
      <c r="P989" t="n">
        <v>0</v>
      </c>
      <c r="Q989" t="n">
        <v>0</v>
      </c>
      <c r="R989" s="2" t="inlineStr"/>
    </row>
    <row r="990" ht="15" customHeight="1">
      <c r="A990" t="inlineStr">
        <is>
          <t>A 56525-2023</t>
        </is>
      </c>
      <c r="B990" s="1" t="n">
        <v>45243.56650462963</v>
      </c>
      <c r="C990" s="1" t="n">
        <v>45901</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28738-2022</t>
        </is>
      </c>
      <c r="B991" s="1" t="n">
        <v>44748.94701388889</v>
      </c>
      <c r="C991" s="1" t="n">
        <v>45901</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49709-2024</t>
        </is>
      </c>
      <c r="B992" s="1" t="n">
        <v>45596.69858796296</v>
      </c>
      <c r="C992" s="1" t="n">
        <v>45901</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49712-2024</t>
        </is>
      </c>
      <c r="B993" s="1" t="n">
        <v>45596.69923611111</v>
      </c>
      <c r="C993" s="1" t="n">
        <v>45901</v>
      </c>
      <c r="D993" t="inlineStr">
        <is>
          <t>JÄMTLANDS LÄN</t>
        </is>
      </c>
      <c r="E993" t="inlineStr">
        <is>
          <t>BRÄCKE</t>
        </is>
      </c>
      <c r="F993" t="inlineStr">
        <is>
          <t>Naturvårdsverket</t>
        </is>
      </c>
      <c r="G993" t="n">
        <v>1.9</v>
      </c>
      <c r="H993" t="n">
        <v>0</v>
      </c>
      <c r="I993" t="n">
        <v>0</v>
      </c>
      <c r="J993" t="n">
        <v>0</v>
      </c>
      <c r="K993" t="n">
        <v>0</v>
      </c>
      <c r="L993" t="n">
        <v>0</v>
      </c>
      <c r="M993" t="n">
        <v>0</v>
      </c>
      <c r="N993" t="n">
        <v>0</v>
      </c>
      <c r="O993" t="n">
        <v>0</v>
      </c>
      <c r="P993" t="n">
        <v>0</v>
      </c>
      <c r="Q993" t="n">
        <v>0</v>
      </c>
      <c r="R993" s="2" t="inlineStr"/>
    </row>
    <row r="994" ht="15" customHeight="1">
      <c r="A994" t="inlineStr">
        <is>
          <t>A 46798-2023</t>
        </is>
      </c>
      <c r="B994" s="1" t="n">
        <v>45198</v>
      </c>
      <c r="C994" s="1" t="n">
        <v>45901</v>
      </c>
      <c r="D994" t="inlineStr">
        <is>
          <t>JÄMTLANDS LÄN</t>
        </is>
      </c>
      <c r="E994" t="inlineStr">
        <is>
          <t>BRÄCKE</t>
        </is>
      </c>
      <c r="G994" t="n">
        <v>0.7</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45901</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52127-2023</t>
        </is>
      </c>
      <c r="B996" s="1" t="n">
        <v>45223.96543981481</v>
      </c>
      <c r="C996" s="1" t="n">
        <v>45901</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31668-2025</t>
        </is>
      </c>
      <c r="B997" s="1" t="n">
        <v>45834.36533564814</v>
      </c>
      <c r="C997" s="1" t="n">
        <v>45901</v>
      </c>
      <c r="D997" t="inlineStr">
        <is>
          <t>JÄMTLANDS LÄN</t>
        </is>
      </c>
      <c r="E997" t="inlineStr">
        <is>
          <t>BRÄCKE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31806-2025</t>
        </is>
      </c>
      <c r="B998" s="1" t="n">
        <v>45834.55449074074</v>
      </c>
      <c r="C998" s="1" t="n">
        <v>45901</v>
      </c>
      <c r="D998" t="inlineStr">
        <is>
          <t>JÄMTLANDS LÄN</t>
        </is>
      </c>
      <c r="E998" t="inlineStr">
        <is>
          <t>BRÄCKE</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31425-2025</t>
        </is>
      </c>
      <c r="B999" s="1" t="n">
        <v>45833.49023148148</v>
      </c>
      <c r="C999" s="1" t="n">
        <v>45901</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4121-2025</t>
        </is>
      </c>
      <c r="B1000" s="1" t="n">
        <v>45685.26607638889</v>
      </c>
      <c r="C1000" s="1" t="n">
        <v>45901</v>
      </c>
      <c r="D1000" t="inlineStr">
        <is>
          <t>JÄMTLANDS LÄN</t>
        </is>
      </c>
      <c r="E1000" t="inlineStr">
        <is>
          <t>BRÄCKE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54789-2023</t>
        </is>
      </c>
      <c r="B1001" s="1" t="n">
        <v>45236.48659722223</v>
      </c>
      <c r="C1001" s="1" t="n">
        <v>45901</v>
      </c>
      <c r="D1001" t="inlineStr">
        <is>
          <t>JÄMTLANDS LÄN</t>
        </is>
      </c>
      <c r="E1001" t="inlineStr">
        <is>
          <t>BRÄCKE</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31482-2025</t>
        </is>
      </c>
      <c r="B1002" s="1" t="n">
        <v>45833.57390046296</v>
      </c>
      <c r="C1002" s="1" t="n">
        <v>45901</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24531-2022</t>
        </is>
      </c>
      <c r="B1003" s="1" t="n">
        <v>44726</v>
      </c>
      <c r="C1003" s="1" t="n">
        <v>45901</v>
      </c>
      <c r="D1003" t="inlineStr">
        <is>
          <t>JÄMTLANDS LÄN</t>
        </is>
      </c>
      <c r="E1003" t="inlineStr">
        <is>
          <t>BRÄCKE</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37074-2025</t>
        </is>
      </c>
      <c r="B1004" s="1" t="n">
        <v>45875.40717592592</v>
      </c>
      <c r="C1004" s="1" t="n">
        <v>45901</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43551-2023</t>
        </is>
      </c>
      <c r="B1005" s="1" t="n">
        <v>45181</v>
      </c>
      <c r="C1005" s="1" t="n">
        <v>45901</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31843-2022</t>
        </is>
      </c>
      <c r="B1006" s="1" t="n">
        <v>44776.94121527778</v>
      </c>
      <c r="C1006" s="1" t="n">
        <v>45901</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31853-2022</t>
        </is>
      </c>
      <c r="B1007" s="1" t="n">
        <v>44776</v>
      </c>
      <c r="C1007" s="1" t="n">
        <v>45901</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45010-2023</t>
        </is>
      </c>
      <c r="B1008" s="1" t="n">
        <v>45190.96116898148</v>
      </c>
      <c r="C1008" s="1" t="n">
        <v>45901</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45013-2023</t>
        </is>
      </c>
      <c r="B1009" s="1" t="n">
        <v>45190.96158564815</v>
      </c>
      <c r="C1009" s="1" t="n">
        <v>45901</v>
      </c>
      <c r="D1009" t="inlineStr">
        <is>
          <t>JÄMTLANDS LÄN</t>
        </is>
      </c>
      <c r="E1009" t="inlineStr">
        <is>
          <t>BRÄCKE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31794-2025</t>
        </is>
      </c>
      <c r="B1010" s="1" t="n">
        <v>45834.54390046297</v>
      </c>
      <c r="C1010" s="1" t="n">
        <v>45901</v>
      </c>
      <c r="D1010" t="inlineStr">
        <is>
          <t>JÄMTLANDS LÄN</t>
        </is>
      </c>
      <c r="E1010" t="inlineStr">
        <is>
          <t>BRÄCKE</t>
        </is>
      </c>
      <c r="F1010" t="inlineStr">
        <is>
          <t>Övriga Aktiebolag</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31819-2025</t>
        </is>
      </c>
      <c r="B1011" s="1" t="n">
        <v>45834.57891203704</v>
      </c>
      <c r="C1011" s="1" t="n">
        <v>45901</v>
      </c>
      <c r="D1011" t="inlineStr">
        <is>
          <t>JÄMTLANDS LÄN</t>
        </is>
      </c>
      <c r="E1011" t="inlineStr">
        <is>
          <t>BRÄCKE</t>
        </is>
      </c>
      <c r="F1011" t="inlineStr">
        <is>
          <t>Övriga Aktiebolag</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31832-2025</t>
        </is>
      </c>
      <c r="B1012" s="1" t="n">
        <v>45834.59207175926</v>
      </c>
      <c r="C1012" s="1" t="n">
        <v>45901</v>
      </c>
      <c r="D1012" t="inlineStr">
        <is>
          <t>JÄMTLANDS LÄN</t>
        </is>
      </c>
      <c r="E1012" t="inlineStr">
        <is>
          <t>BRÄCKE</t>
        </is>
      </c>
      <c r="F1012" t="inlineStr">
        <is>
          <t>Övriga Aktiebolag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57590-2024</t>
        </is>
      </c>
      <c r="B1013" s="1" t="n">
        <v>45630.49729166667</v>
      </c>
      <c r="C1013" s="1" t="n">
        <v>45901</v>
      </c>
      <c r="D1013" t="inlineStr">
        <is>
          <t>JÄMTLANDS LÄN</t>
        </is>
      </c>
      <c r="E1013" t="inlineStr">
        <is>
          <t>BRÄCKE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31274-2025</t>
        </is>
      </c>
      <c r="B1014" s="1" t="n">
        <v>45833.34435185185</v>
      </c>
      <c r="C1014" s="1" t="n">
        <v>45901</v>
      </c>
      <c r="D1014" t="inlineStr">
        <is>
          <t>JÄMTLANDS LÄN</t>
        </is>
      </c>
      <c r="E1014" t="inlineStr">
        <is>
          <t>BRÄCKE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30685-2023</t>
        </is>
      </c>
      <c r="B1015" s="1" t="n">
        <v>45112.56471064815</v>
      </c>
      <c r="C1015" s="1" t="n">
        <v>45901</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4122-2025</t>
        </is>
      </c>
      <c r="B1016" s="1" t="n">
        <v>45685.26828703703</v>
      </c>
      <c r="C1016" s="1" t="n">
        <v>45901</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9994-2021</t>
        </is>
      </c>
      <c r="B1017" s="1" t="n">
        <v>44254</v>
      </c>
      <c r="C1017" s="1" t="n">
        <v>45901</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55997-2024</t>
        </is>
      </c>
      <c r="B1018" s="1" t="n">
        <v>45623.6984837963</v>
      </c>
      <c r="C1018" s="1" t="n">
        <v>45901</v>
      </c>
      <c r="D1018" t="inlineStr">
        <is>
          <t>JÄMTLANDS LÄN</t>
        </is>
      </c>
      <c r="E1018" t="inlineStr">
        <is>
          <t>BRÄCKE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7943-2025</t>
        </is>
      </c>
      <c r="B1019" s="1" t="n">
        <v>45707.40697916667</v>
      </c>
      <c r="C1019" s="1" t="n">
        <v>45901</v>
      </c>
      <c r="D1019" t="inlineStr">
        <is>
          <t>JÄMTLANDS LÄN</t>
        </is>
      </c>
      <c r="E1019" t="inlineStr">
        <is>
          <t>BRÄCKE</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16336-2021</t>
        </is>
      </c>
      <c r="B1020" s="1" t="n">
        <v>44292.93416666667</v>
      </c>
      <c r="C1020" s="1" t="n">
        <v>45901</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24718-2022</t>
        </is>
      </c>
      <c r="B1021" s="1" t="n">
        <v>44727.94221064815</v>
      </c>
      <c r="C1021" s="1" t="n">
        <v>45901</v>
      </c>
      <c r="D1021" t="inlineStr">
        <is>
          <t>JÄMTLANDS LÄN</t>
        </is>
      </c>
      <c r="E1021" t="inlineStr">
        <is>
          <t>BRÄCKE</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12732-2025</t>
        </is>
      </c>
      <c r="B1022" s="1" t="n">
        <v>45733.51090277778</v>
      </c>
      <c r="C1022" s="1" t="n">
        <v>45901</v>
      </c>
      <c r="D1022" t="inlineStr">
        <is>
          <t>JÄMTLANDS LÄN</t>
        </is>
      </c>
      <c r="E1022" t="inlineStr">
        <is>
          <t>BRÄCKE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58503-2022</t>
        </is>
      </c>
      <c r="B1023" s="1" t="n">
        <v>44902.38313657408</v>
      </c>
      <c r="C1023" s="1" t="n">
        <v>45901</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52760-2023</t>
        </is>
      </c>
      <c r="B1024" s="1" t="n">
        <v>45225</v>
      </c>
      <c r="C1024" s="1" t="n">
        <v>45901</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50223-2023</t>
        </is>
      </c>
      <c r="B1025" s="1" t="n">
        <v>45215.94747685185</v>
      </c>
      <c r="C1025" s="1" t="n">
        <v>45901</v>
      </c>
      <c r="D1025" t="inlineStr">
        <is>
          <t>JÄMTLANDS LÄN</t>
        </is>
      </c>
      <c r="E1025" t="inlineStr">
        <is>
          <t>BRÄCKE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37093-2025</t>
        </is>
      </c>
      <c r="B1026" s="1" t="n">
        <v>45875.46909722222</v>
      </c>
      <c r="C1026" s="1" t="n">
        <v>45901</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37117-2025</t>
        </is>
      </c>
      <c r="B1027" s="1" t="n">
        <v>45875.51163194444</v>
      </c>
      <c r="C1027" s="1" t="n">
        <v>45901</v>
      </c>
      <c r="D1027" t="inlineStr">
        <is>
          <t>JÄMTLANDS LÄN</t>
        </is>
      </c>
      <c r="E1027" t="inlineStr">
        <is>
          <t>BRÄCKE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31379-2025</t>
        </is>
      </c>
      <c r="B1028" s="1" t="n">
        <v>45833.44856481482</v>
      </c>
      <c r="C1028" s="1" t="n">
        <v>45901</v>
      </c>
      <c r="D1028" t="inlineStr">
        <is>
          <t>JÄMTLANDS LÄN</t>
        </is>
      </c>
      <c r="E1028" t="inlineStr">
        <is>
          <t>BRÄCKE</t>
        </is>
      </c>
      <c r="F1028" t="inlineStr">
        <is>
          <t>SCA</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41311-2024</t>
        </is>
      </c>
      <c r="B1029" s="1" t="n">
        <v>45559.63569444444</v>
      </c>
      <c r="C1029" s="1" t="n">
        <v>45901</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41315-2024</t>
        </is>
      </c>
      <c r="B1030" s="1" t="n">
        <v>45559.63628472222</v>
      </c>
      <c r="C1030" s="1" t="n">
        <v>45901</v>
      </c>
      <c r="D1030" t="inlineStr">
        <is>
          <t>JÄMTLANDS LÄN</t>
        </is>
      </c>
      <c r="E1030" t="inlineStr">
        <is>
          <t>BRÄCKE</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1881-2024</t>
        </is>
      </c>
      <c r="B1031" s="1" t="n">
        <v>45307.96266203704</v>
      </c>
      <c r="C1031" s="1" t="n">
        <v>45901</v>
      </c>
      <c r="D1031" t="inlineStr">
        <is>
          <t>JÄMTLANDS LÄN</t>
        </is>
      </c>
      <c r="E1031" t="inlineStr">
        <is>
          <t>BRÄCKE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44321-2023</t>
        </is>
      </c>
      <c r="B1032" s="1" t="n">
        <v>45188.65484953704</v>
      </c>
      <c r="C1032" s="1" t="n">
        <v>45901</v>
      </c>
      <c r="D1032" t="inlineStr">
        <is>
          <t>JÄMTLANDS LÄN</t>
        </is>
      </c>
      <c r="E1032" t="inlineStr">
        <is>
          <t>BRÄCKE</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44328-2023</t>
        </is>
      </c>
      <c r="B1033" s="1" t="n">
        <v>45188.659375</v>
      </c>
      <c r="C1033" s="1" t="n">
        <v>45901</v>
      </c>
      <c r="D1033" t="inlineStr">
        <is>
          <t>JÄMTLANDS LÄN</t>
        </is>
      </c>
      <c r="E1033" t="inlineStr">
        <is>
          <t>BRÄCKE</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53047-2023</t>
        </is>
      </c>
      <c r="B1034" s="1" t="n">
        <v>45226.96398148148</v>
      </c>
      <c r="C1034" s="1" t="n">
        <v>45901</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10486-2025</t>
        </is>
      </c>
      <c r="B1035" s="1" t="n">
        <v>45721.34410879629</v>
      </c>
      <c r="C1035" s="1" t="n">
        <v>45901</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37241-2025</t>
        </is>
      </c>
      <c r="B1036" s="1" t="n">
        <v>45876.38599537037</v>
      </c>
      <c r="C1036" s="1" t="n">
        <v>45901</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20157-2025</t>
        </is>
      </c>
      <c r="B1037" s="1" t="n">
        <v>45772.56060185185</v>
      </c>
      <c r="C1037" s="1" t="n">
        <v>45901</v>
      </c>
      <c r="D1037" t="inlineStr">
        <is>
          <t>JÄMTLANDS LÄN</t>
        </is>
      </c>
      <c r="E1037" t="inlineStr">
        <is>
          <t>BRÄCKE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37116-2025</t>
        </is>
      </c>
      <c r="B1038" s="1" t="n">
        <v>45875.51150462963</v>
      </c>
      <c r="C1038" s="1" t="n">
        <v>45901</v>
      </c>
      <c r="D1038" t="inlineStr">
        <is>
          <t>JÄMTLANDS LÄN</t>
        </is>
      </c>
      <c r="E1038" t="inlineStr">
        <is>
          <t>BRÄCKE</t>
        </is>
      </c>
      <c r="F1038" t="inlineStr">
        <is>
          <t>SCA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31728-2025</t>
        </is>
      </c>
      <c r="B1039" s="1" t="n">
        <v>45834.46925925926</v>
      </c>
      <c r="C1039" s="1" t="n">
        <v>45901</v>
      </c>
      <c r="D1039" t="inlineStr">
        <is>
          <t>JÄMTLANDS LÄN</t>
        </is>
      </c>
      <c r="E1039" t="inlineStr">
        <is>
          <t>BRÄCKE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31567-2024</t>
        </is>
      </c>
      <c r="B1040" s="1" t="n">
        <v>45505.96689814814</v>
      </c>
      <c r="C1040" s="1" t="n">
        <v>45901</v>
      </c>
      <c r="D1040" t="inlineStr">
        <is>
          <t>JÄMTLANDS LÄN</t>
        </is>
      </c>
      <c r="E1040" t="inlineStr">
        <is>
          <t>BRÄCKE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4893-2025</t>
        </is>
      </c>
      <c r="B1041" s="1" t="n">
        <v>45688.67871527778</v>
      </c>
      <c r="C1041" s="1" t="n">
        <v>45901</v>
      </c>
      <c r="D1041" t="inlineStr">
        <is>
          <t>JÄMTLANDS LÄN</t>
        </is>
      </c>
      <c r="E1041" t="inlineStr">
        <is>
          <t>BRÄCKE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54328-2023</t>
        </is>
      </c>
      <c r="B1042" s="1" t="n">
        <v>45232.95774305556</v>
      </c>
      <c r="C1042" s="1" t="n">
        <v>45901</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31696-2025</t>
        </is>
      </c>
      <c r="B1043" s="1" t="n">
        <v>45834.40726851852</v>
      </c>
      <c r="C1043" s="1" t="n">
        <v>45901</v>
      </c>
      <c r="D1043" t="inlineStr">
        <is>
          <t>JÄMTLANDS LÄN</t>
        </is>
      </c>
      <c r="E1043" t="inlineStr">
        <is>
          <t>BRÄCKE</t>
        </is>
      </c>
      <c r="F1043" t="inlineStr">
        <is>
          <t>SCA</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31749-2025</t>
        </is>
      </c>
      <c r="B1044" s="1" t="n">
        <v>45834.48164351852</v>
      </c>
      <c r="C1044" s="1" t="n">
        <v>45901</v>
      </c>
      <c r="D1044" t="inlineStr">
        <is>
          <t>JÄMTLANDS LÄN</t>
        </is>
      </c>
      <c r="E1044" t="inlineStr">
        <is>
          <t>BRÄCKE</t>
        </is>
      </c>
      <c r="F1044" t="inlineStr">
        <is>
          <t>Övriga Aktiebolag</t>
        </is>
      </c>
      <c r="G1044" t="n">
        <v>12.5</v>
      </c>
      <c r="H1044" t="n">
        <v>0</v>
      </c>
      <c r="I1044" t="n">
        <v>0</v>
      </c>
      <c r="J1044" t="n">
        <v>0</v>
      </c>
      <c r="K1044" t="n">
        <v>0</v>
      </c>
      <c r="L1044" t="n">
        <v>0</v>
      </c>
      <c r="M1044" t="n">
        <v>0</v>
      </c>
      <c r="N1044" t="n">
        <v>0</v>
      </c>
      <c r="O1044" t="n">
        <v>0</v>
      </c>
      <c r="P1044" t="n">
        <v>0</v>
      </c>
      <c r="Q1044" t="n">
        <v>0</v>
      </c>
      <c r="R1044" s="2" t="inlineStr"/>
    </row>
    <row r="1045" ht="15" customHeight="1">
      <c r="A1045" t="inlineStr">
        <is>
          <t>A 37185-2025</t>
        </is>
      </c>
      <c r="B1045" s="1" t="n">
        <v>45875.63608796296</v>
      </c>
      <c r="C1045" s="1" t="n">
        <v>45901</v>
      </c>
      <c r="D1045" t="inlineStr">
        <is>
          <t>JÄMTLANDS LÄN</t>
        </is>
      </c>
      <c r="E1045" t="inlineStr">
        <is>
          <t>BRÄCKE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45901</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9387-2025</t>
        </is>
      </c>
      <c r="B1047" s="1" t="n">
        <v>45715.34461805555</v>
      </c>
      <c r="C1047" s="1" t="n">
        <v>45901</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31962-2025</t>
        </is>
      </c>
      <c r="B1048" s="1" t="n">
        <v>45835.34466435185</v>
      </c>
      <c r="C1048" s="1" t="n">
        <v>45901</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59369-2022</t>
        </is>
      </c>
      <c r="B1049" s="1" t="n">
        <v>44904.94859953703</v>
      </c>
      <c r="C1049" s="1" t="n">
        <v>45901</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37394-2025</t>
        </is>
      </c>
      <c r="B1050" s="1" t="n">
        <v>45877.4275462963</v>
      </c>
      <c r="C1050" s="1" t="n">
        <v>45901</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50514-2023</t>
        </is>
      </c>
      <c r="B1051" s="1" t="n">
        <v>45216</v>
      </c>
      <c r="C1051" s="1" t="n">
        <v>45901</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14868-2021</t>
        </is>
      </c>
      <c r="B1052" s="1" t="n">
        <v>44280</v>
      </c>
      <c r="C1052" s="1" t="n">
        <v>45901</v>
      </c>
      <c r="D1052" t="inlineStr">
        <is>
          <t>JÄMTLANDS LÄN</t>
        </is>
      </c>
      <c r="E1052" t="inlineStr">
        <is>
          <t>BRÄCKE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37460-2025</t>
        </is>
      </c>
      <c r="B1053" s="1" t="n">
        <v>45877.57342592593</v>
      </c>
      <c r="C1053" s="1" t="n">
        <v>45901</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23687-2022</t>
        </is>
      </c>
      <c r="B1054" s="1" t="n">
        <v>44721</v>
      </c>
      <c r="C1054" s="1" t="n">
        <v>45901</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19386-2025</t>
        </is>
      </c>
      <c r="B1055" s="1" t="n">
        <v>45769.65719907408</v>
      </c>
      <c r="C1055" s="1" t="n">
        <v>45901</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32659-2025</t>
        </is>
      </c>
      <c r="B1056" s="1" t="n">
        <v>45838.67873842592</v>
      </c>
      <c r="C1056" s="1" t="n">
        <v>45901</v>
      </c>
      <c r="D1056" t="inlineStr">
        <is>
          <t>JÄMTLANDS LÄN</t>
        </is>
      </c>
      <c r="E1056" t="inlineStr">
        <is>
          <t>BRÄCKE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32146-2025</t>
        </is>
      </c>
      <c r="B1057" s="1" t="n">
        <v>45835.52730324074</v>
      </c>
      <c r="C1057" s="1" t="n">
        <v>45901</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32596-2025</t>
        </is>
      </c>
      <c r="B1058" s="1" t="n">
        <v>45838.61584490741</v>
      </c>
      <c r="C1058" s="1" t="n">
        <v>45901</v>
      </c>
      <c r="D1058" t="inlineStr">
        <is>
          <t>JÄMTLANDS LÄN</t>
        </is>
      </c>
      <c r="E1058" t="inlineStr">
        <is>
          <t>BRÄCKE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44882.74364583333</v>
      </c>
      <c r="C1059" s="1" t="n">
        <v>45901</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54600-2023</t>
        </is>
      </c>
      <c r="B1060" s="1" t="n">
        <v>45233.95663194444</v>
      </c>
      <c r="C1060" s="1" t="n">
        <v>45901</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47500-2023</t>
        </is>
      </c>
      <c r="B1061" s="1" t="n">
        <v>45202.9425</v>
      </c>
      <c r="C1061" s="1" t="n">
        <v>45901</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32272-2025</t>
        </is>
      </c>
      <c r="B1062" s="1" t="n">
        <v>45835.6568287037</v>
      </c>
      <c r="C1062" s="1" t="n">
        <v>45901</v>
      </c>
      <c r="D1062" t="inlineStr">
        <is>
          <t>JÄMTLANDS LÄN</t>
        </is>
      </c>
      <c r="E1062" t="inlineStr">
        <is>
          <t>BRÄCKE</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45974-2024</t>
        </is>
      </c>
      <c r="B1063" s="1" t="n">
        <v>45580.59408564815</v>
      </c>
      <c r="C1063" s="1" t="n">
        <v>45901</v>
      </c>
      <c r="D1063" t="inlineStr">
        <is>
          <t>JÄMTLANDS LÄN</t>
        </is>
      </c>
      <c r="E1063" t="inlineStr">
        <is>
          <t>BRÄCKE</t>
        </is>
      </c>
      <c r="F1063" t="inlineStr">
        <is>
          <t>Naturvårdsverket</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48419-2023</t>
        </is>
      </c>
      <c r="B1064" s="1" t="n">
        <v>45205</v>
      </c>
      <c r="C1064" s="1" t="n">
        <v>45901</v>
      </c>
      <c r="D1064" t="inlineStr">
        <is>
          <t>JÄMTLANDS LÄN</t>
        </is>
      </c>
      <c r="E1064" t="inlineStr">
        <is>
          <t>BRÄCKE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45901</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45901</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37585-2025</t>
        </is>
      </c>
      <c r="B1067" s="1" t="n">
        <v>45880.40076388889</v>
      </c>
      <c r="C1067" s="1" t="n">
        <v>45901</v>
      </c>
      <c r="D1067" t="inlineStr">
        <is>
          <t>JÄMTLANDS LÄN</t>
        </is>
      </c>
      <c r="E1067" t="inlineStr">
        <is>
          <t>BRÄCKE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32443-2025</t>
        </is>
      </c>
      <c r="B1068" s="1" t="n">
        <v>45838.38613425926</v>
      </c>
      <c r="C1068" s="1" t="n">
        <v>45901</v>
      </c>
      <c r="D1068" t="inlineStr">
        <is>
          <t>JÄMTLANDS LÄN</t>
        </is>
      </c>
      <c r="E1068" t="inlineStr">
        <is>
          <t>BRÄCKE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37405-2025</t>
        </is>
      </c>
      <c r="B1069" s="1" t="n">
        <v>45877.44858796296</v>
      </c>
      <c r="C1069" s="1" t="n">
        <v>45901</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37403-2025</t>
        </is>
      </c>
      <c r="B1070" s="1" t="n">
        <v>45877.44828703703</v>
      </c>
      <c r="C1070" s="1" t="n">
        <v>45901</v>
      </c>
      <c r="D1070" t="inlineStr">
        <is>
          <t>JÄMTLANDS LÄN</t>
        </is>
      </c>
      <c r="E1070" t="inlineStr">
        <is>
          <t>BRÄCKE</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37459-2025</t>
        </is>
      </c>
      <c r="B1071" s="1" t="n">
        <v>45877.57327546296</v>
      </c>
      <c r="C1071" s="1" t="n">
        <v>45901</v>
      </c>
      <c r="D1071" t="inlineStr">
        <is>
          <t>JÄMTLANDS LÄN</t>
        </is>
      </c>
      <c r="E1071" t="inlineStr">
        <is>
          <t>BRÄCKE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50515-2023</t>
        </is>
      </c>
      <c r="B1072" s="1" t="n">
        <v>45216</v>
      </c>
      <c r="C1072" s="1" t="n">
        <v>45901</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37411-2025</t>
        </is>
      </c>
      <c r="B1073" s="1" t="n">
        <v>45877.46912037037</v>
      </c>
      <c r="C1073" s="1" t="n">
        <v>45901</v>
      </c>
      <c r="D1073" t="inlineStr">
        <is>
          <t>JÄMTLANDS LÄN</t>
        </is>
      </c>
      <c r="E1073" t="inlineStr">
        <is>
          <t>BRÄCKE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37423-2025</t>
        </is>
      </c>
      <c r="B1074" s="1" t="n">
        <v>45877.48996527777</v>
      </c>
      <c r="C1074" s="1" t="n">
        <v>45901</v>
      </c>
      <c r="D1074" t="inlineStr">
        <is>
          <t>JÄMTLANDS LÄN</t>
        </is>
      </c>
      <c r="E1074" t="inlineStr">
        <is>
          <t>BRÄCKE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37464-2025</t>
        </is>
      </c>
      <c r="B1075" s="1" t="n">
        <v>45877.57395833333</v>
      </c>
      <c r="C1075" s="1" t="n">
        <v>45901</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32281-2025</t>
        </is>
      </c>
      <c r="B1076" s="1" t="n">
        <v>45835.67778935185</v>
      </c>
      <c r="C1076" s="1" t="n">
        <v>45901</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37709-2025</t>
        </is>
      </c>
      <c r="B1077" s="1" t="n">
        <v>45880.59458333333</v>
      </c>
      <c r="C1077" s="1" t="n">
        <v>45901</v>
      </c>
      <c r="D1077" t="inlineStr">
        <is>
          <t>JÄMTLANDS LÄN</t>
        </is>
      </c>
      <c r="E1077" t="inlineStr">
        <is>
          <t>BRÄCKE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18047-2025</t>
        </is>
      </c>
      <c r="B1078" s="1" t="n">
        <v>45761.46606481481</v>
      </c>
      <c r="C1078" s="1" t="n">
        <v>45901</v>
      </c>
      <c r="D1078" t="inlineStr">
        <is>
          <t>JÄMTLANDS LÄN</t>
        </is>
      </c>
      <c r="E1078" t="inlineStr">
        <is>
          <t>BRÄCKE</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47486-2023</t>
        </is>
      </c>
      <c r="B1079" s="1" t="n">
        <v>45202.94155092593</v>
      </c>
      <c r="C1079" s="1" t="n">
        <v>45901</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47487-2023</t>
        </is>
      </c>
      <c r="B1080" s="1" t="n">
        <v>45202.94162037037</v>
      </c>
      <c r="C1080" s="1" t="n">
        <v>45901</v>
      </c>
      <c r="D1080" t="inlineStr">
        <is>
          <t>JÄMTLANDS LÄN</t>
        </is>
      </c>
      <c r="E1080" t="inlineStr">
        <is>
          <t>BRÄCKE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32851-2025</t>
        </is>
      </c>
      <c r="B1081" s="1" t="n">
        <v>45839.57388888889</v>
      </c>
      <c r="C1081" s="1" t="n">
        <v>45901</v>
      </c>
      <c r="D1081" t="inlineStr">
        <is>
          <t>JÄMTLANDS LÄN</t>
        </is>
      </c>
      <c r="E1081" t="inlineStr">
        <is>
          <t>BRÄCKE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54986-2023</t>
        </is>
      </c>
      <c r="B1082" s="1" t="n">
        <v>45236.96729166667</v>
      </c>
      <c r="C1082" s="1" t="n">
        <v>45901</v>
      </c>
      <c r="D1082" t="inlineStr">
        <is>
          <t>JÄMTLANDS LÄN</t>
        </is>
      </c>
      <c r="E1082" t="inlineStr">
        <is>
          <t>BRÄCKE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32697-2025</t>
        </is>
      </c>
      <c r="B1083" s="1" t="n">
        <v>45839.34427083333</v>
      </c>
      <c r="C1083" s="1" t="n">
        <v>45901</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38123-2025</t>
        </is>
      </c>
      <c r="B1084" s="1" t="n">
        <v>45882.55259259259</v>
      </c>
      <c r="C1084" s="1" t="n">
        <v>45901</v>
      </c>
      <c r="D1084" t="inlineStr">
        <is>
          <t>JÄMTLANDS LÄN</t>
        </is>
      </c>
      <c r="E1084" t="inlineStr">
        <is>
          <t>BRÄCKE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18982-2022</t>
        </is>
      </c>
      <c r="B1085" s="1" t="n">
        <v>44690.92626157407</v>
      </c>
      <c r="C1085" s="1" t="n">
        <v>45901</v>
      </c>
      <c r="D1085" t="inlineStr">
        <is>
          <t>JÄMTLANDS LÄN</t>
        </is>
      </c>
      <c r="E1085" t="inlineStr">
        <is>
          <t>BRÄCKE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33275-2025</t>
        </is>
      </c>
      <c r="B1086" s="1" t="n">
        <v>45840.69829861111</v>
      </c>
      <c r="C1086" s="1" t="n">
        <v>45901</v>
      </c>
      <c r="D1086" t="inlineStr">
        <is>
          <t>JÄMTLANDS LÄN</t>
        </is>
      </c>
      <c r="E1086" t="inlineStr">
        <is>
          <t>BRÄCKE</t>
        </is>
      </c>
      <c r="F1086" t="inlineStr">
        <is>
          <t>SCA</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52227-2024</t>
        </is>
      </c>
      <c r="B1087" s="1" t="n">
        <v>45608.60768518518</v>
      </c>
      <c r="C1087" s="1" t="n">
        <v>45901</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29751-2023</t>
        </is>
      </c>
      <c r="B1088" s="1" t="n">
        <v>45107</v>
      </c>
      <c r="C1088" s="1" t="n">
        <v>45901</v>
      </c>
      <c r="D1088" t="inlineStr">
        <is>
          <t>JÄMTLANDS LÄN</t>
        </is>
      </c>
      <c r="E1088" t="inlineStr">
        <is>
          <t>BRÄCKE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33133-2025</t>
        </is>
      </c>
      <c r="B1089" s="1" t="n">
        <v>45840.5050462963</v>
      </c>
      <c r="C1089" s="1" t="n">
        <v>45901</v>
      </c>
      <c r="D1089" t="inlineStr">
        <is>
          <t>JÄMTLANDS LÄN</t>
        </is>
      </c>
      <c r="E1089" t="inlineStr">
        <is>
          <t>BRÄCKE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37938-2025</t>
        </is>
      </c>
      <c r="B1090" s="1" t="n">
        <v>45880</v>
      </c>
      <c r="C1090" s="1" t="n">
        <v>45901</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42480-2024</t>
        </is>
      </c>
      <c r="B1091" s="1" t="n">
        <v>45565.49185185185</v>
      </c>
      <c r="C1091" s="1" t="n">
        <v>45901</v>
      </c>
      <c r="D1091" t="inlineStr">
        <is>
          <t>JÄMTLANDS LÄN</t>
        </is>
      </c>
      <c r="E1091" t="inlineStr">
        <is>
          <t>BRÄCKE</t>
        </is>
      </c>
      <c r="F1091" t="inlineStr">
        <is>
          <t>Kyrkan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37824-2025</t>
        </is>
      </c>
      <c r="B1092" s="1" t="n">
        <v>45881.40686342592</v>
      </c>
      <c r="C1092" s="1" t="n">
        <v>45901</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53260-2024</t>
        </is>
      </c>
      <c r="B1093" s="1" t="n">
        <v>45614</v>
      </c>
      <c r="C1093" s="1" t="n">
        <v>45901</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32913-2025</t>
        </is>
      </c>
      <c r="B1094" s="1" t="n">
        <v>45839.63605324074</v>
      </c>
      <c r="C1094" s="1" t="n">
        <v>45901</v>
      </c>
      <c r="D1094" t="inlineStr">
        <is>
          <t>JÄMTLANDS LÄN</t>
        </is>
      </c>
      <c r="E1094" t="inlineStr">
        <is>
          <t>BRÄCKE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56429-2024</t>
        </is>
      </c>
      <c r="B1095" s="1" t="n">
        <v>45625.40149305556</v>
      </c>
      <c r="C1095" s="1" t="n">
        <v>45901</v>
      </c>
      <c r="D1095" t="inlineStr">
        <is>
          <t>JÄMTLANDS LÄN</t>
        </is>
      </c>
      <c r="E1095" t="inlineStr">
        <is>
          <t>BRÄCKE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56432-2024</t>
        </is>
      </c>
      <c r="B1096" s="1" t="n">
        <v>45625.40679398148</v>
      </c>
      <c r="C1096" s="1" t="n">
        <v>45901</v>
      </c>
      <c r="D1096" t="inlineStr">
        <is>
          <t>JÄMTLANDS LÄN</t>
        </is>
      </c>
      <c r="E1096" t="inlineStr">
        <is>
          <t>BRÄCKE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38072-2025</t>
        </is>
      </c>
      <c r="B1097" s="1" t="n">
        <v>45882</v>
      </c>
      <c r="C1097" s="1" t="n">
        <v>45901</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38095-2025</t>
        </is>
      </c>
      <c r="B1098" s="1" t="n">
        <v>45882.49050925926</v>
      </c>
      <c r="C1098" s="1" t="n">
        <v>45901</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48816-2022</t>
        </is>
      </c>
      <c r="B1099" s="1" t="n">
        <v>44859</v>
      </c>
      <c r="C1099" s="1" t="n">
        <v>45901</v>
      </c>
      <c r="D1099" t="inlineStr">
        <is>
          <t>JÄMTLANDS LÄN</t>
        </is>
      </c>
      <c r="E1099" t="inlineStr">
        <is>
          <t>BRÄCKE</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17420-2024</t>
        </is>
      </c>
      <c r="B1100" s="1" t="n">
        <v>45414.96395833333</v>
      </c>
      <c r="C1100" s="1" t="n">
        <v>45901</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55667-2023</t>
        </is>
      </c>
      <c r="B1101" s="1" t="n">
        <v>45238.96780092592</v>
      </c>
      <c r="C1101" s="1" t="n">
        <v>45901</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55668-2023</t>
        </is>
      </c>
      <c r="B1102" s="1" t="n">
        <v>45238</v>
      </c>
      <c r="C1102" s="1" t="n">
        <v>45901</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64302-2023</t>
        </is>
      </c>
      <c r="B1103" s="1" t="n">
        <v>45280</v>
      </c>
      <c r="C1103" s="1" t="n">
        <v>45901</v>
      </c>
      <c r="D1103" t="inlineStr">
        <is>
          <t>JÄMTLANDS LÄN</t>
        </is>
      </c>
      <c r="E1103" t="inlineStr">
        <is>
          <t>BRÄCKE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59586-2023</t>
        </is>
      </c>
      <c r="B1104" s="1" t="n">
        <v>45254.61172453704</v>
      </c>
      <c r="C1104" s="1" t="n">
        <v>45901</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56047-2024</t>
        </is>
      </c>
      <c r="B1105" s="1" t="n">
        <v>45624.34450231482</v>
      </c>
      <c r="C1105" s="1" t="n">
        <v>45901</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38030-2025</t>
        </is>
      </c>
      <c r="B1106" s="1" t="n">
        <v>45882.36521990741</v>
      </c>
      <c r="C1106" s="1" t="n">
        <v>45901</v>
      </c>
      <c r="D1106" t="inlineStr">
        <is>
          <t>JÄMTLANDS LÄN</t>
        </is>
      </c>
      <c r="E1106" t="inlineStr">
        <is>
          <t>BRÄCKE</t>
        </is>
      </c>
      <c r="F1106" t="inlineStr">
        <is>
          <t>SCA</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37974-2025</t>
        </is>
      </c>
      <c r="B1107" s="1" t="n">
        <v>45881.67743055556</v>
      </c>
      <c r="C1107" s="1" t="n">
        <v>45901</v>
      </c>
      <c r="D1107" t="inlineStr">
        <is>
          <t>JÄMTLANDS LÄN</t>
        </is>
      </c>
      <c r="E1107" t="inlineStr">
        <is>
          <t>BRÄCKE</t>
        </is>
      </c>
      <c r="F1107" t="inlineStr">
        <is>
          <t>SCA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37887-2025</t>
        </is>
      </c>
      <c r="B1108" s="1" t="n">
        <v>45881.51099537037</v>
      </c>
      <c r="C1108" s="1" t="n">
        <v>45901</v>
      </c>
      <c r="D1108" t="inlineStr">
        <is>
          <t>JÄMTLANDS LÄN</t>
        </is>
      </c>
      <c r="E1108" t="inlineStr">
        <is>
          <t>BRÄCKE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38025-2025</t>
        </is>
      </c>
      <c r="B1109" s="1" t="n">
        <v>45882.34527777778</v>
      </c>
      <c r="C1109" s="1" t="n">
        <v>45901</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38324-2025</t>
        </is>
      </c>
      <c r="B1110" s="1" t="n">
        <v>45883.49037037037</v>
      </c>
      <c r="C1110" s="1" t="n">
        <v>45901</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38619-2025</t>
        </is>
      </c>
      <c r="B1111" s="1" t="n">
        <v>45884.55284722222</v>
      </c>
      <c r="C1111" s="1" t="n">
        <v>45901</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33956-2025</t>
        </is>
      </c>
      <c r="B1112" s="1" t="n">
        <v>45842.67746527777</v>
      </c>
      <c r="C1112" s="1" t="n">
        <v>45901</v>
      </c>
      <c r="D1112" t="inlineStr">
        <is>
          <t>JÄMTLANDS LÄN</t>
        </is>
      </c>
      <c r="E1112" t="inlineStr">
        <is>
          <t>BRÄCKE</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38379-2025</t>
        </is>
      </c>
      <c r="B1113" s="1" t="n">
        <v>45883.57377314815</v>
      </c>
      <c r="C1113" s="1" t="n">
        <v>45901</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38304-2025</t>
        </is>
      </c>
      <c r="B1114" s="1" t="n">
        <v>45883.46912037037</v>
      </c>
      <c r="C1114" s="1" t="n">
        <v>45901</v>
      </c>
      <c r="D1114" t="inlineStr">
        <is>
          <t>JÄMTLANDS LÄN</t>
        </is>
      </c>
      <c r="E1114" t="inlineStr">
        <is>
          <t>BRÄCKE</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18983-2025</t>
        </is>
      </c>
      <c r="B1115" s="1" t="n">
        <v>45764.55618055556</v>
      </c>
      <c r="C1115" s="1" t="n">
        <v>45901</v>
      </c>
      <c r="D1115" t="inlineStr">
        <is>
          <t>JÄMTLANDS LÄN</t>
        </is>
      </c>
      <c r="E1115" t="inlineStr">
        <is>
          <t>BRÄCKE</t>
        </is>
      </c>
      <c r="G1115" t="n">
        <v>23.8</v>
      </c>
      <c r="H1115" t="n">
        <v>0</v>
      </c>
      <c r="I1115" t="n">
        <v>0</v>
      </c>
      <c r="J1115" t="n">
        <v>0</v>
      </c>
      <c r="K1115" t="n">
        <v>0</v>
      </c>
      <c r="L1115" t="n">
        <v>0</v>
      </c>
      <c r="M1115" t="n">
        <v>0</v>
      </c>
      <c r="N1115" t="n">
        <v>0</v>
      </c>
      <c r="O1115" t="n">
        <v>0</v>
      </c>
      <c r="P1115" t="n">
        <v>0</v>
      </c>
      <c r="Q1115" t="n">
        <v>0</v>
      </c>
      <c r="R1115" s="2" t="inlineStr"/>
    </row>
    <row r="1116" ht="15" customHeight="1">
      <c r="A1116" t="inlineStr">
        <is>
          <t>A 57783-2023</t>
        </is>
      </c>
      <c r="B1116" s="1" t="n">
        <v>45246.96743055555</v>
      </c>
      <c r="C1116" s="1" t="n">
        <v>45901</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57798-2023</t>
        </is>
      </c>
      <c r="B1117" s="1" t="n">
        <v>45246.96893518518</v>
      </c>
      <c r="C1117" s="1" t="n">
        <v>45901</v>
      </c>
      <c r="D1117" t="inlineStr">
        <is>
          <t>JÄMTLANDS LÄN</t>
        </is>
      </c>
      <c r="E1117" t="inlineStr">
        <is>
          <t>BRÄCKE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10103-2025</t>
        </is>
      </c>
      <c r="B1118" s="1" t="n">
        <v>45719.57978009259</v>
      </c>
      <c r="C1118" s="1" t="n">
        <v>45901</v>
      </c>
      <c r="D1118" t="inlineStr">
        <is>
          <t>JÄMTLANDS LÄN</t>
        </is>
      </c>
      <c r="E1118" t="inlineStr">
        <is>
          <t>BRÄCKE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43789-2022</t>
        </is>
      </c>
      <c r="B1119" s="1" t="n">
        <v>44837</v>
      </c>
      <c r="C1119" s="1" t="n">
        <v>45901</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8853-2025</t>
        </is>
      </c>
      <c r="B1120" s="1" t="n">
        <v>45713.34482638889</v>
      </c>
      <c r="C1120" s="1" t="n">
        <v>45901</v>
      </c>
      <c r="D1120" t="inlineStr">
        <is>
          <t>JÄMTLANDS LÄN</t>
        </is>
      </c>
      <c r="E1120" t="inlineStr">
        <is>
          <t>BRÄCKE</t>
        </is>
      </c>
      <c r="F1120" t="inlineStr">
        <is>
          <t>SCA</t>
        </is>
      </c>
      <c r="G1120" t="n">
        <v>15.7</v>
      </c>
      <c r="H1120" t="n">
        <v>0</v>
      </c>
      <c r="I1120" t="n">
        <v>0</v>
      </c>
      <c r="J1120" t="n">
        <v>0</v>
      </c>
      <c r="K1120" t="n">
        <v>0</v>
      </c>
      <c r="L1120" t="n">
        <v>0</v>
      </c>
      <c r="M1120" t="n">
        <v>0</v>
      </c>
      <c r="N1120" t="n">
        <v>0</v>
      </c>
      <c r="O1120" t="n">
        <v>0</v>
      </c>
      <c r="P1120" t="n">
        <v>0</v>
      </c>
      <c r="Q1120" t="n">
        <v>0</v>
      </c>
      <c r="R1120" s="2" t="inlineStr"/>
    </row>
    <row r="1121" ht="15" customHeight="1">
      <c r="A1121" t="inlineStr">
        <is>
          <t>A 9706-2025</t>
        </is>
      </c>
      <c r="B1121" s="1" t="n">
        <v>45716.3858912037</v>
      </c>
      <c r="C1121" s="1" t="n">
        <v>45901</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8958-2023</t>
        </is>
      </c>
      <c r="B1122" s="1" t="n">
        <v>44979.47976851852</v>
      </c>
      <c r="C1122" s="1" t="n">
        <v>45901</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18255-2025</t>
        </is>
      </c>
      <c r="B1123" s="1" t="n">
        <v>45762.3446412037</v>
      </c>
      <c r="C1123" s="1" t="n">
        <v>45901</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52754-2023</t>
        </is>
      </c>
      <c r="B1124" s="1" t="n">
        <v>45225.96831018518</v>
      </c>
      <c r="C1124" s="1" t="n">
        <v>45901</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10857-2024</t>
        </is>
      </c>
      <c r="B1125" s="1" t="n">
        <v>45370.01916666667</v>
      </c>
      <c r="C1125" s="1" t="n">
        <v>45901</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61143-2020</t>
        </is>
      </c>
      <c r="B1126" s="1" t="n">
        <v>44154</v>
      </c>
      <c r="C1126" s="1" t="n">
        <v>45901</v>
      </c>
      <c r="D1126" t="inlineStr">
        <is>
          <t>JÄMTLANDS LÄN</t>
        </is>
      </c>
      <c r="E1126" t="inlineStr">
        <is>
          <t>BRÄCKE</t>
        </is>
      </c>
      <c r="G1126" t="n">
        <v>12.6</v>
      </c>
      <c r="H1126" t="n">
        <v>0</v>
      </c>
      <c r="I1126" t="n">
        <v>0</v>
      </c>
      <c r="J1126" t="n">
        <v>0</v>
      </c>
      <c r="K1126" t="n">
        <v>0</v>
      </c>
      <c r="L1126" t="n">
        <v>0</v>
      </c>
      <c r="M1126" t="n">
        <v>0</v>
      </c>
      <c r="N1126" t="n">
        <v>0</v>
      </c>
      <c r="O1126" t="n">
        <v>0</v>
      </c>
      <c r="P1126" t="n">
        <v>0</v>
      </c>
      <c r="Q1126" t="n">
        <v>0</v>
      </c>
      <c r="R1126" s="2" t="inlineStr"/>
    </row>
    <row r="1127" ht="15" customHeight="1">
      <c r="A1127" t="inlineStr">
        <is>
          <t>A 38241-2025</t>
        </is>
      </c>
      <c r="B1127" s="1" t="n">
        <v>45883.36541666667</v>
      </c>
      <c r="C1127" s="1" t="n">
        <v>45901</v>
      </c>
      <c r="D1127" t="inlineStr">
        <is>
          <t>JÄMTLANDS LÄN</t>
        </is>
      </c>
      <c r="E1127" t="inlineStr">
        <is>
          <t>BRÄCKE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33854-2025</t>
        </is>
      </c>
      <c r="B1128" s="1" t="n">
        <v>45842.51112268519</v>
      </c>
      <c r="C1128" s="1" t="n">
        <v>45901</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45901</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38378-2025</t>
        </is>
      </c>
      <c r="B1130" s="1" t="n">
        <v>45883.57368055556</v>
      </c>
      <c r="C1130" s="1" t="n">
        <v>45901</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33648-2025</t>
        </is>
      </c>
      <c r="B1131" s="1" t="n">
        <v>45841.65681712963</v>
      </c>
      <c r="C1131" s="1" t="n">
        <v>45901</v>
      </c>
      <c r="D1131" t="inlineStr">
        <is>
          <t>JÄMTLANDS LÄN</t>
        </is>
      </c>
      <c r="E1131" t="inlineStr">
        <is>
          <t>BRÄCKE</t>
        </is>
      </c>
      <c r="F1131" t="inlineStr">
        <is>
          <t>SCA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38358-2025</t>
        </is>
      </c>
      <c r="B1132" s="1" t="n">
        <v>45883.5327662037</v>
      </c>
      <c r="C1132" s="1" t="n">
        <v>45901</v>
      </c>
      <c r="D1132" t="inlineStr">
        <is>
          <t>JÄMTLANDS LÄN</t>
        </is>
      </c>
      <c r="E1132" t="inlineStr">
        <is>
          <t>BRÄCKE</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58083-2023</t>
        </is>
      </c>
      <c r="B1133" s="1" t="n">
        <v>45247</v>
      </c>
      <c r="C1133" s="1" t="n">
        <v>45901</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33868-2025</t>
        </is>
      </c>
      <c r="B1134" s="1" t="n">
        <v>45842.53967592592</v>
      </c>
      <c r="C1134" s="1" t="n">
        <v>45901</v>
      </c>
      <c r="D1134" t="inlineStr">
        <is>
          <t>JÄMTLANDS LÄN</t>
        </is>
      </c>
      <c r="E1134" t="inlineStr">
        <is>
          <t>BRÄCKE</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33900-2025</t>
        </is>
      </c>
      <c r="B1135" s="1" t="n">
        <v>45842.59454861111</v>
      </c>
      <c r="C1135" s="1" t="n">
        <v>45901</v>
      </c>
      <c r="D1135" t="inlineStr">
        <is>
          <t>JÄMTLANDS LÄN</t>
        </is>
      </c>
      <c r="E1135" t="inlineStr">
        <is>
          <t>BRÄCKE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33937-2025</t>
        </is>
      </c>
      <c r="B1136" s="1" t="n">
        <v>45842.63650462963</v>
      </c>
      <c r="C1136" s="1" t="n">
        <v>45901</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33902-2025</t>
        </is>
      </c>
      <c r="B1137" s="1" t="n">
        <v>45842.59513888889</v>
      </c>
      <c r="C1137" s="1" t="n">
        <v>45901</v>
      </c>
      <c r="D1137" t="inlineStr">
        <is>
          <t>JÄMTLANDS LÄN</t>
        </is>
      </c>
      <c r="E1137" t="inlineStr">
        <is>
          <t>BRÄCKE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20624-2023</t>
        </is>
      </c>
      <c r="B1138" s="1" t="n">
        <v>45057.94346064814</v>
      </c>
      <c r="C1138" s="1" t="n">
        <v>45901</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33776-2025</t>
        </is>
      </c>
      <c r="B1139" s="1" t="n">
        <v>45842.39412037037</v>
      </c>
      <c r="C1139" s="1" t="n">
        <v>45901</v>
      </c>
      <c r="D1139" t="inlineStr">
        <is>
          <t>JÄMTLANDS LÄN</t>
        </is>
      </c>
      <c r="E1139" t="inlineStr">
        <is>
          <t>BRÄCKE</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24214-2023</t>
        </is>
      </c>
      <c r="B1140" s="1" t="n">
        <v>45079.5752199074</v>
      </c>
      <c r="C1140" s="1" t="n">
        <v>45901</v>
      </c>
      <c r="D1140" t="inlineStr">
        <is>
          <t>JÄMTLANDS LÄN</t>
        </is>
      </c>
      <c r="E1140" t="inlineStr">
        <is>
          <t>BRÄCKE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24026-2024</t>
        </is>
      </c>
      <c r="B1141" s="1" t="n">
        <v>45456.45159722222</v>
      </c>
      <c r="C1141" s="1" t="n">
        <v>45901</v>
      </c>
      <c r="D1141" t="inlineStr">
        <is>
          <t>JÄMTLANDS LÄN</t>
        </is>
      </c>
      <c r="E1141" t="inlineStr">
        <is>
          <t>BRÄCKE</t>
        </is>
      </c>
      <c r="F1141" t="inlineStr">
        <is>
          <t>Övriga Aktiebolag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38278-2025</t>
        </is>
      </c>
      <c r="B1142" s="1" t="n">
        <v>45883.41405092592</v>
      </c>
      <c r="C1142" s="1" t="n">
        <v>45901</v>
      </c>
      <c r="D1142" t="inlineStr">
        <is>
          <t>JÄMTLANDS LÄN</t>
        </is>
      </c>
      <c r="E1142" t="inlineStr">
        <is>
          <t>BRÄCKE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38361-2025</t>
        </is>
      </c>
      <c r="B1143" s="1" t="n">
        <v>45883.53303240741</v>
      </c>
      <c r="C1143" s="1" t="n">
        <v>45901</v>
      </c>
      <c r="D1143" t="inlineStr">
        <is>
          <t>JÄMTLANDS LÄN</t>
        </is>
      </c>
      <c r="E1143" t="inlineStr">
        <is>
          <t>BRÄCKE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38333-2025</t>
        </is>
      </c>
      <c r="B1144" s="1" t="n">
        <v>45883.49164351852</v>
      </c>
      <c r="C1144" s="1" t="n">
        <v>45901</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38391-2025</t>
        </is>
      </c>
      <c r="B1145" s="1" t="n">
        <v>45883.57501157407</v>
      </c>
      <c r="C1145" s="1" t="n">
        <v>45901</v>
      </c>
      <c r="D1145" t="inlineStr">
        <is>
          <t>JÄMTLANDS LÄN</t>
        </is>
      </c>
      <c r="E1145" t="inlineStr">
        <is>
          <t>BRÄCKE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38352-2025</t>
        </is>
      </c>
      <c r="B1146" s="1" t="n">
        <v>45883.53186342592</v>
      </c>
      <c r="C1146" s="1" t="n">
        <v>45901</v>
      </c>
      <c r="D1146" t="inlineStr">
        <is>
          <t>JÄMTLANDS LÄN</t>
        </is>
      </c>
      <c r="E1146" t="inlineStr">
        <is>
          <t>BRÄCKE</t>
        </is>
      </c>
      <c r="F1146" t="inlineStr">
        <is>
          <t>SCA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38353-2025</t>
        </is>
      </c>
      <c r="B1147" s="1" t="n">
        <v>45883.53201388889</v>
      </c>
      <c r="C1147" s="1" t="n">
        <v>45901</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33796-2025</t>
        </is>
      </c>
      <c r="B1148" s="1" t="n">
        <v>45842.43670138889</v>
      </c>
      <c r="C1148" s="1" t="n">
        <v>45901</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54035-2021</t>
        </is>
      </c>
      <c r="B1149" s="1" t="n">
        <v>44470</v>
      </c>
      <c r="C1149" s="1" t="n">
        <v>45901</v>
      </c>
      <c r="D1149" t="inlineStr">
        <is>
          <t>JÄMTLANDS LÄN</t>
        </is>
      </c>
      <c r="E1149" t="inlineStr">
        <is>
          <t>BRÄCKE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38245-2025</t>
        </is>
      </c>
      <c r="B1150" s="1" t="n">
        <v>45883.36563657408</v>
      </c>
      <c r="C1150" s="1" t="n">
        <v>45901</v>
      </c>
      <c r="D1150" t="inlineStr">
        <is>
          <t>JÄMTLANDS LÄN</t>
        </is>
      </c>
      <c r="E1150" t="inlineStr">
        <is>
          <t>BRÄCKE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20514-2024</t>
        </is>
      </c>
      <c r="B1151" s="1" t="n">
        <v>45435.94387731481</v>
      </c>
      <c r="C1151" s="1" t="n">
        <v>45901</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38381-2025</t>
        </is>
      </c>
      <c r="B1152" s="1" t="n">
        <v>45883.57380787037</v>
      </c>
      <c r="C1152" s="1" t="n">
        <v>45901</v>
      </c>
      <c r="D1152" t="inlineStr">
        <is>
          <t>JÄMTLANDS LÄN</t>
        </is>
      </c>
      <c r="E1152" t="inlineStr">
        <is>
          <t>BRÄCKE</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38328-2025</t>
        </is>
      </c>
      <c r="B1153" s="1" t="n">
        <v>45883.4909837963</v>
      </c>
      <c r="C1153" s="1" t="n">
        <v>45901</v>
      </c>
      <c r="D1153" t="inlineStr">
        <is>
          <t>JÄMTLANDS LÄN</t>
        </is>
      </c>
      <c r="E1153" t="inlineStr">
        <is>
          <t>BRÄCKE</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38329-2025</t>
        </is>
      </c>
      <c r="B1154" s="1" t="n">
        <v>45883.49111111111</v>
      </c>
      <c r="C1154" s="1" t="n">
        <v>45901</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35501-2022</t>
        </is>
      </c>
      <c r="B1155" s="1" t="n">
        <v>44798.94827546296</v>
      </c>
      <c r="C1155" s="1" t="n">
        <v>45901</v>
      </c>
      <c r="D1155" t="inlineStr">
        <is>
          <t>JÄMTLANDS LÄN</t>
        </is>
      </c>
      <c r="E1155" t="inlineStr">
        <is>
          <t>BRÄCKE</t>
        </is>
      </c>
      <c r="F1155" t="inlineStr">
        <is>
          <t>SCA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33873-2025</t>
        </is>
      </c>
      <c r="B1156" s="1" t="n">
        <v>45842.54912037037</v>
      </c>
      <c r="C1156" s="1" t="n">
        <v>45901</v>
      </c>
      <c r="D1156" t="inlineStr">
        <is>
          <t>JÄMTLANDS LÄN</t>
        </is>
      </c>
      <c r="E1156" t="inlineStr">
        <is>
          <t>BRÄCKE</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38456-2025</t>
        </is>
      </c>
      <c r="B1157" s="1" t="n">
        <v>45883.69831018519</v>
      </c>
      <c r="C1157" s="1" t="n">
        <v>45901</v>
      </c>
      <c r="D1157" t="inlineStr">
        <is>
          <t>JÄMTLANDS LÄN</t>
        </is>
      </c>
      <c r="E1157" t="inlineStr">
        <is>
          <t>BRÄCKE</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38459-2025</t>
        </is>
      </c>
      <c r="B1158" s="1" t="n">
        <v>45883.71927083333</v>
      </c>
      <c r="C1158" s="1" t="n">
        <v>45901</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38461-2025</t>
        </is>
      </c>
      <c r="B1159" s="1" t="n">
        <v>45883.71962962963</v>
      </c>
      <c r="C1159" s="1" t="n">
        <v>45901</v>
      </c>
      <c r="D1159" t="inlineStr">
        <is>
          <t>JÄMTLANDS LÄN</t>
        </is>
      </c>
      <c r="E1159" t="inlineStr">
        <is>
          <t>BRÄCKE</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39930-2022</t>
        </is>
      </c>
      <c r="B1160" s="1" t="n">
        <v>44819</v>
      </c>
      <c r="C1160" s="1" t="n">
        <v>45901</v>
      </c>
      <c r="D1160" t="inlineStr">
        <is>
          <t>JÄMTLANDS LÄN</t>
        </is>
      </c>
      <c r="E1160" t="inlineStr">
        <is>
          <t>BRÄCKE</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12524-2025</t>
        </is>
      </c>
      <c r="B1161" s="1" t="n">
        <v>45730.6775462963</v>
      </c>
      <c r="C1161" s="1" t="n">
        <v>45901</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12553-2025</t>
        </is>
      </c>
      <c r="B1162" s="1" t="n">
        <v>45731.34431712963</v>
      </c>
      <c r="C1162" s="1" t="n">
        <v>45901</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34189-2025</t>
        </is>
      </c>
      <c r="B1163" s="1" t="n">
        <v>45845.61555555555</v>
      </c>
      <c r="C1163" s="1" t="n">
        <v>45901</v>
      </c>
      <c r="D1163" t="inlineStr">
        <is>
          <t>JÄMTLANDS LÄN</t>
        </is>
      </c>
      <c r="E1163" t="inlineStr">
        <is>
          <t>BRÄCKE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34338-2025</t>
        </is>
      </c>
      <c r="B1164" s="1" t="n">
        <v>45846.45711805556</v>
      </c>
      <c r="C1164" s="1" t="n">
        <v>45901</v>
      </c>
      <c r="D1164" t="inlineStr">
        <is>
          <t>JÄMTLANDS LÄN</t>
        </is>
      </c>
      <c r="E1164" t="inlineStr">
        <is>
          <t>BRÄCKE</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38775-2025</t>
        </is>
      </c>
      <c r="B1165" s="1" t="n">
        <v>45887.42667824074</v>
      </c>
      <c r="C1165" s="1" t="n">
        <v>45901</v>
      </c>
      <c r="D1165" t="inlineStr">
        <is>
          <t>JÄMTLANDS LÄN</t>
        </is>
      </c>
      <c r="E1165" t="inlineStr">
        <is>
          <t>BRÄCKE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38811-2025</t>
        </is>
      </c>
      <c r="B1166" s="1" t="n">
        <v>45887.48994212963</v>
      </c>
      <c r="C1166" s="1" t="n">
        <v>45901</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38835-2025</t>
        </is>
      </c>
      <c r="B1167" s="1" t="n">
        <v>45887.53195601852</v>
      </c>
      <c r="C1167" s="1" t="n">
        <v>45901</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38847-2025</t>
        </is>
      </c>
      <c r="B1168" s="1" t="n">
        <v>45887.54438657407</v>
      </c>
      <c r="C1168" s="1" t="n">
        <v>45901</v>
      </c>
      <c r="D1168" t="inlineStr">
        <is>
          <t>JÄMTLANDS LÄN</t>
        </is>
      </c>
      <c r="E1168" t="inlineStr">
        <is>
          <t>BRÄCKE</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8780-2025</t>
        </is>
      </c>
      <c r="B1169" s="1" t="n">
        <v>45712.615625</v>
      </c>
      <c r="C1169" s="1" t="n">
        <v>45901</v>
      </c>
      <c r="D1169" t="inlineStr">
        <is>
          <t>JÄMTLANDS LÄN</t>
        </is>
      </c>
      <c r="E1169" t="inlineStr">
        <is>
          <t>BRÄCKE</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23444-2022</t>
        </is>
      </c>
      <c r="B1170" s="1" t="n">
        <v>44720.94118055556</v>
      </c>
      <c r="C1170" s="1" t="n">
        <v>45901</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57088-2024</t>
        </is>
      </c>
      <c r="B1171" s="1" t="n">
        <v>45629.35652777777</v>
      </c>
      <c r="C1171" s="1" t="n">
        <v>45901</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45901</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43785-2022</t>
        </is>
      </c>
      <c r="B1173" s="1" t="n">
        <v>44837</v>
      </c>
      <c r="C1173" s="1" t="n">
        <v>45901</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34294-2025</t>
        </is>
      </c>
      <c r="B1174" s="1" t="n">
        <v>45846.34422453704</v>
      </c>
      <c r="C1174" s="1" t="n">
        <v>45901</v>
      </c>
      <c r="D1174" t="inlineStr">
        <is>
          <t>JÄMTLANDS LÄN</t>
        </is>
      </c>
      <c r="E1174" t="inlineStr">
        <is>
          <t>BRÄCKE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59914-2022</t>
        </is>
      </c>
      <c r="B1175" s="1" t="n">
        <v>44908.96010416667</v>
      </c>
      <c r="C1175" s="1" t="n">
        <v>45901</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39117-2025</t>
        </is>
      </c>
      <c r="B1176" s="1" t="n">
        <v>45888.55275462963</v>
      </c>
      <c r="C1176" s="1" t="n">
        <v>45901</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39052-2025</t>
        </is>
      </c>
      <c r="B1177" s="1" t="n">
        <v>45888.44829861111</v>
      </c>
      <c r="C1177" s="1" t="n">
        <v>45901</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34102-2025</t>
        </is>
      </c>
      <c r="B1178" s="1" t="n">
        <v>45845.49</v>
      </c>
      <c r="C1178" s="1" t="n">
        <v>45901</v>
      </c>
      <c r="D1178" t="inlineStr">
        <is>
          <t>JÄMTLANDS LÄN</t>
        </is>
      </c>
      <c r="E1178" t="inlineStr">
        <is>
          <t>BRÄCKE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34322-2025</t>
        </is>
      </c>
      <c r="B1179" s="1" t="n">
        <v>45846.42747685185</v>
      </c>
      <c r="C1179" s="1" t="n">
        <v>45901</v>
      </c>
      <c r="D1179" t="inlineStr">
        <is>
          <t>JÄMTLANDS LÄN</t>
        </is>
      </c>
      <c r="E1179" t="inlineStr">
        <is>
          <t>BRÄCKE</t>
        </is>
      </c>
      <c r="F1179" t="inlineStr">
        <is>
          <t>SCA</t>
        </is>
      </c>
      <c r="G1179" t="n">
        <v>32.6</v>
      </c>
      <c r="H1179" t="n">
        <v>0</v>
      </c>
      <c r="I1179" t="n">
        <v>0</v>
      </c>
      <c r="J1179" t="n">
        <v>0</v>
      </c>
      <c r="K1179" t="n">
        <v>0</v>
      </c>
      <c r="L1179" t="n">
        <v>0</v>
      </c>
      <c r="M1179" t="n">
        <v>0</v>
      </c>
      <c r="N1179" t="n">
        <v>0</v>
      </c>
      <c r="O1179" t="n">
        <v>0</v>
      </c>
      <c r="P1179" t="n">
        <v>0</v>
      </c>
      <c r="Q1179" t="n">
        <v>0</v>
      </c>
      <c r="R1179" s="2" t="inlineStr"/>
    </row>
    <row r="1180" ht="15" customHeight="1">
      <c r="A1180" t="inlineStr">
        <is>
          <t>A 48284-2021</t>
        </is>
      </c>
      <c r="B1180" s="1" t="n">
        <v>44449.75931712963</v>
      </c>
      <c r="C1180" s="1" t="n">
        <v>45901</v>
      </c>
      <c r="D1180" t="inlineStr">
        <is>
          <t>JÄMTLANDS LÄN</t>
        </is>
      </c>
      <c r="E1180" t="inlineStr">
        <is>
          <t>BRÄCKE</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1127-2025</t>
        </is>
      </c>
      <c r="B1181" s="1" t="n">
        <v>45666.67756944444</v>
      </c>
      <c r="C1181" s="1" t="n">
        <v>45901</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34087-2025</t>
        </is>
      </c>
      <c r="B1182" s="1" t="n">
        <v>45845.46913194445</v>
      </c>
      <c r="C1182" s="1" t="n">
        <v>45901</v>
      </c>
      <c r="D1182" t="inlineStr">
        <is>
          <t>JÄMTLANDS LÄN</t>
        </is>
      </c>
      <c r="E1182" t="inlineStr">
        <is>
          <t>BRÄCKE</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45901</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39087-2025</t>
        </is>
      </c>
      <c r="B1184" s="1" t="n">
        <v>45888.49076388889</v>
      </c>
      <c r="C1184" s="1" t="n">
        <v>45901</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39100-2025</t>
        </is>
      </c>
      <c r="B1185" s="1" t="n">
        <v>45888.5108912037</v>
      </c>
      <c r="C1185" s="1" t="n">
        <v>45901</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39116-2025</t>
        </is>
      </c>
      <c r="B1186" s="1" t="n">
        <v>45888.55255787037</v>
      </c>
      <c r="C1186" s="1" t="n">
        <v>45901</v>
      </c>
      <c r="D1186" t="inlineStr">
        <is>
          <t>JÄMTLANDS LÄN</t>
        </is>
      </c>
      <c r="E1186" t="inlineStr">
        <is>
          <t>BRÄCKE</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34155-2025</t>
        </is>
      </c>
      <c r="B1187" s="1" t="n">
        <v>45845.57334490741</v>
      </c>
      <c r="C1187" s="1" t="n">
        <v>45901</v>
      </c>
      <c r="D1187" t="inlineStr">
        <is>
          <t>JÄMTLANDS LÄN</t>
        </is>
      </c>
      <c r="E1187" t="inlineStr">
        <is>
          <t>BRÄCKE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38812-2025</t>
        </is>
      </c>
      <c r="B1188" s="1" t="n">
        <v>45887.49016203704</v>
      </c>
      <c r="C1188" s="1" t="n">
        <v>45901</v>
      </c>
      <c r="D1188" t="inlineStr">
        <is>
          <t>JÄMTLANDS LÄN</t>
        </is>
      </c>
      <c r="E1188" t="inlineStr">
        <is>
          <t>BRÄCKE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38834-2025</t>
        </is>
      </c>
      <c r="B1189" s="1" t="n">
        <v>45887.53174768519</v>
      </c>
      <c r="C1189" s="1" t="n">
        <v>45901</v>
      </c>
      <c r="D1189" t="inlineStr">
        <is>
          <t>JÄMTLANDS LÄN</t>
        </is>
      </c>
      <c r="E1189" t="inlineStr">
        <is>
          <t>BRÄCKE</t>
        </is>
      </c>
      <c r="F1189" t="inlineStr">
        <is>
          <t>SCA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9150-2025</t>
        </is>
      </c>
      <c r="B1190" s="1" t="n">
        <v>45714.34436342592</v>
      </c>
      <c r="C1190" s="1" t="n">
        <v>45901</v>
      </c>
      <c r="D1190" t="inlineStr">
        <is>
          <t>JÄMTLANDS LÄN</t>
        </is>
      </c>
      <c r="E1190" t="inlineStr">
        <is>
          <t>BRÄCKE</t>
        </is>
      </c>
      <c r="F1190" t="inlineStr">
        <is>
          <t>SCA</t>
        </is>
      </c>
      <c r="G1190" t="n">
        <v>29.6</v>
      </c>
      <c r="H1190" t="n">
        <v>0</v>
      </c>
      <c r="I1190" t="n">
        <v>0</v>
      </c>
      <c r="J1190" t="n">
        <v>0</v>
      </c>
      <c r="K1190" t="n">
        <v>0</v>
      </c>
      <c r="L1190" t="n">
        <v>0</v>
      </c>
      <c r="M1190" t="n">
        <v>0</v>
      </c>
      <c r="N1190" t="n">
        <v>0</v>
      </c>
      <c r="O1190" t="n">
        <v>0</v>
      </c>
      <c r="P1190" t="n">
        <v>0</v>
      </c>
      <c r="Q1190" t="n">
        <v>0</v>
      </c>
      <c r="R1190" s="2" t="inlineStr"/>
    </row>
    <row r="1191" ht="15" customHeight="1">
      <c r="A1191" t="inlineStr">
        <is>
          <t>A 17577-2022</t>
        </is>
      </c>
      <c r="B1191" s="1" t="n">
        <v>44679</v>
      </c>
      <c r="C1191" s="1" t="n">
        <v>45901</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38842-2025</t>
        </is>
      </c>
      <c r="B1192" s="1" t="n">
        <v>45887.54003472222</v>
      </c>
      <c r="C1192" s="1" t="n">
        <v>45901</v>
      </c>
      <c r="D1192" t="inlineStr">
        <is>
          <t>JÄMTLANDS LÄN</t>
        </is>
      </c>
      <c r="E1192" t="inlineStr">
        <is>
          <t>BRÄCKE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49189-2024</t>
        </is>
      </c>
      <c r="B1193" s="1" t="n">
        <v>45595.34502314815</v>
      </c>
      <c r="C1193" s="1" t="n">
        <v>45901</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39086-2025</t>
        </is>
      </c>
      <c r="B1194" s="1" t="n">
        <v>45888.49046296296</v>
      </c>
      <c r="C1194" s="1" t="n">
        <v>45901</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39088-2025</t>
        </is>
      </c>
      <c r="B1195" s="1" t="n">
        <v>45888.49105324074</v>
      </c>
      <c r="C1195" s="1" t="n">
        <v>45901</v>
      </c>
      <c r="D1195" t="inlineStr">
        <is>
          <t>JÄMTLANDS LÄN</t>
        </is>
      </c>
      <c r="E1195" t="inlineStr">
        <is>
          <t>BRÄCKE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172-2025</t>
        </is>
      </c>
      <c r="B1196" s="1" t="n">
        <v>45659.6565625</v>
      </c>
      <c r="C1196" s="1" t="n">
        <v>45901</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39666-2025</t>
        </is>
      </c>
      <c r="B1197" s="1" t="n">
        <v>45890.63628472222</v>
      </c>
      <c r="C1197" s="1" t="n">
        <v>45901</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34773-2025</t>
        </is>
      </c>
      <c r="B1198" s="1" t="n">
        <v>45848.65672453704</v>
      </c>
      <c r="C1198" s="1" t="n">
        <v>45901</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45901</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34746-2025</t>
        </is>
      </c>
      <c r="B1200" s="1" t="n">
        <v>45848.61505787037</v>
      </c>
      <c r="C1200" s="1" t="n">
        <v>45901</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61787-2023</t>
        </is>
      </c>
      <c r="B1201" s="1" t="n">
        <v>45265.95765046297</v>
      </c>
      <c r="C1201" s="1" t="n">
        <v>45901</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45901</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34786-2025</t>
        </is>
      </c>
      <c r="B1203" s="1" t="n">
        <v>45848.67784722222</v>
      </c>
      <c r="C1203" s="1" t="n">
        <v>45901</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40791-2024</t>
        </is>
      </c>
      <c r="B1204" s="1" t="n">
        <v>45558.50222222223</v>
      </c>
      <c r="C1204" s="1" t="n">
        <v>45901</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52610-2024</t>
        </is>
      </c>
      <c r="B1205" s="1" t="n">
        <v>45609.78957175926</v>
      </c>
      <c r="C1205" s="1" t="n">
        <v>45901</v>
      </c>
      <c r="D1205" t="inlineStr">
        <is>
          <t>JÄMTLANDS LÄN</t>
        </is>
      </c>
      <c r="E1205" t="inlineStr">
        <is>
          <t>BRÄCKE</t>
        </is>
      </c>
      <c r="G1205" t="n">
        <v>16.7</v>
      </c>
      <c r="H1205" t="n">
        <v>0</v>
      </c>
      <c r="I1205" t="n">
        <v>0</v>
      </c>
      <c r="J1205" t="n">
        <v>0</v>
      </c>
      <c r="K1205" t="n">
        <v>0</v>
      </c>
      <c r="L1205" t="n">
        <v>0</v>
      </c>
      <c r="M1205" t="n">
        <v>0</v>
      </c>
      <c r="N1205" t="n">
        <v>0</v>
      </c>
      <c r="O1205" t="n">
        <v>0</v>
      </c>
      <c r="P1205" t="n">
        <v>0</v>
      </c>
      <c r="Q1205" t="n">
        <v>0</v>
      </c>
      <c r="R1205" s="2" t="inlineStr"/>
    </row>
    <row r="1206" ht="15" customHeight="1">
      <c r="A1206" t="inlineStr">
        <is>
          <t>A 26437-2022</t>
        </is>
      </c>
      <c r="B1206" s="1" t="n">
        <v>44736.93912037037</v>
      </c>
      <c r="C1206" s="1" t="n">
        <v>45901</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45901</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21366-2021</t>
        </is>
      </c>
      <c r="B1208" s="1" t="n">
        <v>44320</v>
      </c>
      <c r="C1208" s="1" t="n">
        <v>45901</v>
      </c>
      <c r="D1208" t="inlineStr">
        <is>
          <t>JÄMTLANDS LÄN</t>
        </is>
      </c>
      <c r="E1208" t="inlineStr">
        <is>
          <t>BRÄCKE</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39532-2025</t>
        </is>
      </c>
      <c r="B1209" s="1" t="n">
        <v>45890.44847222222</v>
      </c>
      <c r="C1209" s="1" t="n">
        <v>45901</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39505-2025</t>
        </is>
      </c>
      <c r="B1210" s="1" t="n">
        <v>45890.40689814815</v>
      </c>
      <c r="C1210" s="1" t="n">
        <v>45901</v>
      </c>
      <c r="D1210" t="inlineStr">
        <is>
          <t>JÄMTLANDS LÄN</t>
        </is>
      </c>
      <c r="E1210" t="inlineStr">
        <is>
          <t>BRÄCKE</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39535-2025</t>
        </is>
      </c>
      <c r="B1211" s="1" t="n">
        <v>45890.44881944444</v>
      </c>
      <c r="C1211" s="1" t="n">
        <v>45901</v>
      </c>
      <c r="D1211" t="inlineStr">
        <is>
          <t>JÄMTLANDS LÄN</t>
        </is>
      </c>
      <c r="E1211" t="inlineStr">
        <is>
          <t>BRÄCKE</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34518-2025</t>
        </is>
      </c>
      <c r="B1212" s="1" t="n">
        <v>45847.46910879629</v>
      </c>
      <c r="C1212" s="1" t="n">
        <v>45901</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39487-2025</t>
        </is>
      </c>
      <c r="B1213" s="1" t="n">
        <v>45890.3650462963</v>
      </c>
      <c r="C1213" s="1" t="n">
        <v>45901</v>
      </c>
      <c r="D1213" t="inlineStr">
        <is>
          <t>JÄMTLANDS LÄN</t>
        </is>
      </c>
      <c r="E1213" t="inlineStr">
        <is>
          <t>BRÄCKE</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39506-2025</t>
        </is>
      </c>
      <c r="B1214" s="1" t="n">
        <v>45890.40703703704</v>
      </c>
      <c r="C1214" s="1" t="n">
        <v>45901</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34460-2025</t>
        </is>
      </c>
      <c r="B1215" s="1" t="n">
        <v>45847.34458333333</v>
      </c>
      <c r="C1215" s="1" t="n">
        <v>45901</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34613-2025</t>
        </is>
      </c>
      <c r="B1216" s="1" t="n">
        <v>45847.67751157407</v>
      </c>
      <c r="C1216" s="1" t="n">
        <v>45901</v>
      </c>
      <c r="D1216" t="inlineStr">
        <is>
          <t>JÄMTLANDS LÄN</t>
        </is>
      </c>
      <c r="E1216" t="inlineStr">
        <is>
          <t>BRÄCKE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34614-2025</t>
        </is>
      </c>
      <c r="B1217" s="1" t="n">
        <v>45847.67768518518</v>
      </c>
      <c r="C1217" s="1" t="n">
        <v>45901</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39355-2025</t>
        </is>
      </c>
      <c r="B1218" s="1" t="n">
        <v>45889.55252314815</v>
      </c>
      <c r="C1218" s="1" t="n">
        <v>45901</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34783-2025</t>
        </is>
      </c>
      <c r="B1219" s="1" t="n">
        <v>45848.67740740741</v>
      </c>
      <c r="C1219" s="1" t="n">
        <v>45901</v>
      </c>
      <c r="D1219" t="inlineStr">
        <is>
          <t>JÄMTLANDS LÄN</t>
        </is>
      </c>
      <c r="E1219" t="inlineStr">
        <is>
          <t>BRÄCKE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39273-2025</t>
        </is>
      </c>
      <c r="B1220" s="1" t="n">
        <v>45889.38655092593</v>
      </c>
      <c r="C1220" s="1" t="n">
        <v>45901</v>
      </c>
      <c r="D1220" t="inlineStr">
        <is>
          <t>JÄMTLANDS LÄN</t>
        </is>
      </c>
      <c r="E1220" t="inlineStr">
        <is>
          <t>BRÄCKE</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39680-2025</t>
        </is>
      </c>
      <c r="B1221" s="1" t="n">
        <v>45890.65677083333</v>
      </c>
      <c r="C1221" s="1" t="n">
        <v>45901</v>
      </c>
      <c r="D1221" t="inlineStr">
        <is>
          <t>JÄMTLANDS LÄN</t>
        </is>
      </c>
      <c r="E1221" t="inlineStr">
        <is>
          <t>BRÄCKE</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39344-2025</t>
        </is>
      </c>
      <c r="B1222" s="1" t="n">
        <v>45889.53175925926</v>
      </c>
      <c r="C1222" s="1" t="n">
        <v>45901</v>
      </c>
      <c r="D1222" t="inlineStr">
        <is>
          <t>JÄMTLANDS LÄN</t>
        </is>
      </c>
      <c r="E1222" t="inlineStr">
        <is>
          <t>BRÄCKE</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34648-2025</t>
        </is>
      </c>
      <c r="B1223" s="1" t="n">
        <v>45848.34487268519</v>
      </c>
      <c r="C1223" s="1" t="n">
        <v>45901</v>
      </c>
      <c r="D1223" t="inlineStr">
        <is>
          <t>JÄMTLANDS LÄN</t>
        </is>
      </c>
      <c r="E1223" t="inlineStr">
        <is>
          <t>BRÄCKE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39376-2025</t>
        </is>
      </c>
      <c r="B1224" s="1" t="n">
        <v>45889.59425925926</v>
      </c>
      <c r="C1224" s="1" t="n">
        <v>45901</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64034-2023</t>
        </is>
      </c>
      <c r="B1225" s="1" t="n">
        <v>45278.94321759259</v>
      </c>
      <c r="C1225" s="1" t="n">
        <v>45901</v>
      </c>
      <c r="D1225" t="inlineStr">
        <is>
          <t>JÄMTLANDS LÄN</t>
        </is>
      </c>
      <c r="E1225" t="inlineStr">
        <is>
          <t>BRÄCKE</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34680-2025</t>
        </is>
      </c>
      <c r="B1226" s="1" t="n">
        <v>45848.42799768518</v>
      </c>
      <c r="C1226" s="1" t="n">
        <v>45901</v>
      </c>
      <c r="D1226" t="inlineStr">
        <is>
          <t>JÄMTLANDS LÄN</t>
        </is>
      </c>
      <c r="E1226" t="inlineStr">
        <is>
          <t>BRÄCKE</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61079-2024</t>
        </is>
      </c>
      <c r="B1227" s="1" t="n">
        <v>45645.51072916666</v>
      </c>
      <c r="C1227" s="1" t="n">
        <v>45901</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3389-2024</t>
        </is>
      </c>
      <c r="B1228" s="1" t="n">
        <v>45317.9409837963</v>
      </c>
      <c r="C1228" s="1" t="n">
        <v>45901</v>
      </c>
      <c r="D1228" t="inlineStr">
        <is>
          <t>JÄMTLANDS LÄN</t>
        </is>
      </c>
      <c r="E1228" t="inlineStr">
        <is>
          <t>BRÄCKE</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64266-2023</t>
        </is>
      </c>
      <c r="B1229" s="1" t="n">
        <v>45279.94579861111</v>
      </c>
      <c r="C1229" s="1" t="n">
        <v>45901</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60435-2023</t>
        </is>
      </c>
      <c r="B1230" s="1" t="n">
        <v>45258</v>
      </c>
      <c r="C1230" s="1" t="n">
        <v>45901</v>
      </c>
      <c r="D1230" t="inlineStr">
        <is>
          <t>JÄMTLANDS LÄN</t>
        </is>
      </c>
      <c r="E1230" t="inlineStr">
        <is>
          <t>BRÄCKE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39385-2025</t>
        </is>
      </c>
      <c r="B1231" s="1" t="n">
        <v>45889.61550925926</v>
      </c>
      <c r="C1231" s="1" t="n">
        <v>45901</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39377-2025</t>
        </is>
      </c>
      <c r="B1232" s="1" t="n">
        <v>45889.59434027778</v>
      </c>
      <c r="C1232" s="1" t="n">
        <v>45901</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34469-2025</t>
        </is>
      </c>
      <c r="B1233" s="1" t="n">
        <v>45847.34608796296</v>
      </c>
      <c r="C1233" s="1" t="n">
        <v>45901</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5052-2024</t>
        </is>
      </c>
      <c r="B1234" s="1" t="n">
        <v>45329.93077546296</v>
      </c>
      <c r="C1234" s="1" t="n">
        <v>45901</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5053-2024</t>
        </is>
      </c>
      <c r="B1235" s="1" t="n">
        <v>45329.93084490741</v>
      </c>
      <c r="C1235" s="1" t="n">
        <v>45901</v>
      </c>
      <c r="D1235" t="inlineStr">
        <is>
          <t>JÄMTLANDS LÄN</t>
        </is>
      </c>
      <c r="E1235" t="inlineStr">
        <is>
          <t>BRÄCKE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2179-2025</t>
        </is>
      </c>
      <c r="B1236" s="1" t="n">
        <v>45673.34421296296</v>
      </c>
      <c r="C1236" s="1" t="n">
        <v>45901</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2197-2025</t>
        </is>
      </c>
      <c r="B1237" s="1" t="n">
        <v>45673.38782407407</v>
      </c>
      <c r="C1237" s="1" t="n">
        <v>45901</v>
      </c>
      <c r="D1237" t="inlineStr">
        <is>
          <t>JÄMTLANDS LÄN</t>
        </is>
      </c>
      <c r="E1237" t="inlineStr">
        <is>
          <t>BRÄCKE</t>
        </is>
      </c>
      <c r="F1237" t="inlineStr">
        <is>
          <t>SCA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57417-2023</t>
        </is>
      </c>
      <c r="B1238" s="1" t="n">
        <v>45245.96966435185</v>
      </c>
      <c r="C1238" s="1" t="n">
        <v>45901</v>
      </c>
      <c r="D1238" t="inlineStr">
        <is>
          <t>JÄMTLANDS LÄN</t>
        </is>
      </c>
      <c r="E1238" t="inlineStr">
        <is>
          <t>BRÄCKE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34912-2025</t>
        </is>
      </c>
      <c r="B1239" s="1" t="n">
        <v>45849.5378587963</v>
      </c>
      <c r="C1239" s="1" t="n">
        <v>45901</v>
      </c>
      <c r="D1239" t="inlineStr">
        <is>
          <t>JÄMTLANDS LÄN</t>
        </is>
      </c>
      <c r="E1239" t="inlineStr">
        <is>
          <t>BRÄCKE</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34983-2025</t>
        </is>
      </c>
      <c r="B1240" s="1" t="n">
        <v>45849.71234953704</v>
      </c>
      <c r="C1240" s="1" t="n">
        <v>45901</v>
      </c>
      <c r="D1240" t="inlineStr">
        <is>
          <t>JÄMTLANDS LÄN</t>
        </is>
      </c>
      <c r="E1240" t="inlineStr">
        <is>
          <t>BRÄCKE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8739-2025</t>
        </is>
      </c>
      <c r="B1241" s="1" t="n">
        <v>45712.55239583334</v>
      </c>
      <c r="C1241" s="1" t="n">
        <v>45901</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14630-2025</t>
        </is>
      </c>
      <c r="B1242" s="1" t="n">
        <v>45742.42767361111</v>
      </c>
      <c r="C1242" s="1" t="n">
        <v>45901</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2581-2025</t>
        </is>
      </c>
      <c r="B1243" s="1" t="n">
        <v>45674.67771990741</v>
      </c>
      <c r="C1243" s="1" t="n">
        <v>45901</v>
      </c>
      <c r="D1243" t="inlineStr">
        <is>
          <t>JÄMTLANDS LÄN</t>
        </is>
      </c>
      <c r="E1243" t="inlineStr">
        <is>
          <t>BRÄCKE</t>
        </is>
      </c>
      <c r="F1243" t="inlineStr">
        <is>
          <t>SCA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58079-2023</t>
        </is>
      </c>
      <c r="B1244" s="1" t="n">
        <v>45247.96510416667</v>
      </c>
      <c r="C1244" s="1" t="n">
        <v>45901</v>
      </c>
      <c r="D1244" t="inlineStr">
        <is>
          <t>JÄMTLANDS LÄN</t>
        </is>
      </c>
      <c r="E1244" t="inlineStr">
        <is>
          <t>BRÄCKE</t>
        </is>
      </c>
      <c r="F1244" t="inlineStr">
        <is>
          <t>SCA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39937-2022</t>
        </is>
      </c>
      <c r="B1245" s="1" t="n">
        <v>44819.9487962963</v>
      </c>
      <c r="C1245" s="1" t="n">
        <v>45901</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3652-2025</t>
        </is>
      </c>
      <c r="B1246" s="1" t="n">
        <v>45681.40702546296</v>
      </c>
      <c r="C1246" s="1" t="n">
        <v>45901</v>
      </c>
      <c r="D1246" t="inlineStr">
        <is>
          <t>JÄMTLANDS LÄN</t>
        </is>
      </c>
      <c r="E1246" t="inlineStr">
        <is>
          <t>BRÄCKE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3787-2025</t>
        </is>
      </c>
      <c r="B1247" s="1" t="n">
        <v>45681.6362037037</v>
      </c>
      <c r="C1247" s="1" t="n">
        <v>45901</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35398-2024</t>
        </is>
      </c>
      <c r="B1248" s="1" t="n">
        <v>45531.40420138889</v>
      </c>
      <c r="C1248" s="1" t="n">
        <v>45901</v>
      </c>
      <c r="D1248" t="inlineStr">
        <is>
          <t>JÄMTLANDS LÄN</t>
        </is>
      </c>
      <c r="E1248" t="inlineStr">
        <is>
          <t>BRÄCKE</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37504-2023</t>
        </is>
      </c>
      <c r="B1249" s="1" t="n">
        <v>45157.59725694444</v>
      </c>
      <c r="C1249" s="1" t="n">
        <v>45901</v>
      </c>
      <c r="D1249" t="inlineStr">
        <is>
          <t>JÄMTLANDS LÄN</t>
        </is>
      </c>
      <c r="E1249" t="inlineStr">
        <is>
          <t>BRÄCKE</t>
        </is>
      </c>
      <c r="F1249" t="inlineStr">
        <is>
          <t>Sveaskog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39901-2025</t>
        </is>
      </c>
      <c r="B1250" s="1" t="n">
        <v>45891.63577546296</v>
      </c>
      <c r="C1250" s="1" t="n">
        <v>45901</v>
      </c>
      <c r="D1250" t="inlineStr">
        <is>
          <t>JÄMTLANDS LÄN</t>
        </is>
      </c>
      <c r="E1250" t="inlineStr">
        <is>
          <t>BRÄCKE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46939-2023</t>
        </is>
      </c>
      <c r="B1251" s="1" t="n">
        <v>45195</v>
      </c>
      <c r="C1251" s="1" t="n">
        <v>45901</v>
      </c>
      <c r="D1251" t="inlineStr">
        <is>
          <t>JÄMTLANDS LÄN</t>
        </is>
      </c>
      <c r="E1251" t="inlineStr">
        <is>
          <t>BRÄCKE</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14838-2025</t>
        </is>
      </c>
      <c r="B1252" s="1" t="n">
        <v>45743.38582175926</v>
      </c>
      <c r="C1252" s="1" t="n">
        <v>45901</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31520-2022</t>
        </is>
      </c>
      <c r="B1253" s="1" t="n">
        <v>44774.94930555556</v>
      </c>
      <c r="C1253" s="1" t="n">
        <v>45901</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36392-2022</t>
        </is>
      </c>
      <c r="B1254" s="1" t="n">
        <v>44803.94673611111</v>
      </c>
      <c r="C1254" s="1" t="n">
        <v>45901</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1347-2025</t>
        </is>
      </c>
      <c r="B1255" s="1" t="n">
        <v>45667.61490740741</v>
      </c>
      <c r="C1255" s="1" t="n">
        <v>45901</v>
      </c>
      <c r="D1255" t="inlineStr">
        <is>
          <t>JÄMTLANDS LÄN</t>
        </is>
      </c>
      <c r="E1255" t="inlineStr">
        <is>
          <t>BRÄCKE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34828-2025</t>
        </is>
      </c>
      <c r="B1256" s="1" t="n">
        <v>45849.38579861111</v>
      </c>
      <c r="C1256" s="1" t="n">
        <v>45901</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4904-2025</t>
        </is>
      </c>
      <c r="B1257" s="1" t="n">
        <v>45688.68020833333</v>
      </c>
      <c r="C1257" s="1" t="n">
        <v>45901</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62871-2020</t>
        </is>
      </c>
      <c r="B1258" s="1" t="n">
        <v>44161</v>
      </c>
      <c r="C1258" s="1" t="n">
        <v>45901</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40313-2021</t>
        </is>
      </c>
      <c r="B1259" s="1" t="n">
        <v>44419.50186342592</v>
      </c>
      <c r="C1259" s="1" t="n">
        <v>45901</v>
      </c>
      <c r="D1259" t="inlineStr">
        <is>
          <t>JÄMTLANDS LÄN</t>
        </is>
      </c>
      <c r="E1259" t="inlineStr">
        <is>
          <t>BRÄCKE</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39933-2025</t>
        </is>
      </c>
      <c r="B1260" s="1" t="n">
        <v>45891.71150462963</v>
      </c>
      <c r="C1260" s="1" t="n">
        <v>45901</v>
      </c>
      <c r="D1260" t="inlineStr">
        <is>
          <t>JÄMTLANDS LÄN</t>
        </is>
      </c>
      <c r="E1260" t="inlineStr">
        <is>
          <t>BRÄCKE</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39767-2025</t>
        </is>
      </c>
      <c r="B1261" s="1" t="n">
        <v>45891.44828703703</v>
      </c>
      <c r="C1261" s="1" t="n">
        <v>45901</v>
      </c>
      <c r="D1261" t="inlineStr">
        <is>
          <t>JÄMTLANDS LÄN</t>
        </is>
      </c>
      <c r="E1261" t="inlineStr">
        <is>
          <t>BRÄCKE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427-2025</t>
        </is>
      </c>
      <c r="B1262" s="1" t="n">
        <v>45664.35195601852</v>
      </c>
      <c r="C1262" s="1" t="n">
        <v>45901</v>
      </c>
      <c r="D1262" t="inlineStr">
        <is>
          <t>JÄMTLANDS LÄN</t>
        </is>
      </c>
      <c r="E1262" t="inlineStr">
        <is>
          <t>BRÄCKE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35060-2025</t>
        </is>
      </c>
      <c r="B1263" s="1" t="n">
        <v>45852.42747685185</v>
      </c>
      <c r="C1263" s="1" t="n">
        <v>45901</v>
      </c>
      <c r="D1263" t="inlineStr">
        <is>
          <t>JÄMTLANDS LÄN</t>
        </is>
      </c>
      <c r="E1263" t="inlineStr">
        <is>
          <t>BRÄCKE</t>
        </is>
      </c>
      <c r="F1263" t="inlineStr">
        <is>
          <t>SCA</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35896-2023</t>
        </is>
      </c>
      <c r="B1264" s="1" t="n">
        <v>45148</v>
      </c>
      <c r="C1264" s="1" t="n">
        <v>45901</v>
      </c>
      <c r="D1264" t="inlineStr">
        <is>
          <t>JÄMTLANDS LÄN</t>
        </is>
      </c>
      <c r="E1264" t="inlineStr">
        <is>
          <t>BRÄCKE</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40133-2025</t>
        </is>
      </c>
      <c r="B1265" s="1" t="n">
        <v>45894.55248842593</v>
      </c>
      <c r="C1265" s="1" t="n">
        <v>45901</v>
      </c>
      <c r="D1265" t="inlineStr">
        <is>
          <t>JÄMTLANDS LÄN</t>
        </is>
      </c>
      <c r="E1265" t="inlineStr">
        <is>
          <t>BRÄCKE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34138-2023</t>
        </is>
      </c>
      <c r="B1266" s="1" t="n">
        <v>45135</v>
      </c>
      <c r="C1266" s="1" t="n">
        <v>45901</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51270-2022</t>
        </is>
      </c>
      <c r="B1267" s="1" t="n">
        <v>44866</v>
      </c>
      <c r="C1267" s="1" t="n">
        <v>45901</v>
      </c>
      <c r="D1267" t="inlineStr">
        <is>
          <t>JÄMTLANDS LÄN</t>
        </is>
      </c>
      <c r="E1267" t="inlineStr">
        <is>
          <t>BRÄCKE</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39745-2025</t>
        </is>
      </c>
      <c r="B1268" s="1" t="n">
        <v>45891.38579861111</v>
      </c>
      <c r="C1268" s="1" t="n">
        <v>45901</v>
      </c>
      <c r="D1268" t="inlineStr">
        <is>
          <t>JÄMTLANDS LÄN</t>
        </is>
      </c>
      <c r="E1268" t="inlineStr">
        <is>
          <t>BRÄCKE</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40607-2025</t>
        </is>
      </c>
      <c r="B1269" s="1" t="n">
        <v>45896.57346064815</v>
      </c>
      <c r="C1269" s="1" t="n">
        <v>45901</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40430-2023</t>
        </is>
      </c>
      <c r="B1270" s="1" t="n">
        <v>45169</v>
      </c>
      <c r="C1270" s="1" t="n">
        <v>45901</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35229-2025</t>
        </is>
      </c>
      <c r="B1271" s="1" t="n">
        <v>45853.59420138889</v>
      </c>
      <c r="C1271" s="1" t="n">
        <v>45901</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35325-2025</t>
        </is>
      </c>
      <c r="B1272" s="1" t="n">
        <v>45854.52606481482</v>
      </c>
      <c r="C1272" s="1" t="n">
        <v>45901</v>
      </c>
      <c r="D1272" t="inlineStr">
        <is>
          <t>JÄMTLANDS LÄN</t>
        </is>
      </c>
      <c r="E1272" t="inlineStr">
        <is>
          <t>BRÄCKE</t>
        </is>
      </c>
      <c r="F1272" t="inlineStr">
        <is>
          <t>Sveaskog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9996-2025</t>
        </is>
      </c>
      <c r="B1273" s="1" t="n">
        <v>45719.44133101852</v>
      </c>
      <c r="C1273" s="1" t="n">
        <v>45901</v>
      </c>
      <c r="D1273" t="inlineStr">
        <is>
          <t>JÄMTLANDS LÄN</t>
        </is>
      </c>
      <c r="E1273" t="inlineStr">
        <is>
          <t>BRÄCKE</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15262-2025</t>
        </is>
      </c>
      <c r="B1274" s="1" t="n">
        <v>45744.65693287037</v>
      </c>
      <c r="C1274" s="1" t="n">
        <v>45901</v>
      </c>
      <c r="D1274" t="inlineStr">
        <is>
          <t>JÄMTLANDS LÄN</t>
        </is>
      </c>
      <c r="E1274" t="inlineStr">
        <is>
          <t>BRÄCKE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58728-2022</t>
        </is>
      </c>
      <c r="B1275" s="1" t="n">
        <v>44902</v>
      </c>
      <c r="C1275" s="1" t="n">
        <v>45901</v>
      </c>
      <c r="D1275" t="inlineStr">
        <is>
          <t>JÄMTLANDS LÄN</t>
        </is>
      </c>
      <c r="E1275" t="inlineStr">
        <is>
          <t>BRÄCKE</t>
        </is>
      </c>
      <c r="G1275" t="n">
        <v>21.5</v>
      </c>
      <c r="H1275" t="n">
        <v>0</v>
      </c>
      <c r="I1275" t="n">
        <v>0</v>
      </c>
      <c r="J1275" t="n">
        <v>0</v>
      </c>
      <c r="K1275" t="n">
        <v>0</v>
      </c>
      <c r="L1275" t="n">
        <v>0</v>
      </c>
      <c r="M1275" t="n">
        <v>0</v>
      </c>
      <c r="N1275" t="n">
        <v>0</v>
      </c>
      <c r="O1275" t="n">
        <v>0</v>
      </c>
      <c r="P1275" t="n">
        <v>0</v>
      </c>
      <c r="Q1275" t="n">
        <v>0</v>
      </c>
      <c r="R1275" s="2" t="inlineStr"/>
    </row>
    <row r="1276" ht="15" customHeight="1">
      <c r="A1276" t="inlineStr">
        <is>
          <t>A 35324-2025</t>
        </is>
      </c>
      <c r="B1276" s="1" t="n">
        <v>45854.51079861111</v>
      </c>
      <c r="C1276" s="1" t="n">
        <v>45901</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35326-2025</t>
        </is>
      </c>
      <c r="B1277" s="1" t="n">
        <v>45854.52724537037</v>
      </c>
      <c r="C1277" s="1" t="n">
        <v>45901</v>
      </c>
      <c r="D1277" t="inlineStr">
        <is>
          <t>JÄMTLANDS LÄN</t>
        </is>
      </c>
      <c r="E1277" t="inlineStr">
        <is>
          <t>BRÄCKE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35327-2025</t>
        </is>
      </c>
      <c r="B1278" s="1" t="n">
        <v>45854.5283449074</v>
      </c>
      <c r="C1278" s="1" t="n">
        <v>45901</v>
      </c>
      <c r="D1278" t="inlineStr">
        <is>
          <t>JÄMTLANDS LÄN</t>
        </is>
      </c>
      <c r="E1278" t="inlineStr">
        <is>
          <t>BRÄCKE</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29107-2025</t>
        </is>
      </c>
      <c r="B1279" s="1" t="n">
        <v>45821.58030092593</v>
      </c>
      <c r="C1279" s="1" t="n">
        <v>45901</v>
      </c>
      <c r="D1279" t="inlineStr">
        <is>
          <t>JÄMTLANDS LÄN</t>
        </is>
      </c>
      <c r="E1279" t="inlineStr">
        <is>
          <t>BRÄCKE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42204-2020</t>
        </is>
      </c>
      <c r="B1280" s="1" t="n">
        <v>44075</v>
      </c>
      <c r="C1280" s="1" t="n">
        <v>45901</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35216-2025</t>
        </is>
      </c>
      <c r="B1281" s="1" t="n">
        <v>45853.49005787037</v>
      </c>
      <c r="C1281" s="1" t="n">
        <v>45901</v>
      </c>
      <c r="D1281" t="inlineStr">
        <is>
          <t>JÄMTLANDS LÄN</t>
        </is>
      </c>
      <c r="E1281" t="inlineStr">
        <is>
          <t>BRÄCKE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51195-2024</t>
        </is>
      </c>
      <c r="B1282" s="1" t="n">
        <v>45603.61532407408</v>
      </c>
      <c r="C1282" s="1" t="n">
        <v>45901</v>
      </c>
      <c r="D1282" t="inlineStr">
        <is>
          <t>JÄMTLANDS LÄN</t>
        </is>
      </c>
      <c r="E1282" t="inlineStr">
        <is>
          <t>BRÄCKE</t>
        </is>
      </c>
      <c r="F1282" t="inlineStr">
        <is>
          <t>SCA</t>
        </is>
      </c>
      <c r="G1282" t="n">
        <v>17.4</v>
      </c>
      <c r="H1282" t="n">
        <v>0</v>
      </c>
      <c r="I1282" t="n">
        <v>0</v>
      </c>
      <c r="J1282" t="n">
        <v>0</v>
      </c>
      <c r="K1282" t="n">
        <v>0</v>
      </c>
      <c r="L1282" t="n">
        <v>0</v>
      </c>
      <c r="M1282" t="n">
        <v>0</v>
      </c>
      <c r="N1282" t="n">
        <v>0</v>
      </c>
      <c r="O1282" t="n">
        <v>0</v>
      </c>
      <c r="P1282" t="n">
        <v>0</v>
      </c>
      <c r="Q1282" t="n">
        <v>0</v>
      </c>
      <c r="R1282" s="2" t="inlineStr"/>
    </row>
    <row r="1283" ht="15" customHeight="1">
      <c r="A1283" t="inlineStr">
        <is>
          <t>A 35331-2025</t>
        </is>
      </c>
      <c r="B1283" s="1" t="n">
        <v>45854.57344907407</v>
      </c>
      <c r="C1283" s="1" t="n">
        <v>45901</v>
      </c>
      <c r="D1283" t="inlineStr">
        <is>
          <t>JÄMTLANDS LÄN</t>
        </is>
      </c>
      <c r="E1283" t="inlineStr">
        <is>
          <t>BRÄCKE</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40411-2025</t>
        </is>
      </c>
      <c r="B1284" s="1" t="n">
        <v>45895.57373842593</v>
      </c>
      <c r="C1284" s="1" t="n">
        <v>45901</v>
      </c>
      <c r="D1284" t="inlineStr">
        <is>
          <t>JÄMTLANDS LÄN</t>
        </is>
      </c>
      <c r="E1284" t="inlineStr">
        <is>
          <t>BRÄCKE</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40334-2025</t>
        </is>
      </c>
      <c r="B1285" s="1" t="n">
        <v>45895.46305555556</v>
      </c>
      <c r="C1285" s="1" t="n">
        <v>45901</v>
      </c>
      <c r="D1285" t="inlineStr">
        <is>
          <t>JÄMTLANDS LÄN</t>
        </is>
      </c>
      <c r="E1285" t="inlineStr">
        <is>
          <t>BRÄCKE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36209-2023</t>
        </is>
      </c>
      <c r="B1286" s="1" t="n">
        <v>45149</v>
      </c>
      <c r="C1286" s="1" t="n">
        <v>45901</v>
      </c>
      <c r="D1286" t="inlineStr">
        <is>
          <t>JÄMTLANDS LÄN</t>
        </is>
      </c>
      <c r="E1286" t="inlineStr">
        <is>
          <t>BRÄCKE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62102-2024</t>
        </is>
      </c>
      <c r="B1287" s="1" t="n">
        <v>45656.51145833333</v>
      </c>
      <c r="C1287" s="1" t="n">
        <v>45901</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50522-2024</t>
        </is>
      </c>
      <c r="B1288" s="1" t="n">
        <v>45601.55399305555</v>
      </c>
      <c r="C1288" s="1" t="n">
        <v>45901</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40749-2025</t>
        </is>
      </c>
      <c r="B1289" s="1" t="n">
        <v>45897.38248842592</v>
      </c>
      <c r="C1289" s="1" t="n">
        <v>45901</v>
      </c>
      <c r="D1289" t="inlineStr">
        <is>
          <t>JÄMTLANDS LÄN</t>
        </is>
      </c>
      <c r="E1289" t="inlineStr">
        <is>
          <t>BRÄCKE</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23443-2022</t>
        </is>
      </c>
      <c r="B1290" s="1" t="n">
        <v>44720.94112268519</v>
      </c>
      <c r="C1290" s="1" t="n">
        <v>45901</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40793-2025</t>
        </is>
      </c>
      <c r="B1291" s="1" t="n">
        <v>45897.44868055556</v>
      </c>
      <c r="C1291" s="1" t="n">
        <v>45901</v>
      </c>
      <c r="D1291" t="inlineStr">
        <is>
          <t>JÄMTLANDS LÄN</t>
        </is>
      </c>
      <c r="E1291" t="inlineStr">
        <is>
          <t>BRÄCKE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29572-2024</t>
        </is>
      </c>
      <c r="B1292" s="1" t="n">
        <v>45484.55929398148</v>
      </c>
      <c r="C1292" s="1" t="n">
        <v>45901</v>
      </c>
      <c r="D1292" t="inlineStr">
        <is>
          <t>JÄMTLANDS LÄN</t>
        </is>
      </c>
      <c r="E1292" t="inlineStr">
        <is>
          <t>BRÄCKE</t>
        </is>
      </c>
      <c r="F1292" t="inlineStr">
        <is>
          <t>Övriga Aktiebolag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40748-2025</t>
        </is>
      </c>
      <c r="B1293" s="1" t="n">
        <v>45897.38009259259</v>
      </c>
      <c r="C1293" s="1" t="n">
        <v>45901</v>
      </c>
      <c r="D1293" t="inlineStr">
        <is>
          <t>JÄMTLANDS LÄN</t>
        </is>
      </c>
      <c r="E1293" t="inlineStr">
        <is>
          <t>BRÄCKE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44403-2023</t>
        </is>
      </c>
      <c r="B1294" s="1" t="n">
        <v>45188.94601851852</v>
      </c>
      <c r="C1294" s="1" t="n">
        <v>45901</v>
      </c>
      <c r="D1294" t="inlineStr">
        <is>
          <t>JÄMTLANDS LÄN</t>
        </is>
      </c>
      <c r="E1294" t="inlineStr">
        <is>
          <t>BRÄCKE</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58078-2023</t>
        </is>
      </c>
      <c r="B1295" s="1" t="n">
        <v>45247.965</v>
      </c>
      <c r="C1295" s="1" t="n">
        <v>45901</v>
      </c>
      <c r="D1295" t="inlineStr">
        <is>
          <t>JÄMTLANDS LÄN</t>
        </is>
      </c>
      <c r="E1295" t="inlineStr">
        <is>
          <t>BRÄCKE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1080-2025</t>
        </is>
      </c>
      <c r="B1296" s="1" t="n">
        <v>45666.61513888889</v>
      </c>
      <c r="C1296" s="1" t="n">
        <v>45901</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15944-2025</t>
        </is>
      </c>
      <c r="B1297" s="1" t="n">
        <v>45749.48545138889</v>
      </c>
      <c r="C1297" s="1" t="n">
        <v>45901</v>
      </c>
      <c r="D1297" t="inlineStr">
        <is>
          <t>JÄMTLANDS LÄN</t>
        </is>
      </c>
      <c r="E1297" t="inlineStr">
        <is>
          <t>BRÄCKE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40757-2025</t>
        </is>
      </c>
      <c r="B1298" s="1" t="n">
        <v>45897.39034722222</v>
      </c>
      <c r="C1298" s="1" t="n">
        <v>45901</v>
      </c>
      <c r="D1298" t="inlineStr">
        <is>
          <t>JÄMTLANDS LÄN</t>
        </is>
      </c>
      <c r="E1298" t="inlineStr">
        <is>
          <t>BRÄCKE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35445-2025</t>
        </is>
      </c>
      <c r="B1299" s="1" t="n">
        <v>45855.53196759259</v>
      </c>
      <c r="C1299" s="1" t="n">
        <v>45901</v>
      </c>
      <c r="D1299" t="inlineStr">
        <is>
          <t>JÄMTLANDS LÄN</t>
        </is>
      </c>
      <c r="E1299" t="inlineStr">
        <is>
          <t>BRÄCKE</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40834-2025</t>
        </is>
      </c>
      <c r="B1300" s="1" t="n">
        <v>45897.51135416667</v>
      </c>
      <c r="C1300" s="1" t="n">
        <v>45901</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40843-2025</t>
        </is>
      </c>
      <c r="B1301" s="1" t="n">
        <v>45897.5321412037</v>
      </c>
      <c r="C1301" s="1" t="n">
        <v>45901</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41207-2025</t>
        </is>
      </c>
      <c r="B1302" s="1" t="n">
        <v>45898.57672453704</v>
      </c>
      <c r="C1302" s="1" t="n">
        <v>45901</v>
      </c>
      <c r="D1302" t="inlineStr">
        <is>
          <t>JÄMTLANDS LÄN</t>
        </is>
      </c>
      <c r="E1302" t="inlineStr">
        <is>
          <t>BRÄCKE</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40908-2025</t>
        </is>
      </c>
      <c r="B1303" s="1" t="n">
        <v>45897.61657407408</v>
      </c>
      <c r="C1303" s="1" t="n">
        <v>45901</v>
      </c>
      <c r="D1303" t="inlineStr">
        <is>
          <t>JÄMTLANDS LÄN</t>
        </is>
      </c>
      <c r="E1303" t="inlineStr">
        <is>
          <t>BRÄCKE</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52983-2022</t>
        </is>
      </c>
      <c r="B1304" s="1" t="n">
        <v>44875.92745370371</v>
      </c>
      <c r="C1304" s="1" t="n">
        <v>45901</v>
      </c>
      <c r="D1304" t="inlineStr">
        <is>
          <t>JÄMTLANDS LÄN</t>
        </is>
      </c>
      <c r="E1304" t="inlineStr">
        <is>
          <t>BRÄCKE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60015-2021</t>
        </is>
      </c>
      <c r="B1305" s="1" t="n">
        <v>44494.94096064815</v>
      </c>
      <c r="C1305" s="1" t="n">
        <v>45901</v>
      </c>
      <c r="D1305" t="inlineStr">
        <is>
          <t>JÄMTLANDS LÄN</t>
        </is>
      </c>
      <c r="E1305" t="inlineStr">
        <is>
          <t>BRÄCKE</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48440-2024</t>
        </is>
      </c>
      <c r="B1306" s="1" t="n">
        <v>45590.67774305555</v>
      </c>
      <c r="C1306" s="1" t="n">
        <v>45901</v>
      </c>
      <c r="D1306" t="inlineStr">
        <is>
          <t>JÄMTLANDS LÄN</t>
        </is>
      </c>
      <c r="E1306" t="inlineStr">
        <is>
          <t>BRÄCKE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40900-2025</t>
        </is>
      </c>
      <c r="B1307" s="1" t="n">
        <v>45897.61546296296</v>
      </c>
      <c r="C1307" s="1" t="n">
        <v>45901</v>
      </c>
      <c r="D1307" t="inlineStr">
        <is>
          <t>JÄMTLANDS LÄN</t>
        </is>
      </c>
      <c r="E1307" t="inlineStr">
        <is>
          <t>BRÄCKE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41049-2025</t>
        </is>
      </c>
      <c r="B1308" s="1" t="n">
        <v>45898.40252314815</v>
      </c>
      <c r="C1308" s="1" t="n">
        <v>45901</v>
      </c>
      <c r="D1308" t="inlineStr">
        <is>
          <t>JÄMTLANDS LÄN</t>
        </is>
      </c>
      <c r="E1308" t="inlineStr">
        <is>
          <t>BRÄCKE</t>
        </is>
      </c>
      <c r="F1308" t="inlineStr">
        <is>
          <t>Övriga Aktiebolag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40832-2025</t>
        </is>
      </c>
      <c r="B1309" s="1" t="n">
        <v>45897.51096064815</v>
      </c>
      <c r="C1309" s="1" t="n">
        <v>45901</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30479-2022</t>
        </is>
      </c>
      <c r="B1310" s="1" t="n">
        <v>44761.94013888889</v>
      </c>
      <c r="C1310" s="1" t="n">
        <v>45901</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40871-2025</t>
        </is>
      </c>
      <c r="B1311" s="1" t="n">
        <v>45897.57418981481</v>
      </c>
      <c r="C1311" s="1" t="n">
        <v>45901</v>
      </c>
      <c r="D1311" t="inlineStr">
        <is>
          <t>JÄMTLANDS LÄN</t>
        </is>
      </c>
      <c r="E1311" t="inlineStr">
        <is>
          <t>BRÄCKE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41060-2025</t>
        </is>
      </c>
      <c r="B1312" s="1" t="n">
        <v>45898.4071875</v>
      </c>
      <c r="C1312" s="1" t="n">
        <v>45901</v>
      </c>
      <c r="D1312" t="inlineStr">
        <is>
          <t>JÄMTLANDS LÄN</t>
        </is>
      </c>
      <c r="E1312" t="inlineStr">
        <is>
          <t>BRÄCKE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41094-2025</t>
        </is>
      </c>
      <c r="B1313" s="1" t="n">
        <v>45898.44246527777</v>
      </c>
      <c r="C1313" s="1" t="n">
        <v>45901</v>
      </c>
      <c r="D1313" t="inlineStr">
        <is>
          <t>JÄMTLANDS LÄN</t>
        </is>
      </c>
      <c r="E1313" t="inlineStr">
        <is>
          <t>BRÄCKE</t>
        </is>
      </c>
      <c r="F1313" t="inlineStr">
        <is>
          <t>Övriga Aktiebolag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41257-2025</t>
        </is>
      </c>
      <c r="B1314" s="1" t="n">
        <v>45898.6084375</v>
      </c>
      <c r="C1314" s="1" t="n">
        <v>45901</v>
      </c>
      <c r="D1314" t="inlineStr">
        <is>
          <t>JÄMTLANDS LÄN</t>
        </is>
      </c>
      <c r="E1314" t="inlineStr">
        <is>
          <t>BRÄCKE</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41187-2025</t>
        </is>
      </c>
      <c r="B1315" s="1" t="n">
        <v>45898.56390046296</v>
      </c>
      <c r="C1315" s="1" t="n">
        <v>45901</v>
      </c>
      <c r="D1315" t="inlineStr">
        <is>
          <t>JÄMTLANDS LÄN</t>
        </is>
      </c>
      <c r="E1315" t="inlineStr">
        <is>
          <t>BRÄCKE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41195-2025</t>
        </is>
      </c>
      <c r="B1316" s="1" t="n">
        <v>45898.57331018519</v>
      </c>
      <c r="C1316" s="1" t="n">
        <v>45901</v>
      </c>
      <c r="D1316" t="inlineStr">
        <is>
          <t>JÄMTLANDS LÄN</t>
        </is>
      </c>
      <c r="E1316" t="inlineStr">
        <is>
          <t>BRÄCKE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41196-2025</t>
        </is>
      </c>
      <c r="B1317" s="1" t="n">
        <v>45898.57332175926</v>
      </c>
      <c r="C1317" s="1" t="n">
        <v>45901</v>
      </c>
      <c r="D1317" t="inlineStr">
        <is>
          <t>JÄMTLANDS LÄN</t>
        </is>
      </c>
      <c r="E1317" t="inlineStr">
        <is>
          <t>BRÄCKE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37957-2021</t>
        </is>
      </c>
      <c r="B1318" s="1" t="n">
        <v>44403</v>
      </c>
      <c r="C1318" s="1" t="n">
        <v>45901</v>
      </c>
      <c r="D1318" t="inlineStr">
        <is>
          <t>JÄMTLANDS LÄN</t>
        </is>
      </c>
      <c r="E1318" t="inlineStr">
        <is>
          <t>BRÄCKE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41236-2025</t>
        </is>
      </c>
      <c r="B1319" s="1" t="n">
        <v>45898.59565972222</v>
      </c>
      <c r="C1319" s="1" t="n">
        <v>45901</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40903-2025</t>
        </is>
      </c>
      <c r="B1320" s="1" t="n">
        <v>45897.61609953704</v>
      </c>
      <c r="C1320" s="1" t="n">
        <v>45901</v>
      </c>
      <c r="D1320" t="inlineStr">
        <is>
          <t>JÄMTLANDS LÄN</t>
        </is>
      </c>
      <c r="E1320" t="inlineStr">
        <is>
          <t>BRÄCKE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40959-2025</t>
        </is>
      </c>
      <c r="B1321" s="1" t="n">
        <v>45897.67890046296</v>
      </c>
      <c r="C1321" s="1" t="n">
        <v>45901</v>
      </c>
      <c r="D1321" t="inlineStr">
        <is>
          <t>JÄMTLANDS LÄN</t>
        </is>
      </c>
      <c r="E1321" t="inlineStr">
        <is>
          <t>BRÄCKE</t>
        </is>
      </c>
      <c r="F1321" t="inlineStr">
        <is>
          <t>Naturvårdsverket</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31467-2023</t>
        </is>
      </c>
      <c r="B1322" s="1" t="n">
        <v>45104</v>
      </c>
      <c r="C1322" s="1" t="n">
        <v>45901</v>
      </c>
      <c r="D1322" t="inlineStr">
        <is>
          <t>JÄMTLANDS LÄN</t>
        </is>
      </c>
      <c r="E1322" t="inlineStr">
        <is>
          <t>BRÄCKE</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31471-2023</t>
        </is>
      </c>
      <c r="B1323" s="1" t="n">
        <v>45104</v>
      </c>
      <c r="C1323" s="1" t="n">
        <v>45901</v>
      </c>
      <c r="D1323" t="inlineStr">
        <is>
          <t>JÄMTLANDS LÄN</t>
        </is>
      </c>
      <c r="E1323" t="inlineStr">
        <is>
          <t>BRÄCKE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10769-2025</t>
        </is>
      </c>
      <c r="B1324" s="1" t="n">
        <v>45722.4690625</v>
      </c>
      <c r="C1324" s="1" t="n">
        <v>45901</v>
      </c>
      <c r="D1324" t="inlineStr">
        <is>
          <t>JÄMTLANDS LÄN</t>
        </is>
      </c>
      <c r="E1324" t="inlineStr">
        <is>
          <t>BRÄCKE</t>
        </is>
      </c>
      <c r="F1324" t="inlineStr">
        <is>
          <t>SCA</t>
        </is>
      </c>
      <c r="G1324" t="n">
        <v>18.7</v>
      </c>
      <c r="H1324" t="n">
        <v>0</v>
      </c>
      <c r="I1324" t="n">
        <v>0</v>
      </c>
      <c r="J1324" t="n">
        <v>0</v>
      </c>
      <c r="K1324" t="n">
        <v>0</v>
      </c>
      <c r="L1324" t="n">
        <v>0</v>
      </c>
      <c r="M1324" t="n">
        <v>0</v>
      </c>
      <c r="N1324" t="n">
        <v>0</v>
      </c>
      <c r="O1324" t="n">
        <v>0</v>
      </c>
      <c r="P1324" t="n">
        <v>0</v>
      </c>
      <c r="Q1324" t="n">
        <v>0</v>
      </c>
      <c r="R1324" s="2" t="inlineStr"/>
    </row>
    <row r="1325" ht="15" customHeight="1">
      <c r="A1325" t="inlineStr">
        <is>
          <t>A 38862-2024</t>
        </is>
      </c>
      <c r="B1325" s="1" t="n">
        <v>45547.63063657407</v>
      </c>
      <c r="C1325" s="1" t="n">
        <v>45901</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45901</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52022-2022</t>
        </is>
      </c>
      <c r="B1327" s="1" t="n">
        <v>44872.95662037037</v>
      </c>
      <c r="C1327" s="1" t="n">
        <v>45901</v>
      </c>
      <c r="D1327" t="inlineStr">
        <is>
          <t>JÄMTLANDS LÄN</t>
        </is>
      </c>
      <c r="E1327" t="inlineStr">
        <is>
          <t>BRÄCKE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31526-2024</t>
        </is>
      </c>
      <c r="B1328" s="1" t="n">
        <v>45505.95956018518</v>
      </c>
      <c r="C1328" s="1" t="n">
        <v>45901</v>
      </c>
      <c r="D1328" t="inlineStr">
        <is>
          <t>JÄMTLANDS LÄN</t>
        </is>
      </c>
      <c r="E1328" t="inlineStr">
        <is>
          <t>BRÄCKE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41285-2025</t>
        </is>
      </c>
      <c r="B1329" s="1" t="n">
        <v>45898.63637731481</v>
      </c>
      <c r="C1329" s="1" t="n">
        <v>45901</v>
      </c>
      <c r="D1329" t="inlineStr">
        <is>
          <t>JÄMTLANDS LÄN</t>
        </is>
      </c>
      <c r="E1329" t="inlineStr">
        <is>
          <t>BRÄCKE</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41297-2025</t>
        </is>
      </c>
      <c r="B1330" s="1" t="n">
        <v>45898.66872685185</v>
      </c>
      <c r="C1330" s="1" t="n">
        <v>45901</v>
      </c>
      <c r="D1330" t="inlineStr">
        <is>
          <t>JÄMTLANDS LÄN</t>
        </is>
      </c>
      <c r="E1330" t="inlineStr">
        <is>
          <t>BRÄCKE</t>
        </is>
      </c>
      <c r="F1330" t="inlineStr">
        <is>
          <t>Övriga Aktiebolag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40809-2025</t>
        </is>
      </c>
      <c r="B1331" s="1" t="n">
        <v>45897.46936342592</v>
      </c>
      <c r="C1331" s="1" t="n">
        <v>45901</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41193-2025</t>
        </is>
      </c>
      <c r="B1332" s="1" t="n">
        <v>45898.56891203704</v>
      </c>
      <c r="C1332" s="1" t="n">
        <v>45901</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41026-2025</t>
        </is>
      </c>
      <c r="B1333" s="1" t="n">
        <v>45898.36888888889</v>
      </c>
      <c r="C1333" s="1" t="n">
        <v>45901</v>
      </c>
      <c r="D1333" t="inlineStr">
        <is>
          <t>JÄMTLANDS LÄN</t>
        </is>
      </c>
      <c r="E1333" t="inlineStr">
        <is>
          <t>BRÄCKE</t>
        </is>
      </c>
      <c r="F1333" t="inlineStr">
        <is>
          <t>Övriga Aktiebolag</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40868-2025</t>
        </is>
      </c>
      <c r="B1334" s="1" t="n">
        <v>45897.57365740741</v>
      </c>
      <c r="C1334" s="1" t="n">
        <v>45901</v>
      </c>
      <c r="D1334" t="inlineStr">
        <is>
          <t>JÄMTLANDS LÄN</t>
        </is>
      </c>
      <c r="E1334" t="inlineStr">
        <is>
          <t>BRÄCKE</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40869-2025</t>
        </is>
      </c>
      <c r="B1335" s="1" t="n">
        <v>45897.57383101852</v>
      </c>
      <c r="C1335" s="1" t="n">
        <v>45901</v>
      </c>
      <c r="D1335" t="inlineStr">
        <is>
          <t>JÄMTLANDS LÄN</t>
        </is>
      </c>
      <c r="E1335" t="inlineStr">
        <is>
          <t>BRÄCKE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44753-2022</t>
        </is>
      </c>
      <c r="B1336" s="1" t="n">
        <v>44840</v>
      </c>
      <c r="C1336" s="1" t="n">
        <v>45901</v>
      </c>
      <c r="D1336" t="inlineStr">
        <is>
          <t>JÄMTLANDS LÄN</t>
        </is>
      </c>
      <c r="E1336" t="inlineStr">
        <is>
          <t>BRÄCKE</t>
        </is>
      </c>
      <c r="F1336" t="inlineStr">
        <is>
          <t>SCA</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23013-2021</t>
        </is>
      </c>
      <c r="B1337" s="1" t="n">
        <v>44328</v>
      </c>
      <c r="C1337" s="1" t="n">
        <v>45901</v>
      </c>
      <c r="D1337" t="inlineStr">
        <is>
          <t>JÄMTLANDS LÄN</t>
        </is>
      </c>
      <c r="E1337" t="inlineStr">
        <is>
          <t>BRÄCKE</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6788-2025</t>
        </is>
      </c>
      <c r="B1338" s="1" t="n">
        <v>45700.65692129629</v>
      </c>
      <c r="C1338" s="1" t="n">
        <v>45901</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6345-2023</t>
        </is>
      </c>
      <c r="B1339" s="1" t="n">
        <v>44960</v>
      </c>
      <c r="C1339" s="1" t="n">
        <v>45901</v>
      </c>
      <c r="D1339" t="inlineStr">
        <is>
          <t>JÄMTLANDS LÄN</t>
        </is>
      </c>
      <c r="E1339" t="inlineStr">
        <is>
          <t>BRÄCKE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11545-2025</t>
        </is>
      </c>
      <c r="B1340" s="1" t="n">
        <v>45727.34413194445</v>
      </c>
      <c r="C1340" s="1" t="n">
        <v>45901</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28077-2024</t>
        </is>
      </c>
      <c r="B1341" s="1" t="n">
        <v>45476.58508101852</v>
      </c>
      <c r="C1341" s="1" t="n">
        <v>45901</v>
      </c>
      <c r="D1341" t="inlineStr">
        <is>
          <t>JÄMTLANDS LÄN</t>
        </is>
      </c>
      <c r="E1341" t="inlineStr">
        <is>
          <t>BRÄCKE</t>
        </is>
      </c>
      <c r="G1341" t="n">
        <v>18.3</v>
      </c>
      <c r="H1341" t="n">
        <v>0</v>
      </c>
      <c r="I1341" t="n">
        <v>0</v>
      </c>
      <c r="J1341" t="n">
        <v>0</v>
      </c>
      <c r="K1341" t="n">
        <v>0</v>
      </c>
      <c r="L1341" t="n">
        <v>0</v>
      </c>
      <c r="M1341" t="n">
        <v>0</v>
      </c>
      <c r="N1341" t="n">
        <v>0</v>
      </c>
      <c r="O1341" t="n">
        <v>0</v>
      </c>
      <c r="P1341" t="n">
        <v>0</v>
      </c>
      <c r="Q1341" t="n">
        <v>0</v>
      </c>
      <c r="R1341" s="2" t="inlineStr"/>
    </row>
    <row r="1342" ht="15" customHeight="1">
      <c r="A1342" t="inlineStr">
        <is>
          <t>A 32471-2021</t>
        </is>
      </c>
      <c r="B1342" s="1" t="n">
        <v>44371</v>
      </c>
      <c r="C1342" s="1" t="n">
        <v>45901</v>
      </c>
      <c r="D1342" t="inlineStr">
        <is>
          <t>JÄMTLANDS LÄN</t>
        </is>
      </c>
      <c r="E1342" t="inlineStr">
        <is>
          <t>BRÄCKE</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29028-2024</t>
        </is>
      </c>
      <c r="B1343" s="1" t="n">
        <v>45481.59387731482</v>
      </c>
      <c r="C1343" s="1" t="n">
        <v>45901</v>
      </c>
      <c r="D1343" t="inlineStr">
        <is>
          <t>JÄMTLANDS LÄN</t>
        </is>
      </c>
      <c r="E1343" t="inlineStr">
        <is>
          <t>BRÄCKE</t>
        </is>
      </c>
      <c r="F1343" t="inlineStr">
        <is>
          <t>Övriga Aktiebolag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1799-2024</t>
        </is>
      </c>
      <c r="B1344" s="1" t="n">
        <v>45307</v>
      </c>
      <c r="C1344" s="1" t="n">
        <v>45901</v>
      </c>
      <c r="D1344" t="inlineStr">
        <is>
          <t>JÄMTLANDS LÄN</t>
        </is>
      </c>
      <c r="E1344" t="inlineStr">
        <is>
          <t>BRÄCKE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55976-2024</t>
        </is>
      </c>
      <c r="B1345" s="1" t="n">
        <v>45623.65659722222</v>
      </c>
      <c r="C1345" s="1" t="n">
        <v>45901</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19667-2025</t>
        </is>
      </c>
      <c r="B1346" s="1" t="n">
        <v>45770.69820601852</v>
      </c>
      <c r="C1346" s="1" t="n">
        <v>45901</v>
      </c>
      <c r="D1346" t="inlineStr">
        <is>
          <t>JÄMTLANDS LÄN</t>
        </is>
      </c>
      <c r="E1346" t="inlineStr">
        <is>
          <t>BRÄCKE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61973-2024</t>
        </is>
      </c>
      <c r="B1347" s="1" t="n">
        <v>45653.61484953704</v>
      </c>
      <c r="C1347" s="1" t="n">
        <v>45901</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57412-2023</t>
        </is>
      </c>
      <c r="B1348" s="1" t="n">
        <v>45245</v>
      </c>
      <c r="C1348" s="1" t="n">
        <v>45901</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57419-2023</t>
        </is>
      </c>
      <c r="B1349" s="1" t="n">
        <v>45245.96983796296</v>
      </c>
      <c r="C1349" s="1" t="n">
        <v>45901</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35244-2021</t>
        </is>
      </c>
      <c r="B1350" s="1" t="n">
        <v>44384.58844907407</v>
      </c>
      <c r="C1350" s="1" t="n">
        <v>45901</v>
      </c>
      <c r="D1350" t="inlineStr">
        <is>
          <t>JÄMTLANDS LÄN</t>
        </is>
      </c>
      <c r="E1350" t="inlineStr">
        <is>
          <t>BRÄCKE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41401-2023</t>
        </is>
      </c>
      <c r="B1351" s="1" t="n">
        <v>45174</v>
      </c>
      <c r="C1351" s="1" t="n">
        <v>45901</v>
      </c>
      <c r="D1351" t="inlineStr">
        <is>
          <t>JÄMTLANDS LÄN</t>
        </is>
      </c>
      <c r="E1351" t="inlineStr">
        <is>
          <t>BRÄCKE</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42203-2020</t>
        </is>
      </c>
      <c r="B1352" s="1" t="n">
        <v>44075</v>
      </c>
      <c r="C1352" s="1" t="n">
        <v>45901</v>
      </c>
      <c r="D1352" t="inlineStr">
        <is>
          <t>JÄMTLANDS LÄN</t>
        </is>
      </c>
      <c r="E1352" t="inlineStr">
        <is>
          <t>BRÄCKE</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22001-2024</t>
        </is>
      </c>
      <c r="B1353" s="1" t="n">
        <v>45443.56649305556</v>
      </c>
      <c r="C1353" s="1" t="n">
        <v>45901</v>
      </c>
      <c r="D1353" t="inlineStr">
        <is>
          <t>JÄMTLANDS LÄN</t>
        </is>
      </c>
      <c r="E1353" t="inlineStr">
        <is>
          <t>BRÄCKE</t>
        </is>
      </c>
      <c r="F1353" t="inlineStr">
        <is>
          <t>Övriga Aktiebolag</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14601-2025</t>
        </is>
      </c>
      <c r="B1354" s="1" t="n">
        <v>45742.36497685185</v>
      </c>
      <c r="C1354" s="1" t="n">
        <v>45901</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22121-2024</t>
        </is>
      </c>
      <c r="B1355" s="1" t="n">
        <v>45443.95271990741</v>
      </c>
      <c r="C1355" s="1" t="n">
        <v>45901</v>
      </c>
      <c r="D1355" t="inlineStr">
        <is>
          <t>JÄMTLANDS LÄN</t>
        </is>
      </c>
      <c r="E1355" t="inlineStr">
        <is>
          <t>BRÄCKE</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9824-2025</t>
        </is>
      </c>
      <c r="B1356" s="1" t="n">
        <v>45716.57334490741</v>
      </c>
      <c r="C1356" s="1" t="n">
        <v>45901</v>
      </c>
      <c r="D1356" t="inlineStr">
        <is>
          <t>JÄMTLANDS LÄN</t>
        </is>
      </c>
      <c r="E1356" t="inlineStr">
        <is>
          <t>BRÄCKE</t>
        </is>
      </c>
      <c r="F1356" t="inlineStr">
        <is>
          <t>SCA</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59008-2024</t>
        </is>
      </c>
      <c r="B1357" s="1" t="n">
        <v>45636.65724537037</v>
      </c>
      <c r="C1357" s="1" t="n">
        <v>45901</v>
      </c>
      <c r="D1357" t="inlineStr">
        <is>
          <t>JÄMTLANDS LÄN</t>
        </is>
      </c>
      <c r="E1357" t="inlineStr">
        <is>
          <t>BRÄCKE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27280-2024</t>
        </is>
      </c>
      <c r="B1358" s="1" t="n">
        <v>45471.92576388889</v>
      </c>
      <c r="C1358" s="1" t="n">
        <v>45901</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16634-2025</t>
        </is>
      </c>
      <c r="B1359" s="1" t="n">
        <v>45754.3653125</v>
      </c>
      <c r="C1359" s="1" t="n">
        <v>45901</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60654-2024</t>
        </is>
      </c>
      <c r="B1360" s="1" t="n">
        <v>45644</v>
      </c>
      <c r="C1360" s="1" t="n">
        <v>45901</v>
      </c>
      <c r="D1360" t="inlineStr">
        <is>
          <t>JÄMTLANDS LÄN</t>
        </is>
      </c>
      <c r="E1360" t="inlineStr">
        <is>
          <t>BRÄCKE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65433-2021</t>
        </is>
      </c>
      <c r="B1361" s="1" t="n">
        <v>44515.93875</v>
      </c>
      <c r="C1361" s="1" t="n">
        <v>45901</v>
      </c>
      <c r="D1361" t="inlineStr">
        <is>
          <t>JÄMTLANDS LÄN</t>
        </is>
      </c>
      <c r="E1361" t="inlineStr">
        <is>
          <t>BRÄCKE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34873-2021</t>
        </is>
      </c>
      <c r="B1362" s="1" t="n">
        <v>44382</v>
      </c>
      <c r="C1362" s="1" t="n">
        <v>45901</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25056-2023</t>
        </is>
      </c>
      <c r="B1363" s="1" t="n">
        <v>45085.94633101852</v>
      </c>
      <c r="C1363" s="1" t="n">
        <v>45901</v>
      </c>
      <c r="D1363" t="inlineStr">
        <is>
          <t>JÄMTLANDS LÄN</t>
        </is>
      </c>
      <c r="E1363" t="inlineStr">
        <is>
          <t>BRÄCKE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41175-2023</t>
        </is>
      </c>
      <c r="B1364" s="1" t="n">
        <v>45170</v>
      </c>
      <c r="C1364" s="1" t="n">
        <v>45901</v>
      </c>
      <c r="D1364" t="inlineStr">
        <is>
          <t>JÄMTLANDS LÄN</t>
        </is>
      </c>
      <c r="E1364" t="inlineStr">
        <is>
          <t>BRÄCKE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41314-2024</t>
        </is>
      </c>
      <c r="B1365" s="1" t="n">
        <v>45559.63613425926</v>
      </c>
      <c r="C1365" s="1" t="n">
        <v>45901</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15779-2025</t>
        </is>
      </c>
      <c r="B1366" s="1" t="n">
        <v>45748.60634259259</v>
      </c>
      <c r="C1366" s="1" t="n">
        <v>45901</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35564-2021</t>
        </is>
      </c>
      <c r="B1367" s="1" t="n">
        <v>44385.93597222222</v>
      </c>
      <c r="C1367" s="1" t="n">
        <v>45901</v>
      </c>
      <c r="D1367" t="inlineStr">
        <is>
          <t>JÄMTLANDS LÄN</t>
        </is>
      </c>
      <c r="E1367" t="inlineStr">
        <is>
          <t>BRÄCKE</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59910-2022</t>
        </is>
      </c>
      <c r="B1368" s="1" t="n">
        <v>44908</v>
      </c>
      <c r="C1368" s="1" t="n">
        <v>45901</v>
      </c>
      <c r="D1368" t="inlineStr">
        <is>
          <t>JÄMTLANDS LÄN</t>
        </is>
      </c>
      <c r="E1368" t="inlineStr">
        <is>
          <t>BRÄCKE</t>
        </is>
      </c>
      <c r="F1368" t="inlineStr">
        <is>
          <t>SCA</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59915-2022</t>
        </is>
      </c>
      <c r="B1369" s="1" t="n">
        <v>44908.96019675926</v>
      </c>
      <c r="C1369" s="1" t="n">
        <v>45901</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56641-2022</t>
        </is>
      </c>
      <c r="B1370" s="1" t="n">
        <v>44893</v>
      </c>
      <c r="C1370" s="1" t="n">
        <v>45901</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9553-2024</t>
        </is>
      </c>
      <c r="B1371" s="1" t="n">
        <v>45360.03491898148</v>
      </c>
      <c r="C1371" s="1" t="n">
        <v>45901</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31888-2024</t>
        </is>
      </c>
      <c r="B1372" s="1" t="n">
        <v>45509</v>
      </c>
      <c r="C1372" s="1" t="n">
        <v>45901</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12452-2025</t>
        </is>
      </c>
      <c r="B1373" s="1" t="n">
        <v>45730.51483796296</v>
      </c>
      <c r="C1373" s="1" t="n">
        <v>45901</v>
      </c>
      <c r="D1373" t="inlineStr">
        <is>
          <t>JÄMTLANDS LÄN</t>
        </is>
      </c>
      <c r="E1373" t="inlineStr">
        <is>
          <t>BRÄCKE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18791-2025</t>
        </is>
      </c>
      <c r="B1374" s="1" t="n">
        <v>45764.34482638889</v>
      </c>
      <c r="C1374" s="1" t="n">
        <v>45901</v>
      </c>
      <c r="D1374" t="inlineStr">
        <is>
          <t>JÄMTLANDS LÄN</t>
        </is>
      </c>
      <c r="E1374" t="inlineStr">
        <is>
          <t>BRÄCKE</t>
        </is>
      </c>
      <c r="F1374" t="inlineStr">
        <is>
          <t>SCA</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9970-2025</t>
        </is>
      </c>
      <c r="B1375" s="1" t="n">
        <v>45719.38614583333</v>
      </c>
      <c r="C1375" s="1" t="n">
        <v>45901</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41722-2023</t>
        </is>
      </c>
      <c r="B1376" s="1" t="n">
        <v>45176.4012037037</v>
      </c>
      <c r="C1376" s="1" t="n">
        <v>45901</v>
      </c>
      <c r="D1376" t="inlineStr">
        <is>
          <t>JÄMTLANDS LÄN</t>
        </is>
      </c>
      <c r="E1376" t="inlineStr">
        <is>
          <t>BRÄCKE</t>
        </is>
      </c>
      <c r="G1376" t="n">
        <v>21.3</v>
      </c>
      <c r="H1376" t="n">
        <v>0</v>
      </c>
      <c r="I1376" t="n">
        <v>0</v>
      </c>
      <c r="J1376" t="n">
        <v>0</v>
      </c>
      <c r="K1376" t="n">
        <v>0</v>
      </c>
      <c r="L1376" t="n">
        <v>0</v>
      </c>
      <c r="M1376" t="n">
        <v>0</v>
      </c>
      <c r="N1376" t="n">
        <v>0</v>
      </c>
      <c r="O1376" t="n">
        <v>0</v>
      </c>
      <c r="P1376" t="n">
        <v>0</v>
      </c>
      <c r="Q1376" t="n">
        <v>0</v>
      </c>
      <c r="R1376" s="2" t="inlineStr"/>
    </row>
    <row r="1377" ht="15" customHeight="1">
      <c r="A1377" t="inlineStr">
        <is>
          <t>A 21637-2021</t>
        </is>
      </c>
      <c r="B1377" s="1" t="n">
        <v>44321</v>
      </c>
      <c r="C1377" s="1" t="n">
        <v>45901</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65096-2023</t>
        </is>
      </c>
      <c r="B1378" s="1" t="n">
        <v>45288</v>
      </c>
      <c r="C1378" s="1" t="n">
        <v>45901</v>
      </c>
      <c r="D1378" t="inlineStr">
        <is>
          <t>JÄMTLANDS LÄN</t>
        </is>
      </c>
      <c r="E1378" t="inlineStr">
        <is>
          <t>BRÄCKE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52023-2022</t>
        </is>
      </c>
      <c r="B1379" s="1" t="n">
        <v>44872.95675925926</v>
      </c>
      <c r="C1379" s="1" t="n">
        <v>45901</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3697-2025</t>
        </is>
      </c>
      <c r="B1380" s="1" t="n">
        <v>45681.46973379629</v>
      </c>
      <c r="C1380" s="1" t="n">
        <v>45901</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3862-2025</t>
        </is>
      </c>
      <c r="B1381" s="1" t="n">
        <v>45684.31023148148</v>
      </c>
      <c r="C1381" s="1" t="n">
        <v>45901</v>
      </c>
      <c r="D1381" t="inlineStr">
        <is>
          <t>JÄMTLANDS LÄN</t>
        </is>
      </c>
      <c r="E1381" t="inlineStr">
        <is>
          <t>BRÄCKE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45901</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45901</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34410-2021</t>
        </is>
      </c>
      <c r="B1384" s="1" t="n">
        <v>44379.94194444444</v>
      </c>
      <c r="C1384" s="1" t="n">
        <v>45901</v>
      </c>
      <c r="D1384" t="inlineStr">
        <is>
          <t>JÄMTLANDS LÄN</t>
        </is>
      </c>
      <c r="E1384" t="inlineStr">
        <is>
          <t>BRÄCKE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60325-2021</t>
        </is>
      </c>
      <c r="B1385" s="1" t="n">
        <v>44495.94054398148</v>
      </c>
      <c r="C1385" s="1" t="n">
        <v>45901</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29314-2021</t>
        </is>
      </c>
      <c r="B1386" s="1" t="n">
        <v>44361</v>
      </c>
      <c r="C1386" s="1" t="n">
        <v>45901</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45342-2023</t>
        </is>
      </c>
      <c r="B1387" s="1" t="n">
        <v>45191.93817129629</v>
      </c>
      <c r="C1387" s="1" t="n">
        <v>45901</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45901</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20532-2025</t>
        </is>
      </c>
      <c r="B1389" s="1" t="n">
        <v>45775.61515046296</v>
      </c>
      <c r="C1389" s="1" t="n">
        <v>45901</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45436-2022</t>
        </is>
      </c>
      <c r="B1390" s="1" t="n">
        <v>44844.95355324074</v>
      </c>
      <c r="C1390" s="1" t="n">
        <v>45901</v>
      </c>
      <c r="D1390" t="inlineStr">
        <is>
          <t>JÄMTLANDS LÄN</t>
        </is>
      </c>
      <c r="E1390" t="inlineStr">
        <is>
          <t>BRÄCKE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43910-2023</t>
        </is>
      </c>
      <c r="B1391" s="1" t="n">
        <v>45182</v>
      </c>
      <c r="C1391" s="1" t="n">
        <v>45901</v>
      </c>
      <c r="D1391" t="inlineStr">
        <is>
          <t>JÄMTLANDS LÄN</t>
        </is>
      </c>
      <c r="E1391" t="inlineStr">
        <is>
          <t>BRÄCKE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12705-2025</t>
        </is>
      </c>
      <c r="B1392" s="1" t="n">
        <v>45733.46938657408</v>
      </c>
      <c r="C1392" s="1" t="n">
        <v>45901</v>
      </c>
      <c r="D1392" t="inlineStr">
        <is>
          <t>JÄMTLANDS LÄN</t>
        </is>
      </c>
      <c r="E1392" t="inlineStr">
        <is>
          <t>BRÄCKE</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12722-2025</t>
        </is>
      </c>
      <c r="B1393" s="1" t="n">
        <v>45733.48998842593</v>
      </c>
      <c r="C1393" s="1" t="n">
        <v>45901</v>
      </c>
      <c r="D1393" t="inlineStr">
        <is>
          <t>JÄMTLANDS LÄN</t>
        </is>
      </c>
      <c r="E1393" t="inlineStr">
        <is>
          <t>BRÄCKE</t>
        </is>
      </c>
      <c r="F1393" t="inlineStr">
        <is>
          <t>SCA</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11830-2024</t>
        </is>
      </c>
      <c r="B1394" s="1" t="n">
        <v>45376.35451388889</v>
      </c>
      <c r="C1394" s="1" t="n">
        <v>45901</v>
      </c>
      <c r="D1394" t="inlineStr">
        <is>
          <t>JÄMTLANDS LÄN</t>
        </is>
      </c>
      <c r="E1394" t="inlineStr">
        <is>
          <t>BRÄCKE</t>
        </is>
      </c>
      <c r="G1394" t="n">
        <v>18.3</v>
      </c>
      <c r="H1394" t="n">
        <v>0</v>
      </c>
      <c r="I1394" t="n">
        <v>0</v>
      </c>
      <c r="J1394" t="n">
        <v>0</v>
      </c>
      <c r="K1394" t="n">
        <v>0</v>
      </c>
      <c r="L1394" t="n">
        <v>0</v>
      </c>
      <c r="M1394" t="n">
        <v>0</v>
      </c>
      <c r="N1394" t="n">
        <v>0</v>
      </c>
      <c r="O1394" t="n">
        <v>0</v>
      </c>
      <c r="P1394" t="n">
        <v>0</v>
      </c>
      <c r="Q1394" t="n">
        <v>0</v>
      </c>
      <c r="R1394" s="2" t="inlineStr"/>
    </row>
    <row r="1395" ht="15" customHeight="1">
      <c r="A1395" t="inlineStr">
        <is>
          <t>A 26458-2022</t>
        </is>
      </c>
      <c r="B1395" s="1" t="n">
        <v>44739.34201388889</v>
      </c>
      <c r="C1395" s="1" t="n">
        <v>45901</v>
      </c>
      <c r="D1395" t="inlineStr">
        <is>
          <t>JÄMTLANDS LÄN</t>
        </is>
      </c>
      <c r="E1395" t="inlineStr">
        <is>
          <t>BRÄCKE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41738-2023</t>
        </is>
      </c>
      <c r="B1396" s="1" t="n">
        <v>45176.418125</v>
      </c>
      <c r="C1396" s="1" t="n">
        <v>45901</v>
      </c>
      <c r="D1396" t="inlineStr">
        <is>
          <t>JÄMTLANDS LÄN</t>
        </is>
      </c>
      <c r="E1396" t="inlineStr">
        <is>
          <t>BRÄCKE</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1914-2025</t>
        </is>
      </c>
      <c r="B1397" s="1" t="n">
        <v>45671.65984953703</v>
      </c>
      <c r="C1397" s="1" t="n">
        <v>45901</v>
      </c>
      <c r="D1397" t="inlineStr">
        <is>
          <t>JÄMTLANDS LÄN</t>
        </is>
      </c>
      <c r="E1397" t="inlineStr">
        <is>
          <t>BRÄCKE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7027-2022</t>
        </is>
      </c>
      <c r="B1398" s="1" t="n">
        <v>44603.46644675926</v>
      </c>
      <c r="C1398" s="1" t="n">
        <v>45901</v>
      </c>
      <c r="D1398" t="inlineStr">
        <is>
          <t>JÄMTLANDS LÄN</t>
        </is>
      </c>
      <c r="E1398" t="inlineStr">
        <is>
          <t>BRÄCKE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6291-2025</t>
        </is>
      </c>
      <c r="B1399" s="1" t="n">
        <v>45698.65653935185</v>
      </c>
      <c r="C1399" s="1" t="n">
        <v>45901</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18057-2025</t>
        </is>
      </c>
      <c r="B1400" s="1" t="n">
        <v>45761.47681712963</v>
      </c>
      <c r="C1400" s="1" t="n">
        <v>45901</v>
      </c>
      <c r="D1400" t="inlineStr">
        <is>
          <t>JÄMTLANDS LÄN</t>
        </is>
      </c>
      <c r="E1400" t="inlineStr">
        <is>
          <t>BRÄCKE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18065-2025</t>
        </is>
      </c>
      <c r="B1401" s="1" t="n">
        <v>45761.48989583334</v>
      </c>
      <c r="C1401" s="1" t="n">
        <v>45901</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57073-2020</t>
        </is>
      </c>
      <c r="B1402" s="1" t="n">
        <v>44138</v>
      </c>
      <c r="C1402" s="1" t="n">
        <v>45901</v>
      </c>
      <c r="D1402" t="inlineStr">
        <is>
          <t>JÄMTLANDS LÄN</t>
        </is>
      </c>
      <c r="E1402" t="inlineStr">
        <is>
          <t>BRÄCKE</t>
        </is>
      </c>
      <c r="F1402" t="inlineStr">
        <is>
          <t>SCA</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7512-2025</t>
        </is>
      </c>
      <c r="B1403" s="1" t="n">
        <v>45705.5106712963</v>
      </c>
      <c r="C1403" s="1" t="n">
        <v>45901</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60870-2023</t>
        </is>
      </c>
      <c r="B1404" s="1" t="n">
        <v>45260.96667824074</v>
      </c>
      <c r="C1404" s="1" t="n">
        <v>45901</v>
      </c>
      <c r="D1404" t="inlineStr">
        <is>
          <t>JÄMTLANDS LÄN</t>
        </is>
      </c>
      <c r="E1404" t="inlineStr">
        <is>
          <t>BRÄCKE</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45414-2024</t>
        </is>
      </c>
      <c r="B1405" s="1" t="n">
        <v>45576.5943287037</v>
      </c>
      <c r="C1405" s="1" t="n">
        <v>45901</v>
      </c>
      <c r="D1405" t="inlineStr">
        <is>
          <t>JÄMTLANDS LÄN</t>
        </is>
      </c>
      <c r="E1405" t="inlineStr">
        <is>
          <t>BRÄCKE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33773-2024</t>
        </is>
      </c>
      <c r="B1406" s="1" t="n">
        <v>45520</v>
      </c>
      <c r="C1406" s="1" t="n">
        <v>45901</v>
      </c>
      <c r="D1406" t="inlineStr">
        <is>
          <t>JÄMTLANDS LÄN</t>
        </is>
      </c>
      <c r="E1406" t="inlineStr">
        <is>
          <t>BRÄCKE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33774-2024</t>
        </is>
      </c>
      <c r="B1407" s="1" t="n">
        <v>45520</v>
      </c>
      <c r="C1407" s="1" t="n">
        <v>45901</v>
      </c>
      <c r="D1407" t="inlineStr">
        <is>
          <t>JÄMTLANDS LÄN</t>
        </is>
      </c>
      <c r="E1407" t="inlineStr">
        <is>
          <t>BRÄCKE</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54451-2023</t>
        </is>
      </c>
      <c r="B1408" s="1" t="n">
        <v>45233.44581018519</v>
      </c>
      <c r="C1408" s="1" t="n">
        <v>45901</v>
      </c>
      <c r="D1408" t="inlineStr">
        <is>
          <t>JÄMTLANDS LÄN</t>
        </is>
      </c>
      <c r="E1408" t="inlineStr">
        <is>
          <t>BRÄCKE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29323-2023</t>
        </is>
      </c>
      <c r="B1409" s="1" t="n">
        <v>45105</v>
      </c>
      <c r="C1409" s="1" t="n">
        <v>45901</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44218-2020</t>
        </is>
      </c>
      <c r="B1410" s="1" t="n">
        <v>44084</v>
      </c>
      <c r="C1410" s="1" t="n">
        <v>45901</v>
      </c>
      <c r="D1410" t="inlineStr">
        <is>
          <t>JÄMTLANDS LÄN</t>
        </is>
      </c>
      <c r="E1410" t="inlineStr">
        <is>
          <t>BRÄCKE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33538-2021</t>
        </is>
      </c>
      <c r="B1411" s="1" t="n">
        <v>44377</v>
      </c>
      <c r="C1411" s="1" t="n">
        <v>45901</v>
      </c>
      <c r="D1411" t="inlineStr">
        <is>
          <t>JÄMTLANDS LÄN</t>
        </is>
      </c>
      <c r="E1411" t="inlineStr">
        <is>
          <t>BRÄCKE</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23752-2023</t>
        </is>
      </c>
      <c r="B1412" s="1" t="n">
        <v>45077.92935185185</v>
      </c>
      <c r="C1412" s="1" t="n">
        <v>45901</v>
      </c>
      <c r="D1412" t="inlineStr">
        <is>
          <t>JÄMTLANDS LÄN</t>
        </is>
      </c>
      <c r="E1412" t="inlineStr">
        <is>
          <t>BRÄCKE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20265-2023</t>
        </is>
      </c>
      <c r="B1413" s="1" t="n">
        <v>45055.94337962963</v>
      </c>
      <c r="C1413" s="1" t="n">
        <v>45901</v>
      </c>
      <c r="D1413" t="inlineStr">
        <is>
          <t>JÄMTLANDS LÄN</t>
        </is>
      </c>
      <c r="E1413" t="inlineStr">
        <is>
          <t>BRÄCKE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66859-2020</t>
        </is>
      </c>
      <c r="B1414" s="1" t="n">
        <v>44179</v>
      </c>
      <c r="C1414" s="1" t="n">
        <v>45901</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44444-2022</t>
        </is>
      </c>
      <c r="B1415" s="1" t="n">
        <v>44839.95474537037</v>
      </c>
      <c r="C1415" s="1" t="n">
        <v>45901</v>
      </c>
      <c r="D1415" t="inlineStr">
        <is>
          <t>JÄMTLANDS LÄN</t>
        </is>
      </c>
      <c r="E1415" t="inlineStr">
        <is>
          <t>BRÄCKE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22981-2024</t>
        </is>
      </c>
      <c r="B1416" s="1" t="n">
        <v>45449.90369212963</v>
      </c>
      <c r="C1416" s="1" t="n">
        <v>45901</v>
      </c>
      <c r="D1416" t="inlineStr">
        <is>
          <t>JÄMTLANDS LÄN</t>
        </is>
      </c>
      <c r="E1416" t="inlineStr">
        <is>
          <t>BRÄCKE</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30487-2024</t>
        </is>
      </c>
      <c r="B1417" s="1" t="n">
        <v>45491.95027777777</v>
      </c>
      <c r="C1417" s="1" t="n">
        <v>45901</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12036-2023</t>
        </is>
      </c>
      <c r="B1418" s="1" t="n">
        <v>44995</v>
      </c>
      <c r="C1418" s="1" t="n">
        <v>45901</v>
      </c>
      <c r="D1418" t="inlineStr">
        <is>
          <t>JÄMTLANDS LÄN</t>
        </is>
      </c>
      <c r="E1418" t="inlineStr">
        <is>
          <t>BRÄCKE</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5005-2025</t>
        </is>
      </c>
      <c r="B1419" s="1" t="n">
        <v>45691.36862268519</v>
      </c>
      <c r="C1419" s="1" t="n">
        <v>45901</v>
      </c>
      <c r="D1419" t="inlineStr">
        <is>
          <t>JÄMTLANDS LÄN</t>
        </is>
      </c>
      <c r="E1419" t="inlineStr">
        <is>
          <t>BRÄCKE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48064-2023</t>
        </is>
      </c>
      <c r="B1420" s="1" t="n">
        <v>45204</v>
      </c>
      <c r="C1420" s="1" t="n">
        <v>45901</v>
      </c>
      <c r="D1420" t="inlineStr">
        <is>
          <t>JÄMTLANDS LÄN</t>
        </is>
      </c>
      <c r="E1420" t="inlineStr">
        <is>
          <t>BRÄCKE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4914-2025</t>
        </is>
      </c>
      <c r="B1421" s="1" t="n">
        <v>45688.68173611111</v>
      </c>
      <c r="C1421" s="1" t="n">
        <v>45901</v>
      </c>
      <c r="D1421" t="inlineStr">
        <is>
          <t>JÄMTLANDS LÄN</t>
        </is>
      </c>
      <c r="E1421" t="inlineStr">
        <is>
          <t>BRÄCKE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42959-2024</t>
        </is>
      </c>
      <c r="B1422" s="1" t="n">
        <v>45567.37144675926</v>
      </c>
      <c r="C1422" s="1" t="n">
        <v>45901</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57420-2023</t>
        </is>
      </c>
      <c r="B1423" s="1" t="n">
        <v>45245.96990740741</v>
      </c>
      <c r="C1423" s="1" t="n">
        <v>45901</v>
      </c>
      <c r="D1423" t="inlineStr">
        <is>
          <t>JÄMTLANDS LÄN</t>
        </is>
      </c>
      <c r="E1423" t="inlineStr">
        <is>
          <t>BRÄCKE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46860-2023</t>
        </is>
      </c>
      <c r="B1424" s="1" t="n">
        <v>45200.12724537037</v>
      </c>
      <c r="C1424" s="1" t="n">
        <v>45901</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63292-2023</t>
        </is>
      </c>
      <c r="B1425" s="1" t="n">
        <v>45273.94680555556</v>
      </c>
      <c r="C1425" s="1" t="n">
        <v>45901</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21183-2023</t>
        </is>
      </c>
      <c r="B1426" s="1" t="n">
        <v>45058</v>
      </c>
      <c r="C1426" s="1" t="n">
        <v>45901</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30592-2021</t>
        </is>
      </c>
      <c r="B1427" s="1" t="n">
        <v>44364.93850694445</v>
      </c>
      <c r="C1427" s="1" t="n">
        <v>45901</v>
      </c>
      <c r="D1427" t="inlineStr">
        <is>
          <t>JÄMTLANDS LÄN</t>
        </is>
      </c>
      <c r="E1427" t="inlineStr">
        <is>
          <t>BRÄCKE</t>
        </is>
      </c>
      <c r="F1427" t="inlineStr">
        <is>
          <t>SCA</t>
        </is>
      </c>
      <c r="G1427" t="n">
        <v>22.4</v>
      </c>
      <c r="H1427" t="n">
        <v>0</v>
      </c>
      <c r="I1427" t="n">
        <v>0</v>
      </c>
      <c r="J1427" t="n">
        <v>0</v>
      </c>
      <c r="K1427" t="n">
        <v>0</v>
      </c>
      <c r="L1427" t="n">
        <v>0</v>
      </c>
      <c r="M1427" t="n">
        <v>0</v>
      </c>
      <c r="N1427" t="n">
        <v>0</v>
      </c>
      <c r="O1427" t="n">
        <v>0</v>
      </c>
      <c r="P1427" t="n">
        <v>0</v>
      </c>
      <c r="Q1427" t="n">
        <v>0</v>
      </c>
      <c r="R1427" s="2" t="inlineStr"/>
    </row>
    <row r="1428" ht="15" customHeight="1">
      <c r="A1428" t="inlineStr">
        <is>
          <t>A 61662-2022</t>
        </is>
      </c>
      <c r="B1428" s="1" t="n">
        <v>44916.96359953703</v>
      </c>
      <c r="C1428" s="1" t="n">
        <v>45901</v>
      </c>
      <c r="D1428" t="inlineStr">
        <is>
          <t>JÄMTLANDS LÄN</t>
        </is>
      </c>
      <c r="E1428" t="inlineStr">
        <is>
          <t>BRÄCKE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50840-2023</t>
        </is>
      </c>
      <c r="B1429" s="1" t="n">
        <v>45217</v>
      </c>
      <c r="C1429" s="1" t="n">
        <v>45901</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46793-2021</t>
        </is>
      </c>
      <c r="B1430" s="1" t="n">
        <v>44445</v>
      </c>
      <c r="C1430" s="1" t="n">
        <v>45901</v>
      </c>
      <c r="D1430" t="inlineStr">
        <is>
          <t>JÄMTLANDS LÄN</t>
        </is>
      </c>
      <c r="E1430" t="inlineStr">
        <is>
          <t>BRÄCKE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20276-2023</t>
        </is>
      </c>
      <c r="B1431" s="1" t="n">
        <v>45055.94465277778</v>
      </c>
      <c r="C1431" s="1" t="n">
        <v>45901</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25674-2023</t>
        </is>
      </c>
      <c r="B1432" s="1" t="n">
        <v>45089</v>
      </c>
      <c r="C1432" s="1" t="n">
        <v>45901</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9707-2025</t>
        </is>
      </c>
      <c r="B1433" s="1" t="n">
        <v>45716.38592592593</v>
      </c>
      <c r="C1433" s="1" t="n">
        <v>45901</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48435-2023</t>
        </is>
      </c>
      <c r="B1434" s="1" t="n">
        <v>45205</v>
      </c>
      <c r="C1434" s="1" t="n">
        <v>45901</v>
      </c>
      <c r="D1434" t="inlineStr">
        <is>
          <t>JÄMTLANDS LÄN</t>
        </is>
      </c>
      <c r="E1434" t="inlineStr">
        <is>
          <t>BRÄCKE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17905-2025</t>
        </is>
      </c>
      <c r="B1435" s="1" t="n">
        <v>45758.71907407408</v>
      </c>
      <c r="C1435" s="1" t="n">
        <v>45901</v>
      </c>
      <c r="D1435" t="inlineStr">
        <is>
          <t>JÄMTLANDS LÄN</t>
        </is>
      </c>
      <c r="E1435" t="inlineStr">
        <is>
          <t>BRÄCKE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40482-2021</t>
        </is>
      </c>
      <c r="B1436" s="1" t="n">
        <v>44419.94334490741</v>
      </c>
      <c r="C1436" s="1" t="n">
        <v>45901</v>
      </c>
      <c r="D1436" t="inlineStr">
        <is>
          <t>JÄMTLANDS LÄN</t>
        </is>
      </c>
      <c r="E1436" t="inlineStr">
        <is>
          <t>BRÄCKE</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49646-2023</t>
        </is>
      </c>
      <c r="B1437" s="1" t="n">
        <v>45211</v>
      </c>
      <c r="C1437" s="1" t="n">
        <v>45901</v>
      </c>
      <c r="D1437" t="inlineStr">
        <is>
          <t>JÄMTLANDS LÄN</t>
        </is>
      </c>
      <c r="E1437" t="inlineStr">
        <is>
          <t>BRÄCKE</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18267-2025</t>
        </is>
      </c>
      <c r="B1438" s="1" t="n">
        <v>45762.36527777778</v>
      </c>
      <c r="C1438" s="1" t="n">
        <v>45901</v>
      </c>
      <c r="D1438" t="inlineStr">
        <is>
          <t>JÄMTLANDS LÄN</t>
        </is>
      </c>
      <c r="E1438" t="inlineStr">
        <is>
          <t>BRÄCKE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20667-2022</t>
        </is>
      </c>
      <c r="B1439" s="1" t="n">
        <v>44700.65226851852</v>
      </c>
      <c r="C1439" s="1" t="n">
        <v>45901</v>
      </c>
      <c r="D1439" t="inlineStr">
        <is>
          <t>JÄMTLANDS LÄN</t>
        </is>
      </c>
      <c r="E1439" t="inlineStr">
        <is>
          <t>BRÄCKE</t>
        </is>
      </c>
      <c r="G1439" t="n">
        <v>13.8</v>
      </c>
      <c r="H1439" t="n">
        <v>0</v>
      </c>
      <c r="I1439" t="n">
        <v>0</v>
      </c>
      <c r="J1439" t="n">
        <v>0</v>
      </c>
      <c r="K1439" t="n">
        <v>0</v>
      </c>
      <c r="L1439" t="n">
        <v>0</v>
      </c>
      <c r="M1439" t="n">
        <v>0</v>
      </c>
      <c r="N1439" t="n">
        <v>0</v>
      </c>
      <c r="O1439" t="n">
        <v>0</v>
      </c>
      <c r="P1439" t="n">
        <v>0</v>
      </c>
      <c r="Q1439" t="n">
        <v>0</v>
      </c>
      <c r="R1439" s="2" t="inlineStr"/>
    </row>
    <row r="1440" ht="15" customHeight="1">
      <c r="A1440" t="inlineStr">
        <is>
          <t>A 23746-2021</t>
        </is>
      </c>
      <c r="B1440" s="1" t="n">
        <v>44334.93716435185</v>
      </c>
      <c r="C1440" s="1" t="n">
        <v>45901</v>
      </c>
      <c r="D1440" t="inlineStr">
        <is>
          <t>JÄMTLANDS LÄN</t>
        </is>
      </c>
      <c r="E1440" t="inlineStr">
        <is>
          <t>BRÄCKE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2483-2025</t>
        </is>
      </c>
      <c r="B1441" s="1" t="n">
        <v>45673</v>
      </c>
      <c r="C1441" s="1" t="n">
        <v>45901</v>
      </c>
      <c r="D1441" t="inlineStr">
        <is>
          <t>JÄMTLANDS LÄN</t>
        </is>
      </c>
      <c r="E1441" t="inlineStr">
        <is>
          <t>BRÄCKE</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11699-2025</t>
        </is>
      </c>
      <c r="B1442" s="1" t="n">
        <v>45727.57402777778</v>
      </c>
      <c r="C1442" s="1" t="n">
        <v>45901</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23767-2023</t>
        </is>
      </c>
      <c r="B1443" s="1" t="n">
        <v>45077</v>
      </c>
      <c r="C1443" s="1" t="n">
        <v>45901</v>
      </c>
      <c r="D1443" t="inlineStr">
        <is>
          <t>JÄMTLANDS LÄN</t>
        </is>
      </c>
      <c r="E1443" t="inlineStr">
        <is>
          <t>BRÄCKE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23773-2023</t>
        </is>
      </c>
      <c r="B1444" s="1" t="n">
        <v>45077.94631944445</v>
      </c>
      <c r="C1444" s="1" t="n">
        <v>45901</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56686-2023</t>
        </is>
      </c>
      <c r="B1445" s="1" t="n">
        <v>45243.96622685185</v>
      </c>
      <c r="C1445" s="1" t="n">
        <v>45901</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23081-2024</t>
        </is>
      </c>
      <c r="B1446" s="1" t="n">
        <v>45450.50152777778</v>
      </c>
      <c r="C1446" s="1" t="n">
        <v>45901</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61663-2022</t>
        </is>
      </c>
      <c r="B1447" s="1" t="n">
        <v>44916</v>
      </c>
      <c r="C1447" s="1" t="n">
        <v>45901</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49707-2024</t>
        </is>
      </c>
      <c r="B1448" s="1" t="n">
        <v>45596.69832175926</v>
      </c>
      <c r="C1448" s="1" t="n">
        <v>45901</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24717-2022</t>
        </is>
      </c>
      <c r="B1449" s="1" t="n">
        <v>44727</v>
      </c>
      <c r="C1449" s="1" t="n">
        <v>45901</v>
      </c>
      <c r="D1449" t="inlineStr">
        <is>
          <t>JÄMTLANDS LÄN</t>
        </is>
      </c>
      <c r="E1449" t="inlineStr">
        <is>
          <t>BRÄCKE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15201-2024</t>
        </is>
      </c>
      <c r="B1450" s="1" t="n">
        <v>45400.43778935185</v>
      </c>
      <c r="C1450" s="1" t="n">
        <v>45901</v>
      </c>
      <c r="D1450" t="inlineStr">
        <is>
          <t>JÄMTLANDS LÄN</t>
        </is>
      </c>
      <c r="E1450" t="inlineStr">
        <is>
          <t>BRÄCKE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4861-2025</t>
        </is>
      </c>
      <c r="B1451" s="1" t="n">
        <v>45688.67481481482</v>
      </c>
      <c r="C1451" s="1" t="n">
        <v>45901</v>
      </c>
      <c r="D1451" t="inlineStr">
        <is>
          <t>JÄMTLANDS LÄN</t>
        </is>
      </c>
      <c r="E1451" t="inlineStr">
        <is>
          <t>BRÄCKE</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33870-2023</t>
        </is>
      </c>
      <c r="B1452" s="1" t="n">
        <v>45133.95326388889</v>
      </c>
      <c r="C1452" s="1" t="n">
        <v>45901</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20093-2023</t>
        </is>
      </c>
      <c r="B1453" s="1" t="n">
        <v>45054.94181712963</v>
      </c>
      <c r="C1453" s="1" t="n">
        <v>45901</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5482-2025</t>
        </is>
      </c>
      <c r="B1454" s="1" t="n">
        <v>45693.34427083333</v>
      </c>
      <c r="C1454" s="1" t="n">
        <v>45901</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17016-2024</t>
        </is>
      </c>
      <c r="B1455" s="1" t="n">
        <v>45411</v>
      </c>
      <c r="C1455" s="1" t="n">
        <v>45901</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19342-2025</t>
        </is>
      </c>
      <c r="B1456" s="1" t="n">
        <v>45769.59520833333</v>
      </c>
      <c r="C1456" s="1" t="n">
        <v>45901</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51540-2024</t>
        </is>
      </c>
      <c r="B1457" s="1" t="n">
        <v>45604</v>
      </c>
      <c r="C1457" s="1" t="n">
        <v>45901</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14664-2024</t>
        </is>
      </c>
      <c r="B1458" s="1" t="n">
        <v>45397.41673611111</v>
      </c>
      <c r="C1458" s="1" t="n">
        <v>45901</v>
      </c>
      <c r="D1458" t="inlineStr">
        <is>
          <t>JÄMTLANDS LÄN</t>
        </is>
      </c>
      <c r="E1458" t="inlineStr">
        <is>
          <t>BRÄCKE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17907-2025</t>
        </is>
      </c>
      <c r="B1459" s="1" t="n">
        <v>45758.73046296297</v>
      </c>
      <c r="C1459" s="1" t="n">
        <v>45901</v>
      </c>
      <c r="D1459" t="inlineStr">
        <is>
          <t>JÄMTLANDS LÄN</t>
        </is>
      </c>
      <c r="E1459" t="inlineStr">
        <is>
          <t>BRÄCKE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16073-2021</t>
        </is>
      </c>
      <c r="B1460" s="1" t="n">
        <v>44287</v>
      </c>
      <c r="C1460" s="1" t="n">
        <v>45901</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35395-2024</t>
        </is>
      </c>
      <c r="B1461" s="1" t="n">
        <v>45531.403125</v>
      </c>
      <c r="C1461" s="1" t="n">
        <v>45901</v>
      </c>
      <c r="D1461" t="inlineStr">
        <is>
          <t>JÄMTLANDS LÄN</t>
        </is>
      </c>
      <c r="E1461" t="inlineStr">
        <is>
          <t>BRÄCKE</t>
        </is>
      </c>
      <c r="F1461" t="inlineStr">
        <is>
          <t>SCA</t>
        </is>
      </c>
      <c r="G1461" t="n">
        <v>23.2</v>
      </c>
      <c r="H1461" t="n">
        <v>0</v>
      </c>
      <c r="I1461" t="n">
        <v>0</v>
      </c>
      <c r="J1461" t="n">
        <v>0</v>
      </c>
      <c r="K1461" t="n">
        <v>0</v>
      </c>
      <c r="L1461" t="n">
        <v>0</v>
      </c>
      <c r="M1461" t="n">
        <v>0</v>
      </c>
      <c r="N1461" t="n">
        <v>0</v>
      </c>
      <c r="O1461" t="n">
        <v>0</v>
      </c>
      <c r="P1461" t="n">
        <v>0</v>
      </c>
      <c r="Q1461" t="n">
        <v>0</v>
      </c>
      <c r="R1461" s="2" t="inlineStr"/>
    </row>
    <row r="1462" ht="15" customHeight="1">
      <c r="A1462" t="inlineStr">
        <is>
          <t>A 35400-2024</t>
        </is>
      </c>
      <c r="B1462" s="1" t="n">
        <v>45531.40457175926</v>
      </c>
      <c r="C1462" s="1" t="n">
        <v>45901</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22986-2023</t>
        </is>
      </c>
      <c r="B1463" s="1" t="n">
        <v>45072.94140046297</v>
      </c>
      <c r="C1463" s="1" t="n">
        <v>45901</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52137-2023</t>
        </is>
      </c>
      <c r="B1464" s="1" t="n">
        <v>45223</v>
      </c>
      <c r="C1464" s="1" t="n">
        <v>45901</v>
      </c>
      <c r="D1464" t="inlineStr">
        <is>
          <t>JÄMTLANDS LÄN</t>
        </is>
      </c>
      <c r="E1464" t="inlineStr">
        <is>
          <t>BRÄCKE</t>
        </is>
      </c>
      <c r="F1464" t="inlineStr">
        <is>
          <t>SCA</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26351-2023</t>
        </is>
      </c>
      <c r="B1465" s="1" t="n">
        <v>45091</v>
      </c>
      <c r="C1465" s="1" t="n">
        <v>45901</v>
      </c>
      <c r="D1465" t="inlineStr">
        <is>
          <t>JÄMTLANDS LÄN</t>
        </is>
      </c>
      <c r="E1465" t="inlineStr">
        <is>
          <t>BRÄCKE</t>
        </is>
      </c>
      <c r="F1465" t="inlineStr">
        <is>
          <t>SCA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61483-2024</t>
        </is>
      </c>
      <c r="B1466" s="1" t="n">
        <v>45646.52915509259</v>
      </c>
      <c r="C1466" s="1" t="n">
        <v>45901</v>
      </c>
      <c r="D1466" t="inlineStr">
        <is>
          <t>JÄMTLANDS LÄN</t>
        </is>
      </c>
      <c r="E1466" t="inlineStr">
        <is>
          <t>BRÄCKE</t>
        </is>
      </c>
      <c r="F1466" t="inlineStr">
        <is>
          <t>Övriga Aktiebolag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24195-2023</t>
        </is>
      </c>
      <c r="B1467" s="1" t="n">
        <v>45079</v>
      </c>
      <c r="C1467" s="1" t="n">
        <v>45901</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59405-2022</t>
        </is>
      </c>
      <c r="B1468" s="1" t="n">
        <v>44906</v>
      </c>
      <c r="C1468" s="1" t="n">
        <v>45901</v>
      </c>
      <c r="D1468" t="inlineStr">
        <is>
          <t>JÄMTLANDS LÄN</t>
        </is>
      </c>
      <c r="E1468" t="inlineStr">
        <is>
          <t>BRÄCKE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12640-2025</t>
        </is>
      </c>
      <c r="B1469" s="1" t="n">
        <v>45733.38606481482</v>
      </c>
      <c r="C1469" s="1" t="n">
        <v>45901</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49330-2023</t>
        </is>
      </c>
      <c r="B1470" s="1" t="n">
        <v>45210.94927083333</v>
      </c>
      <c r="C1470" s="1" t="n">
        <v>45901</v>
      </c>
      <c r="D1470" t="inlineStr">
        <is>
          <t>JÄMTLANDS LÄN</t>
        </is>
      </c>
      <c r="E1470" t="inlineStr">
        <is>
          <t>BRÄCKE</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46952-2021</t>
        </is>
      </c>
      <c r="B1471" s="1" t="n">
        <v>44446</v>
      </c>
      <c r="C1471" s="1" t="n">
        <v>45901</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16059-2024</t>
        </is>
      </c>
      <c r="B1472" s="1" t="n">
        <v>45406.04950231482</v>
      </c>
      <c r="C1472" s="1" t="n">
        <v>45901</v>
      </c>
      <c r="D1472" t="inlineStr">
        <is>
          <t>JÄMTLANDS LÄN</t>
        </is>
      </c>
      <c r="E1472" t="inlineStr">
        <is>
          <t>BRÄCKE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25883-2024</t>
        </is>
      </c>
      <c r="B1473" s="1" t="n">
        <v>45467.49233796296</v>
      </c>
      <c r="C1473" s="1" t="n">
        <v>45901</v>
      </c>
      <c r="D1473" t="inlineStr">
        <is>
          <t>JÄMTLANDS LÄN</t>
        </is>
      </c>
      <c r="E1473" t="inlineStr">
        <is>
          <t>BRÄCKE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4365-2023</t>
        </is>
      </c>
      <c r="B1474" s="1" t="n">
        <v>44954</v>
      </c>
      <c r="C1474" s="1" t="n">
        <v>45901</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20879-2023</t>
        </is>
      </c>
      <c r="B1475" s="1" t="n">
        <v>45058.94399305555</v>
      </c>
      <c r="C1475" s="1" t="n">
        <v>45901</v>
      </c>
      <c r="D1475" t="inlineStr">
        <is>
          <t>JÄMTLANDS LÄN</t>
        </is>
      </c>
      <c r="E1475" t="inlineStr">
        <is>
          <t>BRÄCKE</t>
        </is>
      </c>
      <c r="F1475" t="inlineStr">
        <is>
          <t>Naturvårdsverket</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26353-2023</t>
        </is>
      </c>
      <c r="B1476" s="1" t="n">
        <v>45091.94232638889</v>
      </c>
      <c r="C1476" s="1" t="n">
        <v>45901</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27354-2023</t>
        </is>
      </c>
      <c r="B1477" s="1" t="n">
        <v>45096</v>
      </c>
      <c r="C1477" s="1" t="n">
        <v>45901</v>
      </c>
      <c r="D1477" t="inlineStr">
        <is>
          <t>JÄMTLANDS LÄN</t>
        </is>
      </c>
      <c r="E1477" t="inlineStr">
        <is>
          <t>BRÄCKE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47983-2021</t>
        </is>
      </c>
      <c r="B1478" s="1" t="n">
        <v>44448</v>
      </c>
      <c r="C1478" s="1" t="n">
        <v>45901</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49721-2024</t>
        </is>
      </c>
      <c r="B1479" s="1" t="n">
        <v>45596.72841435186</v>
      </c>
      <c r="C1479" s="1" t="n">
        <v>45901</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16322-2025</t>
        </is>
      </c>
      <c r="B1480" s="1" t="n">
        <v>45751.34886574074</v>
      </c>
      <c r="C1480" s="1" t="n">
        <v>45901</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67613-2020</t>
        </is>
      </c>
      <c r="B1481" s="1" t="n">
        <v>44181</v>
      </c>
      <c r="C1481" s="1" t="n">
        <v>45901</v>
      </c>
      <c r="D1481" t="inlineStr">
        <is>
          <t>JÄMTLANDS LÄN</t>
        </is>
      </c>
      <c r="E1481" t="inlineStr">
        <is>
          <t>BRÄCKE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56640-2021</t>
        </is>
      </c>
      <c r="B1482" s="1" t="n">
        <v>44480</v>
      </c>
      <c r="C1482" s="1" t="n">
        <v>45901</v>
      </c>
      <c r="D1482" t="inlineStr">
        <is>
          <t>JÄMTLANDS LÄN</t>
        </is>
      </c>
      <c r="E1482" t="inlineStr">
        <is>
          <t>BRÄCKE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2065-2024</t>
        </is>
      </c>
      <c r="B1483" s="1" t="n">
        <v>45308.97871527778</v>
      </c>
      <c r="C1483" s="1" t="n">
        <v>45901</v>
      </c>
      <c r="D1483" t="inlineStr">
        <is>
          <t>JÄMTLANDS LÄN</t>
        </is>
      </c>
      <c r="E1483" t="inlineStr">
        <is>
          <t>BRÄCKE</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61141-2020</t>
        </is>
      </c>
      <c r="B1484" s="1" t="n">
        <v>44154</v>
      </c>
      <c r="C1484" s="1" t="n">
        <v>45901</v>
      </c>
      <c r="D1484" t="inlineStr">
        <is>
          <t>JÄMTLANDS LÄN</t>
        </is>
      </c>
      <c r="E1484" t="inlineStr">
        <is>
          <t>BRÄCKE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61144-2020</t>
        </is>
      </c>
      <c r="B1485" s="1" t="n">
        <v>44154</v>
      </c>
      <c r="C1485" s="1" t="n">
        <v>45901</v>
      </c>
      <c r="D1485" t="inlineStr">
        <is>
          <t>JÄMTLANDS LÄN</t>
        </is>
      </c>
      <c r="E1485" t="inlineStr">
        <is>
          <t>BRÄCKE</t>
        </is>
      </c>
      <c r="G1485" t="n">
        <v>12.8</v>
      </c>
      <c r="H1485" t="n">
        <v>0</v>
      </c>
      <c r="I1485" t="n">
        <v>0</v>
      </c>
      <c r="J1485" t="n">
        <v>0</v>
      </c>
      <c r="K1485" t="n">
        <v>0</v>
      </c>
      <c r="L1485" t="n">
        <v>0</v>
      </c>
      <c r="M1485" t="n">
        <v>0</v>
      </c>
      <c r="N1485" t="n">
        <v>0</v>
      </c>
      <c r="O1485" t="n">
        <v>0</v>
      </c>
      <c r="P1485" t="n">
        <v>0</v>
      </c>
      <c r="Q1485" t="n">
        <v>0</v>
      </c>
      <c r="R1485" s="2" t="inlineStr"/>
    </row>
    <row r="1486" ht="15" customHeight="1">
      <c r="A1486" t="inlineStr">
        <is>
          <t>A 18350-2025</t>
        </is>
      </c>
      <c r="B1486" s="1" t="n">
        <v>45762.54427083334</v>
      </c>
      <c r="C1486" s="1" t="n">
        <v>45901</v>
      </c>
      <c r="D1486" t="inlineStr">
        <is>
          <t>JÄMTLANDS LÄN</t>
        </is>
      </c>
      <c r="E1486" t="inlineStr">
        <is>
          <t>BRÄCKE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50260-2024</t>
        </is>
      </c>
      <c r="B1487" s="1" t="n">
        <v>45600</v>
      </c>
      <c r="C1487" s="1" t="n">
        <v>45901</v>
      </c>
      <c r="D1487" t="inlineStr">
        <is>
          <t>JÄMTLANDS LÄN</t>
        </is>
      </c>
      <c r="E1487" t="inlineStr">
        <is>
          <t>BRÄCKE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26665-2021</t>
        </is>
      </c>
      <c r="B1488" s="1" t="n">
        <v>44348</v>
      </c>
      <c r="C1488" s="1" t="n">
        <v>45901</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2035-2022</t>
        </is>
      </c>
      <c r="B1489" s="1" t="n">
        <v>44575.6277662037</v>
      </c>
      <c r="C1489" s="1" t="n">
        <v>45901</v>
      </c>
      <c r="D1489" t="inlineStr">
        <is>
          <t>JÄMTLANDS LÄN</t>
        </is>
      </c>
      <c r="E1489" t="inlineStr">
        <is>
          <t>BRÄCKE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21117-2023</t>
        </is>
      </c>
      <c r="B1490" s="1" t="n">
        <v>45061</v>
      </c>
      <c r="C1490" s="1" t="n">
        <v>45901</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57072-2020</t>
        </is>
      </c>
      <c r="B1491" s="1" t="n">
        <v>44138</v>
      </c>
      <c r="C1491" s="1" t="n">
        <v>45901</v>
      </c>
      <c r="D1491" t="inlineStr">
        <is>
          <t>JÄMTLANDS LÄN</t>
        </is>
      </c>
      <c r="E1491" t="inlineStr">
        <is>
          <t>BRÄCKE</t>
        </is>
      </c>
      <c r="F1491" t="inlineStr">
        <is>
          <t>SCA</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51042-2023</t>
        </is>
      </c>
      <c r="B1492" s="1" t="n">
        <v>45218.62233796297</v>
      </c>
      <c r="C1492" s="1" t="n">
        <v>45901</v>
      </c>
      <c r="D1492" t="inlineStr">
        <is>
          <t>JÄMTLANDS LÄN</t>
        </is>
      </c>
      <c r="E1492" t="inlineStr">
        <is>
          <t>BRÄCKE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54863-2024</t>
        </is>
      </c>
      <c r="B1493" s="1" t="n">
        <v>45618.59431712963</v>
      </c>
      <c r="C1493" s="1" t="n">
        <v>45901</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54865-2024</t>
        </is>
      </c>
      <c r="B1494" s="1" t="n">
        <v>45618.59471064815</v>
      </c>
      <c r="C1494" s="1" t="n">
        <v>45901</v>
      </c>
      <c r="D1494" t="inlineStr">
        <is>
          <t>JÄMTLANDS LÄN</t>
        </is>
      </c>
      <c r="E1494" t="inlineStr">
        <is>
          <t>BRÄCKE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41552-2024</t>
        </is>
      </c>
      <c r="B1495" s="1" t="n">
        <v>45560.51988425926</v>
      </c>
      <c r="C1495" s="1" t="n">
        <v>45901</v>
      </c>
      <c r="D1495" t="inlineStr">
        <is>
          <t>JÄMTLANDS LÄN</t>
        </is>
      </c>
      <c r="E1495" t="inlineStr">
        <is>
          <t>BRÄCKE</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3025-2021</t>
        </is>
      </c>
      <c r="B1496" s="1" t="n">
        <v>44216</v>
      </c>
      <c r="C1496" s="1" t="n">
        <v>45901</v>
      </c>
      <c r="D1496" t="inlineStr">
        <is>
          <t>JÄMTLANDS LÄN</t>
        </is>
      </c>
      <c r="E1496" t="inlineStr">
        <is>
          <t>BRÄCKE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18640-2024</t>
        </is>
      </c>
      <c r="B1497" s="1" t="n">
        <v>45425.96644675926</v>
      </c>
      <c r="C1497" s="1" t="n">
        <v>45901</v>
      </c>
      <c r="D1497" t="inlineStr">
        <is>
          <t>JÄMTLANDS LÄN</t>
        </is>
      </c>
      <c r="E1497" t="inlineStr">
        <is>
          <t>BRÄCKE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18626-2024</t>
        </is>
      </c>
      <c r="B1498" s="1" t="n">
        <v>45425.96429398148</v>
      </c>
      <c r="C1498" s="1" t="n">
        <v>45901</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13668-2024</t>
        </is>
      </c>
      <c r="B1499" s="1" t="n">
        <v>45387</v>
      </c>
      <c r="C1499" s="1" t="n">
        <v>45901</v>
      </c>
      <c r="D1499" t="inlineStr">
        <is>
          <t>JÄMTLANDS LÄN</t>
        </is>
      </c>
      <c r="E1499" t="inlineStr">
        <is>
          <t>BRÄCKE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41936-2023</t>
        </is>
      </c>
      <c r="B1500" s="1" t="n">
        <v>45176.94594907408</v>
      </c>
      <c r="C1500" s="1" t="n">
        <v>45901</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31521-2022</t>
        </is>
      </c>
      <c r="B1501" s="1" t="n">
        <v>44774.949375</v>
      </c>
      <c r="C1501" s="1" t="n">
        <v>45901</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14503-2024</t>
        </is>
      </c>
      <c r="B1502" s="1" t="n">
        <v>45394.60408564815</v>
      </c>
      <c r="C1502" s="1" t="n">
        <v>45901</v>
      </c>
      <c r="D1502" t="inlineStr">
        <is>
          <t>JÄMTLANDS LÄN</t>
        </is>
      </c>
      <c r="E1502" t="inlineStr">
        <is>
          <t>BRÄCKE</t>
        </is>
      </c>
      <c r="G1502" t="n">
        <v>15.2</v>
      </c>
      <c r="H1502" t="n">
        <v>0</v>
      </c>
      <c r="I1502" t="n">
        <v>0</v>
      </c>
      <c r="J1502" t="n">
        <v>0</v>
      </c>
      <c r="K1502" t="n">
        <v>0</v>
      </c>
      <c r="L1502" t="n">
        <v>0</v>
      </c>
      <c r="M1502" t="n">
        <v>0</v>
      </c>
      <c r="N1502" t="n">
        <v>0</v>
      </c>
      <c r="O1502" t="n">
        <v>0</v>
      </c>
      <c r="P1502" t="n">
        <v>0</v>
      </c>
      <c r="Q1502" t="n">
        <v>0</v>
      </c>
      <c r="R1502" s="2" t="inlineStr"/>
    </row>
    <row r="1503" ht="15" customHeight="1">
      <c r="A1503" t="inlineStr">
        <is>
          <t>A 18066-2025</t>
        </is>
      </c>
      <c r="B1503" s="1" t="n">
        <v>45761.49002314815</v>
      </c>
      <c r="C1503" s="1" t="n">
        <v>45901</v>
      </c>
      <c r="D1503" t="inlineStr">
        <is>
          <t>JÄMTLANDS LÄN</t>
        </is>
      </c>
      <c r="E1503" t="inlineStr">
        <is>
          <t>BRÄCKE</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11548-2023</t>
        </is>
      </c>
      <c r="B1504" s="1" t="n">
        <v>44993.9484837963</v>
      </c>
      <c r="C1504" s="1" t="n">
        <v>45901</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11371-2025</t>
        </is>
      </c>
      <c r="B1505" s="1" t="n">
        <v>45726.55258101852</v>
      </c>
      <c r="C1505" s="1" t="n">
        <v>45901</v>
      </c>
      <c r="D1505" t="inlineStr">
        <is>
          <t>JÄMTLANDS LÄN</t>
        </is>
      </c>
      <c r="E1505" t="inlineStr">
        <is>
          <t>BRÄCKE</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13525-2022</t>
        </is>
      </c>
      <c r="B1506" s="1" t="n">
        <v>44648</v>
      </c>
      <c r="C1506" s="1" t="n">
        <v>45901</v>
      </c>
      <c r="D1506" t="inlineStr">
        <is>
          <t>JÄMTLANDS LÄN</t>
        </is>
      </c>
      <c r="E1506" t="inlineStr">
        <is>
          <t>BRÄCKE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24010-2024</t>
        </is>
      </c>
      <c r="B1507" s="1" t="n">
        <v>45456.40370370371</v>
      </c>
      <c r="C1507" s="1" t="n">
        <v>45901</v>
      </c>
      <c r="D1507" t="inlineStr">
        <is>
          <t>JÄMTLANDS LÄN</t>
        </is>
      </c>
      <c r="E1507" t="inlineStr">
        <is>
          <t>BRÄCKE</t>
        </is>
      </c>
      <c r="F1507" t="inlineStr">
        <is>
          <t>Övriga Aktiebolag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59774-2024</t>
        </is>
      </c>
      <c r="B1508" s="1" t="n">
        <v>45639.56954861111</v>
      </c>
      <c r="C1508" s="1" t="n">
        <v>45901</v>
      </c>
      <c r="D1508" t="inlineStr">
        <is>
          <t>JÄMTLANDS LÄN</t>
        </is>
      </c>
      <c r="E1508" t="inlineStr">
        <is>
          <t>BRÄCKE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17606-2025</t>
        </is>
      </c>
      <c r="B1509" s="1" t="n">
        <v>45757.73796296296</v>
      </c>
      <c r="C1509" s="1" t="n">
        <v>45901</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19088-2021</t>
        </is>
      </c>
      <c r="B1510" s="1" t="n">
        <v>44308</v>
      </c>
      <c r="C1510" s="1" t="n">
        <v>45901</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45901</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31692-2024</t>
        </is>
      </c>
      <c r="B1512" s="1" t="n">
        <v>45507.95684027778</v>
      </c>
      <c r="C1512" s="1" t="n">
        <v>45901</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31713-2024</t>
        </is>
      </c>
      <c r="B1513" s="1" t="n">
        <v>45508.95126157408</v>
      </c>
      <c r="C1513" s="1" t="n">
        <v>45901</v>
      </c>
      <c r="D1513" t="inlineStr">
        <is>
          <t>JÄMTLANDS LÄN</t>
        </is>
      </c>
      <c r="E1513" t="inlineStr">
        <is>
          <t>BRÄCKE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57066-2024</t>
        </is>
      </c>
      <c r="B1514" s="1" t="n">
        <v>45629.35359953704</v>
      </c>
      <c r="C1514" s="1" t="n">
        <v>45901</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57069-2024</t>
        </is>
      </c>
      <c r="B1515" s="1" t="n">
        <v>45629.35391203704</v>
      </c>
      <c r="C1515" s="1" t="n">
        <v>45901</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51558-2022</t>
        </is>
      </c>
      <c r="B1516" s="1" t="n">
        <v>44869.9497337963</v>
      </c>
      <c r="C1516" s="1" t="n">
        <v>45901</v>
      </c>
      <c r="D1516" t="inlineStr">
        <is>
          <t>JÄMTLANDS LÄN</t>
        </is>
      </c>
      <c r="E1516" t="inlineStr">
        <is>
          <t>BRÄCKE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24053-2022</t>
        </is>
      </c>
      <c r="B1517" s="1" t="n">
        <v>44724.93731481482</v>
      </c>
      <c r="C1517" s="1" t="n">
        <v>45901</v>
      </c>
      <c r="D1517" t="inlineStr">
        <is>
          <t>JÄMTLANDS LÄN</t>
        </is>
      </c>
      <c r="E1517" t="inlineStr">
        <is>
          <t>BRÄCKE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58547-2022</t>
        </is>
      </c>
      <c r="B1518" s="1" t="n">
        <v>44894</v>
      </c>
      <c r="C1518" s="1" t="n">
        <v>45901</v>
      </c>
      <c r="D1518" t="inlineStr">
        <is>
          <t>JÄMTLANDS LÄN</t>
        </is>
      </c>
      <c r="E1518" t="inlineStr">
        <is>
          <t>BRÄCKE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19486-2023</t>
        </is>
      </c>
      <c r="B1519" s="1" t="n">
        <v>45049</v>
      </c>
      <c r="C1519" s="1" t="n">
        <v>45901</v>
      </c>
      <c r="D1519" t="inlineStr">
        <is>
          <t>JÄMTLANDS LÄN</t>
        </is>
      </c>
      <c r="E1519" t="inlineStr">
        <is>
          <t>BRÄCKE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32636-2024</t>
        </is>
      </c>
      <c r="B1520" s="1" t="n">
        <v>45513.96137731482</v>
      </c>
      <c r="C1520" s="1" t="n">
        <v>45901</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58767-2023</t>
        </is>
      </c>
      <c r="B1521" s="1" t="n">
        <v>45251.96665509259</v>
      </c>
      <c r="C1521" s="1" t="n">
        <v>45901</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23064-2024</t>
        </is>
      </c>
      <c r="B1522" s="1" t="n">
        <v>45450.44827546296</v>
      </c>
      <c r="C1522" s="1" t="n">
        <v>45901</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18600-2024</t>
        </is>
      </c>
      <c r="B1523" s="1" t="n">
        <v>45425.92462962963</v>
      </c>
      <c r="C1523" s="1" t="n">
        <v>45901</v>
      </c>
      <c r="D1523" t="inlineStr">
        <is>
          <t>JÄMTLANDS LÄN</t>
        </is>
      </c>
      <c r="E1523" t="inlineStr">
        <is>
          <t>BRÄCKE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34137-2023</t>
        </is>
      </c>
      <c r="B1524" s="1" t="n">
        <v>45135</v>
      </c>
      <c r="C1524" s="1" t="n">
        <v>45901</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104-2025</t>
        </is>
      </c>
      <c r="B1525" s="1" t="n">
        <v>45659</v>
      </c>
      <c r="C1525" s="1" t="n">
        <v>45901</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3249-2025</t>
        </is>
      </c>
      <c r="B1526" s="1" t="n">
        <v>45679.53177083333</v>
      </c>
      <c r="C1526" s="1" t="n">
        <v>45901</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49339-2024</t>
        </is>
      </c>
      <c r="B1527" s="1" t="n">
        <v>45595.59420138889</v>
      </c>
      <c r="C1527" s="1" t="n">
        <v>45901</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26522-2024</t>
        </is>
      </c>
      <c r="B1528" s="1" t="n">
        <v>45469</v>
      </c>
      <c r="C1528" s="1" t="n">
        <v>45901</v>
      </c>
      <c r="D1528" t="inlineStr">
        <is>
          <t>JÄMTLANDS LÄN</t>
        </is>
      </c>
      <c r="E1528" t="inlineStr">
        <is>
          <t>BRÄCKE</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4123-2025</t>
        </is>
      </c>
      <c r="B1529" s="1" t="n">
        <v>45685.27107638889</v>
      </c>
      <c r="C1529" s="1" t="n">
        <v>45901</v>
      </c>
      <c r="D1529" t="inlineStr">
        <is>
          <t>JÄMTLANDS LÄN</t>
        </is>
      </c>
      <c r="E1529" t="inlineStr">
        <is>
          <t>BRÄCKE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45939-2024</t>
        </is>
      </c>
      <c r="B1530" s="1" t="n">
        <v>45580.53155092592</v>
      </c>
      <c r="C1530" s="1" t="n">
        <v>45901</v>
      </c>
      <c r="D1530" t="inlineStr">
        <is>
          <t>JÄMTLANDS LÄN</t>
        </is>
      </c>
      <c r="E1530" t="inlineStr">
        <is>
          <t>BRÄCKE</t>
        </is>
      </c>
      <c r="F1530" t="inlineStr">
        <is>
          <t>Naturvårdsverket</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17252-2025</t>
        </is>
      </c>
      <c r="B1531" s="1" t="n">
        <v>45756.5109837963</v>
      </c>
      <c r="C1531" s="1" t="n">
        <v>45901</v>
      </c>
      <c r="D1531" t="inlineStr">
        <is>
          <t>JÄMTLANDS LÄN</t>
        </is>
      </c>
      <c r="E1531" t="inlineStr">
        <is>
          <t>BRÄCKE</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38007-2024</t>
        </is>
      </c>
      <c r="B1532" s="1" t="n">
        <v>45544.62063657407</v>
      </c>
      <c r="C1532" s="1" t="n">
        <v>45901</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53278-2022</t>
        </is>
      </c>
      <c r="B1533" s="1" t="n">
        <v>44876.94785879629</v>
      </c>
      <c r="C1533" s="1" t="n">
        <v>45901</v>
      </c>
      <c r="D1533" t="inlineStr">
        <is>
          <t>JÄMTLANDS LÄN</t>
        </is>
      </c>
      <c r="E1533" t="inlineStr">
        <is>
          <t>BRÄCKE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53152-2024</t>
        </is>
      </c>
      <c r="B1534" s="1" t="n">
        <v>45611.62123842593</v>
      </c>
      <c r="C1534" s="1" t="n">
        <v>45901</v>
      </c>
      <c r="D1534" t="inlineStr">
        <is>
          <t>JÄMTLANDS LÄN</t>
        </is>
      </c>
      <c r="E1534" t="inlineStr">
        <is>
          <t>BRÄCKE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3247-2025</t>
        </is>
      </c>
      <c r="B1535" s="1" t="n">
        <v>45679.5315625</v>
      </c>
      <c r="C1535" s="1" t="n">
        <v>45901</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57586-2024</t>
        </is>
      </c>
      <c r="B1536" s="1" t="n">
        <v>45630.49229166667</v>
      </c>
      <c r="C1536" s="1" t="n">
        <v>45901</v>
      </c>
      <c r="D1536" t="inlineStr">
        <is>
          <t>JÄMTLANDS LÄN</t>
        </is>
      </c>
      <c r="E1536" t="inlineStr">
        <is>
          <t>BRÄCKE</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13906-2025</t>
        </is>
      </c>
      <c r="B1537" s="1" t="n">
        <v>45737.6359375</v>
      </c>
      <c r="C1537" s="1" t="n">
        <v>45901</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55468-2024</t>
        </is>
      </c>
      <c r="B1538" s="1" t="n">
        <v>45622.43024305555</v>
      </c>
      <c r="C1538" s="1" t="n">
        <v>45901</v>
      </c>
      <c r="D1538" t="inlineStr">
        <is>
          <t>JÄMTLANDS LÄN</t>
        </is>
      </c>
      <c r="E1538" t="inlineStr">
        <is>
          <t>BRÄCKE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14290-2025</t>
        </is>
      </c>
      <c r="B1539" s="1" t="n">
        <v>45740.67755787037</v>
      </c>
      <c r="C1539" s="1" t="n">
        <v>45901</v>
      </c>
      <c r="D1539" t="inlineStr">
        <is>
          <t>JÄMTLANDS LÄN</t>
        </is>
      </c>
      <c r="E1539" t="inlineStr">
        <is>
          <t>BRÄCKE</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13244-2023</t>
        </is>
      </c>
      <c r="B1540" s="1" t="n">
        <v>45002</v>
      </c>
      <c r="C1540" s="1" t="n">
        <v>45901</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34315-2022</t>
        </is>
      </c>
      <c r="B1541" s="1" t="n">
        <v>44792</v>
      </c>
      <c r="C1541" s="1" t="n">
        <v>45901</v>
      </c>
      <c r="D1541" t="inlineStr">
        <is>
          <t>JÄMTLANDS LÄN</t>
        </is>
      </c>
      <c r="E1541" t="inlineStr">
        <is>
          <t>BRÄCKE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57942-2023</t>
        </is>
      </c>
      <c r="B1542" s="1" t="n">
        <v>45244</v>
      </c>
      <c r="C1542" s="1" t="n">
        <v>45901</v>
      </c>
      <c r="D1542" t="inlineStr">
        <is>
          <t>JÄMTLANDS LÄN</t>
        </is>
      </c>
      <c r="E1542" t="inlineStr">
        <is>
          <t>BRÄCKE</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44324-2023</t>
        </is>
      </c>
      <c r="B1543" s="1" t="n">
        <v>45188</v>
      </c>
      <c r="C1543" s="1" t="n">
        <v>45901</v>
      </c>
      <c r="D1543" t="inlineStr">
        <is>
          <t>JÄMTLANDS LÄN</t>
        </is>
      </c>
      <c r="E1543" t="inlineStr">
        <is>
          <t>BRÄCKE</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39662-2024</t>
        </is>
      </c>
      <c r="B1544" s="1" t="n">
        <v>45552.51068287037</v>
      </c>
      <c r="C1544" s="1" t="n">
        <v>45901</v>
      </c>
      <c r="D1544" t="inlineStr">
        <is>
          <t>JÄMTLANDS LÄN</t>
        </is>
      </c>
      <c r="E1544" t="inlineStr">
        <is>
          <t>BRÄCKE</t>
        </is>
      </c>
      <c r="F1544" t="inlineStr">
        <is>
          <t>SCA</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2954-2023</t>
        </is>
      </c>
      <c r="B1545" s="1" t="n">
        <v>44945.62861111111</v>
      </c>
      <c r="C1545" s="1" t="n">
        <v>45901</v>
      </c>
      <c r="D1545" t="inlineStr">
        <is>
          <t>JÄMTLANDS LÄN</t>
        </is>
      </c>
      <c r="E1545" t="inlineStr">
        <is>
          <t>BRÄCKE</t>
        </is>
      </c>
      <c r="F1545" t="inlineStr">
        <is>
          <t>Övriga Aktiebolag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8891-2025</t>
        </is>
      </c>
      <c r="B1546" s="1" t="n">
        <v>45713.39917824074</v>
      </c>
      <c r="C1546" s="1" t="n">
        <v>45901</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6213-2025</t>
        </is>
      </c>
      <c r="B1547" s="1" t="n">
        <v>45698.51072916666</v>
      </c>
      <c r="C1547" s="1" t="n">
        <v>45901</v>
      </c>
      <c r="D1547" t="inlineStr">
        <is>
          <t>JÄMTLANDS LÄN</t>
        </is>
      </c>
      <c r="E1547" t="inlineStr">
        <is>
          <t>BRÄCKE</t>
        </is>
      </c>
      <c r="F1547" t="inlineStr">
        <is>
          <t>SCA</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58740-2023</t>
        </is>
      </c>
      <c r="B1548" s="1" t="n">
        <v>45251.92890046296</v>
      </c>
      <c r="C1548" s="1" t="n">
        <v>45901</v>
      </c>
      <c r="D1548" t="inlineStr">
        <is>
          <t>JÄMTLANDS LÄN</t>
        </is>
      </c>
      <c r="E1548" t="inlineStr">
        <is>
          <t>BRÄCKE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26444-2022</t>
        </is>
      </c>
      <c r="B1549" s="1" t="n">
        <v>44738.93929398148</v>
      </c>
      <c r="C1549" s="1" t="n">
        <v>45901</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20803-2021</t>
        </is>
      </c>
      <c r="B1550" s="1" t="n">
        <v>44316</v>
      </c>
      <c r="C1550" s="1" t="n">
        <v>45901</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2064-2024</t>
        </is>
      </c>
      <c r="B1551" s="1" t="n">
        <v>45308</v>
      </c>
      <c r="C1551" s="1" t="n">
        <v>45901</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26100-2021</t>
        </is>
      </c>
      <c r="B1552" s="1" t="n">
        <v>44344.93584490741</v>
      </c>
      <c r="C1552" s="1" t="n">
        <v>45901</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8052-2022</t>
        </is>
      </c>
      <c r="B1553" s="1" t="n">
        <v>44609</v>
      </c>
      <c r="C1553" s="1" t="n">
        <v>45901</v>
      </c>
      <c r="D1553" t="inlineStr">
        <is>
          <t>JÄMTLANDS LÄN</t>
        </is>
      </c>
      <c r="E1553" t="inlineStr">
        <is>
          <t>BRÄCKE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50151-2023</t>
        </is>
      </c>
      <c r="B1554" s="1" t="n">
        <v>45208</v>
      </c>
      <c r="C1554" s="1" t="n">
        <v>45901</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45901</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56687-2023</t>
        </is>
      </c>
      <c r="B1556" s="1" t="n">
        <v>45243.96633101852</v>
      </c>
      <c r="C1556" s="1" t="n">
        <v>45901</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56688-2023</t>
        </is>
      </c>
      <c r="B1557" s="1" t="n">
        <v>45243.96645833334</v>
      </c>
      <c r="C1557" s="1" t="n">
        <v>45901</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16512-2024</t>
        </is>
      </c>
      <c r="B1558" s="1" t="n">
        <v>45408.39922453704</v>
      </c>
      <c r="C1558" s="1" t="n">
        <v>45901</v>
      </c>
      <c r="D1558" t="inlineStr">
        <is>
          <t>JÄMTLANDS LÄN</t>
        </is>
      </c>
      <c r="E1558" t="inlineStr">
        <is>
          <t>BRÄCKE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21380-2024</t>
        </is>
      </c>
      <c r="B1559" s="1" t="n">
        <v>45440</v>
      </c>
      <c r="C1559" s="1" t="n">
        <v>45901</v>
      </c>
      <c r="D1559" t="inlineStr">
        <is>
          <t>JÄMTLANDS LÄN</t>
        </is>
      </c>
      <c r="E1559" t="inlineStr">
        <is>
          <t>BRÄCKE</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21381-2024</t>
        </is>
      </c>
      <c r="B1560" s="1" t="n">
        <v>45440.95402777778</v>
      </c>
      <c r="C1560" s="1" t="n">
        <v>45901</v>
      </c>
      <c r="D1560" t="inlineStr">
        <is>
          <t>JÄMTLANDS LÄN</t>
        </is>
      </c>
      <c r="E1560" t="inlineStr">
        <is>
          <t>BRÄCKE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62074-2023</t>
        </is>
      </c>
      <c r="B1561" s="1" t="n">
        <v>45266</v>
      </c>
      <c r="C1561" s="1" t="n">
        <v>45901</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6622-2025</t>
        </is>
      </c>
      <c r="B1562" s="1" t="n">
        <v>45700.36594907408</v>
      </c>
      <c r="C1562" s="1" t="n">
        <v>45901</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48480-2023</t>
        </is>
      </c>
      <c r="B1563" s="1" t="n">
        <v>45206.95831018518</v>
      </c>
      <c r="C1563" s="1" t="n">
        <v>45901</v>
      </c>
      <c r="D1563" t="inlineStr">
        <is>
          <t>JÄMTLANDS LÄN</t>
        </is>
      </c>
      <c r="E1563" t="inlineStr">
        <is>
          <t>BRÄCKE</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10088-2025</t>
        </is>
      </c>
      <c r="B1564" s="1" t="n">
        <v>45719.57335648148</v>
      </c>
      <c r="C1564" s="1" t="n">
        <v>45901</v>
      </c>
      <c r="D1564" t="inlineStr">
        <is>
          <t>JÄMTLANDS LÄN</t>
        </is>
      </c>
      <c r="E1564" t="inlineStr">
        <is>
          <t>BRÄCKE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10106-2025</t>
        </is>
      </c>
      <c r="B1565" s="1" t="n">
        <v>45719.58611111111</v>
      </c>
      <c r="C1565" s="1" t="n">
        <v>45901</v>
      </c>
      <c r="D1565" t="inlineStr">
        <is>
          <t>JÄMTLANDS LÄN</t>
        </is>
      </c>
      <c r="E1565" t="inlineStr">
        <is>
          <t>BRÄCKE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58758-2023</t>
        </is>
      </c>
      <c r="B1566" s="1" t="n">
        <v>45251.93006944445</v>
      </c>
      <c r="C1566" s="1" t="n">
        <v>45901</v>
      </c>
      <c r="D1566" t="inlineStr">
        <is>
          <t>JÄMTLANDS LÄN</t>
        </is>
      </c>
      <c r="E1566" t="inlineStr">
        <is>
          <t>BRÄCKE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47186-2023</t>
        </is>
      </c>
      <c r="B1567" s="1" t="n">
        <v>45201</v>
      </c>
      <c r="C1567" s="1" t="n">
        <v>45901</v>
      </c>
      <c r="D1567" t="inlineStr">
        <is>
          <t>JÄMTLANDS LÄN</t>
        </is>
      </c>
      <c r="E1567" t="inlineStr">
        <is>
          <t>BRÄCKE</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41183-2023</t>
        </is>
      </c>
      <c r="B1568" s="1" t="n">
        <v>45170</v>
      </c>
      <c r="C1568" s="1" t="n">
        <v>45901</v>
      </c>
      <c r="D1568" t="inlineStr">
        <is>
          <t>JÄMTLANDS LÄN</t>
        </is>
      </c>
      <c r="E1568" t="inlineStr">
        <is>
          <t>BRÄCKE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26278-2024</t>
        </is>
      </c>
      <c r="B1569" s="1" t="n">
        <v>45468.68905092592</v>
      </c>
      <c r="C1569" s="1" t="n">
        <v>45901</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49591-2024</t>
        </is>
      </c>
      <c r="B1570" s="1" t="n">
        <v>45596.5525</v>
      </c>
      <c r="C1570" s="1" t="n">
        <v>45901</v>
      </c>
      <c r="D1570" t="inlineStr">
        <is>
          <t>JÄMTLANDS LÄN</t>
        </is>
      </c>
      <c r="E1570" t="inlineStr">
        <is>
          <t>BRÄCKE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26350-2023</t>
        </is>
      </c>
      <c r="B1571" s="1" t="n">
        <v>45091.9421412037</v>
      </c>
      <c r="C1571" s="1" t="n">
        <v>45901</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11309-2025</t>
        </is>
      </c>
      <c r="B1572" s="1" t="n">
        <v>45726.44820601852</v>
      </c>
      <c r="C1572" s="1" t="n">
        <v>45901</v>
      </c>
      <c r="D1572" t="inlineStr">
        <is>
          <t>JÄMTLANDS LÄN</t>
        </is>
      </c>
      <c r="E1572" t="inlineStr">
        <is>
          <t>BRÄCKE</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11438-2025</t>
        </is>
      </c>
      <c r="B1573" s="1" t="n">
        <v>45726.61552083334</v>
      </c>
      <c r="C1573" s="1" t="n">
        <v>45901</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28766-2024</t>
        </is>
      </c>
      <c r="B1574" s="1" t="n">
        <v>45478</v>
      </c>
      <c r="C1574" s="1" t="n">
        <v>45901</v>
      </c>
      <c r="D1574" t="inlineStr">
        <is>
          <t>JÄMTLANDS LÄN</t>
        </is>
      </c>
      <c r="E1574" t="inlineStr">
        <is>
          <t>BRÄCKE</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64643-2023</t>
        </is>
      </c>
      <c r="B1575" s="1" t="n">
        <v>45281</v>
      </c>
      <c r="C1575" s="1" t="n">
        <v>45901</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26302-2024</t>
        </is>
      </c>
      <c r="B1576" s="1" t="n">
        <v>45468.9328587963</v>
      </c>
      <c r="C1576" s="1" t="n">
        <v>45901</v>
      </c>
      <c r="D1576" t="inlineStr">
        <is>
          <t>JÄMTLANDS LÄN</t>
        </is>
      </c>
      <c r="E1576" t="inlineStr">
        <is>
          <t>BRÄCKE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47746-2024</t>
        </is>
      </c>
      <c r="B1577" s="1" t="n">
        <v>45588.53438657407</v>
      </c>
      <c r="C1577" s="1" t="n">
        <v>45901</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40094-2023</t>
        </is>
      </c>
      <c r="B1578" s="1" t="n">
        <v>45168</v>
      </c>
      <c r="C1578" s="1" t="n">
        <v>45901</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5536-2025</t>
        </is>
      </c>
      <c r="B1579" s="1" t="n">
        <v>45693.44846064815</v>
      </c>
      <c r="C1579" s="1" t="n">
        <v>45901</v>
      </c>
      <c r="D1579" t="inlineStr">
        <is>
          <t>JÄMTLANDS LÄN</t>
        </is>
      </c>
      <c r="E1579" t="inlineStr">
        <is>
          <t>BRÄCKE</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5537-2025</t>
        </is>
      </c>
      <c r="B1580" s="1" t="n">
        <v>45693.44858796296</v>
      </c>
      <c r="C1580" s="1" t="n">
        <v>45901</v>
      </c>
      <c r="D1580" t="inlineStr">
        <is>
          <t>JÄMTLANDS LÄN</t>
        </is>
      </c>
      <c r="E1580" t="inlineStr">
        <is>
          <t>BRÄCKE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61149-2023</t>
        </is>
      </c>
      <c r="B1581" s="1" t="n">
        <v>45261.96777777778</v>
      </c>
      <c r="C1581" s="1" t="n">
        <v>45901</v>
      </c>
      <c r="D1581" t="inlineStr">
        <is>
          <t>JÄMTLANDS LÄN</t>
        </is>
      </c>
      <c r="E1581" t="inlineStr">
        <is>
          <t>BRÄCKE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10309-2023</t>
        </is>
      </c>
      <c r="B1582" s="1" t="n">
        <v>44986</v>
      </c>
      <c r="C1582" s="1" t="n">
        <v>45901</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30569-2024</t>
        </is>
      </c>
      <c r="B1583" s="1" t="n">
        <v>45492.95690972222</v>
      </c>
      <c r="C1583" s="1" t="n">
        <v>45901</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12891-2024</t>
        </is>
      </c>
      <c r="B1584" s="1" t="n">
        <v>45385</v>
      </c>
      <c r="C1584" s="1" t="n">
        <v>45901</v>
      </c>
      <c r="D1584" t="inlineStr">
        <is>
          <t>JÄMTLANDS LÄN</t>
        </is>
      </c>
      <c r="E1584" t="inlineStr">
        <is>
          <t>BRÄCKE</t>
        </is>
      </c>
      <c r="F1584" t="inlineStr">
        <is>
          <t>Kyrkan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39996-2024</t>
        </is>
      </c>
      <c r="B1585" s="1" t="n">
        <v>45553.63585648148</v>
      </c>
      <c r="C1585" s="1" t="n">
        <v>45901</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783-2025</t>
        </is>
      </c>
      <c r="B1586" s="1" t="n">
        <v>45665.49290509259</v>
      </c>
      <c r="C1586" s="1" t="n">
        <v>45901</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53941-2022</t>
        </is>
      </c>
      <c r="B1587" s="1" t="n">
        <v>44880</v>
      </c>
      <c r="C1587" s="1" t="n">
        <v>45901</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29314-2021</t>
        </is>
      </c>
      <c r="B1588" s="1" t="n">
        <v>44361</v>
      </c>
      <c r="C1588" s="1" t="n">
        <v>45901</v>
      </c>
      <c r="D1588" t="inlineStr">
        <is>
          <t>JÄMTLANDS LÄN</t>
        </is>
      </c>
      <c r="E1588" t="inlineStr">
        <is>
          <t>BRÄCKE</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3179-2024</t>
        </is>
      </c>
      <c r="B1589" s="1" t="n">
        <v>45316</v>
      </c>
      <c r="C1589" s="1" t="n">
        <v>45901</v>
      </c>
      <c r="D1589" t="inlineStr">
        <is>
          <t>JÄMTLANDS LÄN</t>
        </is>
      </c>
      <c r="E1589" t="inlineStr">
        <is>
          <t>BRÄCKE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38280-2021</t>
        </is>
      </c>
      <c r="B1590" s="1" t="n">
        <v>44405</v>
      </c>
      <c r="C1590" s="1" t="n">
        <v>45901</v>
      </c>
      <c r="D1590" t="inlineStr">
        <is>
          <t>JÄMTLANDS LÄN</t>
        </is>
      </c>
      <c r="E1590" t="inlineStr">
        <is>
          <t>BRÄCKE</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51441-2023</t>
        </is>
      </c>
      <c r="B1591" s="1" t="n">
        <v>45219</v>
      </c>
      <c r="C1591" s="1" t="n">
        <v>45901</v>
      </c>
      <c r="D1591" t="inlineStr">
        <is>
          <t>JÄMTLANDS LÄN</t>
        </is>
      </c>
      <c r="E1591" t="inlineStr">
        <is>
          <t>BRÄCKE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40765-2023</t>
        </is>
      </c>
      <c r="B1592" s="1" t="n">
        <v>45170</v>
      </c>
      <c r="C1592" s="1" t="n">
        <v>45901</v>
      </c>
      <c r="D1592" t="inlineStr">
        <is>
          <t>JÄMTLANDS LÄN</t>
        </is>
      </c>
      <c r="E1592" t="inlineStr">
        <is>
          <t>BRÄCKE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50220-2023</t>
        </is>
      </c>
      <c r="B1593" s="1" t="n">
        <v>45215</v>
      </c>
      <c r="C1593" s="1" t="n">
        <v>45901</v>
      </c>
      <c r="D1593" t="inlineStr">
        <is>
          <t>JÄMTLANDS LÄN</t>
        </is>
      </c>
      <c r="E1593" t="inlineStr">
        <is>
          <t>BRÄCKE</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3031-2023</t>
        </is>
      </c>
      <c r="B1594" s="1" t="n">
        <v>44945</v>
      </c>
      <c r="C1594" s="1" t="n">
        <v>45901</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3033-2023</t>
        </is>
      </c>
      <c r="B1595" s="1" t="n">
        <v>44945</v>
      </c>
      <c r="C1595" s="1" t="n">
        <v>45901</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3036-2023</t>
        </is>
      </c>
      <c r="B1596" s="1" t="n">
        <v>44945.94201388889</v>
      </c>
      <c r="C1596" s="1" t="n">
        <v>45901</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8422-2022</t>
        </is>
      </c>
      <c r="B1597" s="1" t="n">
        <v>44610</v>
      </c>
      <c r="C1597" s="1" t="n">
        <v>45901</v>
      </c>
      <c r="D1597" t="inlineStr">
        <is>
          <t>JÄMTLANDS LÄN</t>
        </is>
      </c>
      <c r="E1597" t="inlineStr">
        <is>
          <t>BRÄCKE</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48507-2023</t>
        </is>
      </c>
      <c r="B1598" s="1" t="n">
        <v>45207.94034722223</v>
      </c>
      <c r="C1598" s="1" t="n">
        <v>45901</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60954-2023</t>
        </is>
      </c>
      <c r="B1599" s="1" t="n">
        <v>45261.45638888889</v>
      </c>
      <c r="C1599" s="1" t="n">
        <v>45901</v>
      </c>
      <c r="D1599" t="inlineStr">
        <is>
          <t>JÄMTLANDS LÄN</t>
        </is>
      </c>
      <c r="E1599" t="inlineStr">
        <is>
          <t>BRÄCKE</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29821-2022</t>
        </is>
      </c>
      <c r="B1600" s="1" t="n">
        <v>44755.94486111111</v>
      </c>
      <c r="C1600" s="1" t="n">
        <v>45901</v>
      </c>
      <c r="D1600" t="inlineStr">
        <is>
          <t>JÄMTLANDS LÄN</t>
        </is>
      </c>
      <c r="E1600" t="inlineStr">
        <is>
          <t>BRÄCKE</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15243-2025</t>
        </is>
      </c>
      <c r="B1601" s="1" t="n">
        <v>45744.61537037037</v>
      </c>
      <c r="C1601" s="1" t="n">
        <v>45901</v>
      </c>
      <c r="D1601" t="inlineStr">
        <is>
          <t>JÄMTLANDS LÄN</t>
        </is>
      </c>
      <c r="E1601" t="inlineStr">
        <is>
          <t>BRÄCKE</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53522-2023</t>
        </is>
      </c>
      <c r="B1602" s="1" t="n">
        <v>45223</v>
      </c>
      <c r="C1602" s="1" t="n">
        <v>45901</v>
      </c>
      <c r="D1602" t="inlineStr">
        <is>
          <t>JÄMTLANDS LÄN</t>
        </is>
      </c>
      <c r="E1602" t="inlineStr">
        <is>
          <t>BRÄCKE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60666-2024</t>
        </is>
      </c>
      <c r="B1603" s="1" t="n">
        <v>45644.44833333333</v>
      </c>
      <c r="C1603" s="1" t="n">
        <v>45901</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58491-2024</t>
        </is>
      </c>
      <c r="B1604" s="1" t="n">
        <v>45635.40408564815</v>
      </c>
      <c r="C1604" s="1" t="n">
        <v>45901</v>
      </c>
      <c r="D1604" t="inlineStr">
        <is>
          <t>JÄMTLANDS LÄN</t>
        </is>
      </c>
      <c r="E1604" t="inlineStr">
        <is>
          <t>BRÄCKE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16466-2024</t>
        </is>
      </c>
      <c r="B1605" s="1" t="n">
        <v>45408.050625</v>
      </c>
      <c r="C1605" s="1" t="n">
        <v>45901</v>
      </c>
      <c r="D1605" t="inlineStr">
        <is>
          <t>JÄMTLANDS LÄN</t>
        </is>
      </c>
      <c r="E1605" t="inlineStr">
        <is>
          <t>BRÄCKE</t>
        </is>
      </c>
      <c r="G1605" t="n">
        <v>1.8</v>
      </c>
      <c r="H1605" t="n">
        <v>0</v>
      </c>
      <c r="I1605" t="n">
        <v>0</v>
      </c>
      <c r="J1605" t="n">
        <v>0</v>
      </c>
      <c r="K1605" t="n">
        <v>0</v>
      </c>
      <c r="L1605" t="n">
        <v>0</v>
      </c>
      <c r="M1605" t="n">
        <v>0</v>
      </c>
      <c r="N1605" t="n">
        <v>0</v>
      </c>
      <c r="O1605" t="n">
        <v>0</v>
      </c>
      <c r="P1605" t="n">
        <v>0</v>
      </c>
      <c r="Q1605" t="n">
        <v>0</v>
      </c>
      <c r="R1605" s="2" t="inlineStr"/>
    </row>
    <row r="1606">
      <c r="A1606" t="inlineStr">
        <is>
          <t>A 13083-2025</t>
        </is>
      </c>
      <c r="B1606" s="1" t="n">
        <v>45734</v>
      </c>
      <c r="C1606" s="1" t="n">
        <v>45901</v>
      </c>
      <c r="D1606" t="inlineStr">
        <is>
          <t>JÄMTLANDS LÄN</t>
        </is>
      </c>
      <c r="E1606" t="inlineStr">
        <is>
          <t>BRÄCKE</t>
        </is>
      </c>
      <c r="G1606" t="n">
        <v>5.7</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2025-09-01T08:32:44Z</dcterms:created>
  <dcterms:modified xmlns:dcterms="http://purl.org/dc/terms/" xmlns:xsi="http://www.w3.org/2001/XMLSchema-instance" xsi:type="dcterms:W3CDTF">2025-09-01T08:32:45Z</dcterms:modified>
</cp:coreProperties>
</file>