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46034</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46034</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46034</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46034</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46034</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46034</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46034</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46034</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46034</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46034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46034</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46034</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46034</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46034</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46034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46034</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46034</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46034</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46034</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46034</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45646.52915509259</v>
      </c>
      <c r="C36" s="1" t="n">
        <v>46034</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46034</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46034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36371-2022</t>
        </is>
      </c>
      <c r="B39" s="1" t="n">
        <v>44803</v>
      </c>
      <c r="C39" s="1" t="n">
        <v>46034</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46034</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49540-2022</t>
        </is>
      </c>
      <c r="B41" s="1" t="n">
        <v>44861</v>
      </c>
      <c r="C41" s="1" t="n">
        <v>46034</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28289-2025</t>
        </is>
      </c>
      <c r="B42" s="1" t="n">
        <v>45818.59244212963</v>
      </c>
      <c r="C42" s="1" t="n">
        <v>46034</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57458-2025</t>
        </is>
      </c>
      <c r="B43" s="1" t="n">
        <v>45980.53171296296</v>
      </c>
      <c r="C43" s="1" t="n">
        <v>46034</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46034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46034</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46034</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46034</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46034</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59052-2025</t>
        </is>
      </c>
      <c r="B49" s="1" t="n">
        <v>45988.38635416667</v>
      </c>
      <c r="C49" s="1" t="n">
        <v>46034</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46034</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46034</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46034</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46034</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49336-2023</t>
        </is>
      </c>
      <c r="B54" s="1" t="n">
        <v>45210</v>
      </c>
      <c r="C54" s="1" t="n">
        <v>46034</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46034</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46034</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46034</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55271-2025</t>
        </is>
      </c>
      <c r="B58" s="1" t="n">
        <v>45968.67741898148</v>
      </c>
      <c r="C58" s="1" t="n">
        <v>46034</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58903-2024</t>
        </is>
      </c>
      <c r="B59" s="1" t="n">
        <v>45636.4775</v>
      </c>
      <c r="C59" s="1" t="n">
        <v>46034</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51037-2023</t>
        </is>
      </c>
      <c r="B60" s="1" t="n">
        <v>45218</v>
      </c>
      <c r="C60" s="1" t="n">
        <v>46034</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46034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46034</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46034</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41199-2025</t>
        </is>
      </c>
      <c r="B64" s="1" t="n">
        <v>45898.57366898148</v>
      </c>
      <c r="C64" s="1" t="n">
        <v>46034</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46034</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46034</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46034</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46034</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46034</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62925-2025</t>
        </is>
      </c>
      <c r="B70" s="1" t="n">
        <v>46009.38592592593</v>
      </c>
      <c r="C70" s="1" t="n">
        <v>46034</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45109-2024</t>
        </is>
      </c>
      <c r="B71" s="1" t="n">
        <v>45575.59435185185</v>
      </c>
      <c r="C71" s="1" t="n">
        <v>46034</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18898-2025</t>
        </is>
      </c>
      <c r="B72" s="1" t="n">
        <v>45764.44885416667</v>
      </c>
      <c r="C72" s="1" t="n">
        <v>46034</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46034</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52152-2024</t>
        </is>
      </c>
      <c r="B74" s="1" t="n">
        <v>45608.52387731482</v>
      </c>
      <c r="C74" s="1" t="n">
        <v>46034</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29141-2025</t>
        </is>
      </c>
      <c r="B75" s="1" t="n">
        <v>45821.61508101852</v>
      </c>
      <c r="C75" s="1" t="n">
        <v>46034</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46034</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14576-2024</t>
        </is>
      </c>
      <c r="B77" s="1" t="n">
        <v>45394.95033564815</v>
      </c>
      <c r="C77" s="1" t="n">
        <v>46034</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32580-2025</t>
        </is>
      </c>
      <c r="B78" s="1" t="n">
        <v>45838.59434027778</v>
      </c>
      <c r="C78" s="1" t="n">
        <v>46034</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29272-2024</t>
        </is>
      </c>
      <c r="B79" s="1" t="n">
        <v>45482</v>
      </c>
      <c r="C79" s="1" t="n">
        <v>46034</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43989-2023</t>
        </is>
      </c>
      <c r="B80" s="1" t="n">
        <v>45187</v>
      </c>
      <c r="C80" s="1" t="n">
        <v>46034</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46034</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40376-2024</t>
        </is>
      </c>
      <c r="B82" s="1" t="n">
        <v>45555.4065162037</v>
      </c>
      <c r="C82" s="1" t="n">
        <v>46034</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22143-2025</t>
        </is>
      </c>
      <c r="B83" s="1" t="n">
        <v>45785.55251157407</v>
      </c>
      <c r="C83" s="1" t="n">
        <v>46034</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13548-2024</t>
        </is>
      </c>
      <c r="B84" s="1" t="n">
        <v>45387.95348379629</v>
      </c>
      <c r="C84" s="1" t="n">
        <v>46034</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29464-2024</t>
        </is>
      </c>
      <c r="B85" s="1" t="n">
        <v>45483.97010416666</v>
      </c>
      <c r="C85" s="1" t="n">
        <v>46034</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46034</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46034</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46034</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38527-2025</t>
        </is>
      </c>
      <c r="B89" s="1" t="n">
        <v>45884.40715277778</v>
      </c>
      <c r="C89" s="1" t="n">
        <v>46034</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53280-2022</t>
        </is>
      </c>
      <c r="B90" s="1" t="n">
        <v>44876</v>
      </c>
      <c r="C90" s="1" t="n">
        <v>46034</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23246-2025</t>
        </is>
      </c>
      <c r="B91" s="1" t="n">
        <v>45791.51086805556</v>
      </c>
      <c r="C91" s="1" t="n">
        <v>46034</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44217-2025</t>
        </is>
      </c>
      <c r="B92" s="1" t="n">
        <v>45915.6362037037</v>
      </c>
      <c r="C92" s="1" t="n">
        <v>46034</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18634-2025</t>
        </is>
      </c>
      <c r="B93" s="1" t="n">
        <v>45763.55266203704</v>
      </c>
      <c r="C93" s="1" t="n">
        <v>46034</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30620-2025</t>
        </is>
      </c>
      <c r="B94" s="1" t="n">
        <v>45831.46936342592</v>
      </c>
      <c r="C94" s="1" t="n">
        <v>46034</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46034</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46034</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46034</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46034</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46034</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46034</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46034</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46034</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46034</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46034</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36820-2021</t>
        </is>
      </c>
      <c r="B105" s="1" t="n">
        <v>44392</v>
      </c>
      <c r="C105" s="1" t="n">
        <v>46034</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46034</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21441-2025</t>
        </is>
      </c>
      <c r="B107" s="1" t="n">
        <v>45782.53157407408</v>
      </c>
      <c r="C107" s="1" t="n">
        <v>46034</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20496-2025</t>
        </is>
      </c>
      <c r="B108" s="1" t="n">
        <v>45775.57347222222</v>
      </c>
      <c r="C108" s="1" t="n">
        <v>46034</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46034</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46034</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46649-2022</t>
        </is>
      </c>
      <c r="B111" s="1" t="n">
        <v>44849</v>
      </c>
      <c r="C111" s="1" t="n">
        <v>46034</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14978-2025</t>
        </is>
      </c>
      <c r="B112" s="1" t="n">
        <v>45743.59503472222</v>
      </c>
      <c r="C112" s="1" t="n">
        <v>46034</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46034</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46034</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10543-2022</t>
        </is>
      </c>
      <c r="B115" s="1" t="n">
        <v>44623</v>
      </c>
      <c r="C115" s="1" t="n">
        <v>46034</v>
      </c>
      <c r="D115" t="inlineStr">
        <is>
          <t>JÄMTLANDS LÄN</t>
        </is>
      </c>
      <c r="E115" t="inlineStr">
        <is>
          <t>BRÄCKE</t>
        </is>
      </c>
      <c r="G115" t="n">
        <v>9.199999999999999</v>
      </c>
      <c r="H115" t="n">
        <v>4</v>
      </c>
      <c r="I115" t="n">
        <v>0</v>
      </c>
      <c r="J115" t="n">
        <v>2</v>
      </c>
      <c r="K115" t="n">
        <v>1</v>
      </c>
      <c r="L115" t="n">
        <v>0</v>
      </c>
      <c r="M115" t="n">
        <v>0</v>
      </c>
      <c r="N115" t="n">
        <v>0</v>
      </c>
      <c r="O115" t="n">
        <v>3</v>
      </c>
      <c r="P115" t="n">
        <v>1</v>
      </c>
      <c r="Q115" t="n">
        <v>4</v>
      </c>
      <c r="R115" s="2" t="inlineStr">
        <is>
          <t>Knärot
Järpe
Tretåig hackspett
Nattviol</t>
        </is>
      </c>
      <c r="S115">
        <f>HYPERLINK("https://klasma.github.io/Logging_2305/artfynd/A 10543-2022 artfynd.xlsx", "A 10543-2022")</f>
        <v/>
      </c>
      <c r="T115">
        <f>HYPERLINK("https://klasma.github.io/Logging_2305/kartor/A 10543-2022 karta.png", "A 10543-2022")</f>
        <v/>
      </c>
      <c r="U115">
        <f>HYPERLINK("https://klasma.github.io/Logging_2305/knärot/A 10543-2022 karta knärot.png", "A 10543-2022")</f>
        <v/>
      </c>
      <c r="V115">
        <f>HYPERLINK("https://klasma.github.io/Logging_2305/klagomål/A 10543-2022 FSC-klagomål.docx", "A 10543-2022")</f>
        <v/>
      </c>
      <c r="W115">
        <f>HYPERLINK("https://klasma.github.io/Logging_2305/klagomålsmail/A 10543-2022 FSC-klagomål mail.docx", "A 10543-2022")</f>
        <v/>
      </c>
      <c r="X115">
        <f>HYPERLINK("https://klasma.github.io/Logging_2305/tillsyn/A 10543-2022 tillsynsbegäran.docx", "A 10543-2022")</f>
        <v/>
      </c>
      <c r="Y115">
        <f>HYPERLINK("https://klasma.github.io/Logging_2305/tillsynsmail/A 10543-2022 tillsynsbegäran mail.docx", "A 10543-2022")</f>
        <v/>
      </c>
      <c r="Z115">
        <f>HYPERLINK("https://klasma.github.io/Logging_2305/fåglar/A 10543-2022 prioriterade fågelarter.docx", "A 10543-2022")</f>
        <v/>
      </c>
    </row>
    <row r="116" ht="15" customHeight="1">
      <c r="A116" t="inlineStr">
        <is>
          <t>A 12863-2024</t>
        </is>
      </c>
      <c r="B116" s="1" t="n">
        <v>45384.94145833333</v>
      </c>
      <c r="C116" s="1" t="n">
        <v>46034</v>
      </c>
      <c r="D116" t="inlineStr">
        <is>
          <t>JÄMTLANDS LÄN</t>
        </is>
      </c>
      <c r="E116" t="inlineStr">
        <is>
          <t>BRÄCKE</t>
        </is>
      </c>
      <c r="F116" t="inlineStr">
        <is>
          <t>SCA</t>
        </is>
      </c>
      <c r="G116" t="n">
        <v>10.2</v>
      </c>
      <c r="H116" t="n">
        <v>0</v>
      </c>
      <c r="I116" t="n">
        <v>1</v>
      </c>
      <c r="J116" t="n">
        <v>2</v>
      </c>
      <c r="K116" t="n">
        <v>1</v>
      </c>
      <c r="L116" t="n">
        <v>0</v>
      </c>
      <c r="M116" t="n">
        <v>0</v>
      </c>
      <c r="N116" t="n">
        <v>0</v>
      </c>
      <c r="O116" t="n">
        <v>3</v>
      </c>
      <c r="P116" t="n">
        <v>1</v>
      </c>
      <c r="Q116" t="n">
        <v>4</v>
      </c>
      <c r="R116" s="2" t="inlineStr">
        <is>
          <t>Gräddporing
Dvärgbägarlav
Skrovellav
Dropptaggsvamp</t>
        </is>
      </c>
      <c r="S116">
        <f>HYPERLINK("https://klasma.github.io/Logging_2305/artfynd/A 12863-2024 artfynd.xlsx", "A 12863-2024")</f>
        <v/>
      </c>
      <c r="T116">
        <f>HYPERLINK("https://klasma.github.io/Logging_2305/kartor/A 12863-2024 karta.png", "A 12863-2024")</f>
        <v/>
      </c>
      <c r="V116">
        <f>HYPERLINK("https://klasma.github.io/Logging_2305/klagomål/A 12863-2024 FSC-klagomål.docx", "A 12863-2024")</f>
        <v/>
      </c>
      <c r="W116">
        <f>HYPERLINK("https://klasma.github.io/Logging_2305/klagomålsmail/A 12863-2024 FSC-klagomål mail.docx", "A 12863-2024")</f>
        <v/>
      </c>
      <c r="X116">
        <f>HYPERLINK("https://klasma.github.io/Logging_2305/tillsyn/A 12863-2024 tillsynsbegäran.docx", "A 12863-2024")</f>
        <v/>
      </c>
      <c r="Y116">
        <f>HYPERLINK("https://klasma.github.io/Logging_2305/tillsynsmail/A 12863-2024 tillsynsbegäran mail.docx", "A 12863-2024")</f>
        <v/>
      </c>
    </row>
    <row r="117" ht="15" customHeight="1">
      <c r="A117" t="inlineStr">
        <is>
          <t>A 34529-2025</t>
        </is>
      </c>
      <c r="B117" s="1" t="n">
        <v>45847.48991898148</v>
      </c>
      <c r="C117" s="1" t="n">
        <v>46034</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30881-2025</t>
        </is>
      </c>
      <c r="B118" s="1" t="n">
        <v>45832.34538194445</v>
      </c>
      <c r="C118" s="1" t="n">
        <v>46034</v>
      </c>
      <c r="D118" t="inlineStr">
        <is>
          <t>JÄMTLANDS LÄN</t>
        </is>
      </c>
      <c r="E118" t="inlineStr">
        <is>
          <t>BRÄCKE</t>
        </is>
      </c>
      <c r="F118" t="inlineStr">
        <is>
          <t>SCA</t>
        </is>
      </c>
      <c r="G118" t="n">
        <v>3.3</v>
      </c>
      <c r="H118" t="n">
        <v>2</v>
      </c>
      <c r="I118" t="n">
        <v>0</v>
      </c>
      <c r="J118" t="n">
        <v>2</v>
      </c>
      <c r="K118" t="n">
        <v>2</v>
      </c>
      <c r="L118" t="n">
        <v>0</v>
      </c>
      <c r="M118" t="n">
        <v>0</v>
      </c>
      <c r="N118" t="n">
        <v>0</v>
      </c>
      <c r="O118" t="n">
        <v>4</v>
      </c>
      <c r="P118" t="n">
        <v>2</v>
      </c>
      <c r="Q118" t="n">
        <v>4</v>
      </c>
      <c r="R118" s="2" t="inlineStr">
        <is>
          <t>Knärot
Lappticka
Rosenticka
Talltita</t>
        </is>
      </c>
      <c r="S118">
        <f>HYPERLINK("https://klasma.github.io/Logging_2305/artfynd/A 30881-2025 artfynd.xlsx", "A 30881-2025")</f>
        <v/>
      </c>
      <c r="T118">
        <f>HYPERLINK("https://klasma.github.io/Logging_2305/kartor/A 30881-2025 karta.png", "A 30881-2025")</f>
        <v/>
      </c>
      <c r="U118">
        <f>HYPERLINK("https://klasma.github.io/Logging_2305/knärot/A 30881-2025 karta knärot.png", "A 30881-2025")</f>
        <v/>
      </c>
      <c r="V118">
        <f>HYPERLINK("https://klasma.github.io/Logging_2305/klagomål/A 30881-2025 FSC-klagomål.docx", "A 30881-2025")</f>
        <v/>
      </c>
      <c r="W118">
        <f>HYPERLINK("https://klasma.github.io/Logging_2305/klagomålsmail/A 30881-2025 FSC-klagomål mail.docx", "A 30881-2025")</f>
        <v/>
      </c>
      <c r="X118">
        <f>HYPERLINK("https://klasma.github.io/Logging_2305/tillsyn/A 30881-2025 tillsynsbegäran.docx", "A 30881-2025")</f>
        <v/>
      </c>
      <c r="Y118">
        <f>HYPERLINK("https://klasma.github.io/Logging_2305/tillsynsmail/A 30881-2025 tillsynsbegäran mail.docx", "A 30881-2025")</f>
        <v/>
      </c>
      <c r="Z118">
        <f>HYPERLINK("https://klasma.github.io/Logging_2305/fåglar/A 30881-2025 prioriterade fågelarter.docx", "A 30881-2025")</f>
        <v/>
      </c>
    </row>
    <row r="119" ht="15" customHeight="1">
      <c r="A119" t="inlineStr">
        <is>
          <t>A 48431-2023</t>
        </is>
      </c>
      <c r="B119" s="1" t="n">
        <v>45205</v>
      </c>
      <c r="C119" s="1" t="n">
        <v>46034</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57076-2024</t>
        </is>
      </c>
      <c r="B120" s="1" t="n">
        <v>45629.35486111111</v>
      </c>
      <c r="C120" s="1" t="n">
        <v>46034</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49375-2024</t>
        </is>
      </c>
      <c r="B121" s="1" t="n">
        <v>45595.64222222222</v>
      </c>
      <c r="C121" s="1" t="n">
        <v>46034</v>
      </c>
      <c r="D121" t="inlineStr">
        <is>
          <t>JÄMTLANDS LÄN</t>
        </is>
      </c>
      <c r="E121" t="inlineStr">
        <is>
          <t>BRÄCKE</t>
        </is>
      </c>
      <c r="F121" t="inlineStr">
        <is>
          <t>SCA</t>
        </is>
      </c>
      <c r="G121" t="n">
        <v>8.5</v>
      </c>
      <c r="H121" t="n">
        <v>0</v>
      </c>
      <c r="I121" t="n">
        <v>0</v>
      </c>
      <c r="J121" t="n">
        <v>4</v>
      </c>
      <c r="K121" t="n">
        <v>0</v>
      </c>
      <c r="L121" t="n">
        <v>0</v>
      </c>
      <c r="M121" t="n">
        <v>0</v>
      </c>
      <c r="N121" t="n">
        <v>0</v>
      </c>
      <c r="O121" t="n">
        <v>4</v>
      </c>
      <c r="P121" t="n">
        <v>0</v>
      </c>
      <c r="Q121" t="n">
        <v>4</v>
      </c>
      <c r="R121" s="2" t="inlineStr">
        <is>
          <t>Doftskinn
Granticka
Lunglav
Skrovellav</t>
        </is>
      </c>
      <c r="S121">
        <f>HYPERLINK("https://klasma.github.io/Logging_2305/artfynd/A 49375-2024 artfynd.xlsx", "A 49375-2024")</f>
        <v/>
      </c>
      <c r="T121">
        <f>HYPERLINK("https://klasma.github.io/Logging_2305/kartor/A 49375-2024 karta.png", "A 49375-2024")</f>
        <v/>
      </c>
      <c r="V121">
        <f>HYPERLINK("https://klasma.github.io/Logging_2305/klagomål/A 49375-2024 FSC-klagomål.docx", "A 49375-2024")</f>
        <v/>
      </c>
      <c r="W121">
        <f>HYPERLINK("https://klasma.github.io/Logging_2305/klagomålsmail/A 49375-2024 FSC-klagomål mail.docx", "A 49375-2024")</f>
        <v/>
      </c>
      <c r="X121">
        <f>HYPERLINK("https://klasma.github.io/Logging_2305/tillsyn/A 49375-2024 tillsynsbegäran.docx", "A 49375-2024")</f>
        <v/>
      </c>
      <c r="Y121">
        <f>HYPERLINK("https://klasma.github.io/Logging_2305/tillsynsmail/A 49375-2024 tillsynsbegäran mail.docx", "A 49375-2024")</f>
        <v/>
      </c>
    </row>
    <row r="122" ht="15" customHeight="1">
      <c r="A122" t="inlineStr">
        <is>
          <t>A 45420-2022</t>
        </is>
      </c>
      <c r="B122" s="1" t="n">
        <v>44844</v>
      </c>
      <c r="C122" s="1" t="n">
        <v>46034</v>
      </c>
      <c r="D122" t="inlineStr">
        <is>
          <t>JÄMTLANDS LÄN</t>
        </is>
      </c>
      <c r="E122" t="inlineStr">
        <is>
          <t>BRÄCKE</t>
        </is>
      </c>
      <c r="F122" t="inlineStr">
        <is>
          <t>SCA</t>
        </is>
      </c>
      <c r="G122" t="n">
        <v>1.6</v>
      </c>
      <c r="H122" t="n">
        <v>1</v>
      </c>
      <c r="I122" t="n">
        <v>2</v>
      </c>
      <c r="J122" t="n">
        <v>2</v>
      </c>
      <c r="K122" t="n">
        <v>0</v>
      </c>
      <c r="L122" t="n">
        <v>0</v>
      </c>
      <c r="M122" t="n">
        <v>0</v>
      </c>
      <c r="N122" t="n">
        <v>0</v>
      </c>
      <c r="O122" t="n">
        <v>2</v>
      </c>
      <c r="P122" t="n">
        <v>0</v>
      </c>
      <c r="Q122" t="n">
        <v>4</v>
      </c>
      <c r="R122" s="2" t="inlineStr">
        <is>
          <t>Talltita
Vitgrynig nållav
Rödgul trumpetsvamp
Svavelriska</t>
        </is>
      </c>
      <c r="S122">
        <f>HYPERLINK("https://klasma.github.io/Logging_2305/artfynd/A 45420-2022 artfynd.xlsx", "A 45420-2022")</f>
        <v/>
      </c>
      <c r="T122">
        <f>HYPERLINK("https://klasma.github.io/Logging_2305/kartor/A 45420-2022 karta.png", "A 45420-2022")</f>
        <v/>
      </c>
      <c r="V122">
        <f>HYPERLINK("https://klasma.github.io/Logging_2305/klagomål/A 45420-2022 FSC-klagomål.docx", "A 45420-2022")</f>
        <v/>
      </c>
      <c r="W122">
        <f>HYPERLINK("https://klasma.github.io/Logging_2305/klagomålsmail/A 45420-2022 FSC-klagomål mail.docx", "A 45420-2022")</f>
        <v/>
      </c>
      <c r="X122">
        <f>HYPERLINK("https://klasma.github.io/Logging_2305/tillsyn/A 45420-2022 tillsynsbegäran.docx", "A 45420-2022")</f>
        <v/>
      </c>
      <c r="Y122">
        <f>HYPERLINK("https://klasma.github.io/Logging_2305/tillsynsmail/A 45420-2022 tillsynsbegäran mail.docx", "A 45420-2022")</f>
        <v/>
      </c>
      <c r="Z122">
        <f>HYPERLINK("https://klasma.github.io/Logging_2305/fåglar/A 45420-2022 prioriterade fågelarter.docx", "A 45420-2022")</f>
        <v/>
      </c>
    </row>
    <row r="123" ht="15" customHeight="1">
      <c r="A123" t="inlineStr">
        <is>
          <t>A 28553-2024</t>
        </is>
      </c>
      <c r="B123" s="1" t="n">
        <v>45478</v>
      </c>
      <c r="C123" s="1" t="n">
        <v>46034</v>
      </c>
      <c r="D123" t="inlineStr">
        <is>
          <t>JÄMTLANDS LÄN</t>
        </is>
      </c>
      <c r="E123" t="inlineStr">
        <is>
          <t>BRÄCKE</t>
        </is>
      </c>
      <c r="G123" t="n">
        <v>14.5</v>
      </c>
      <c r="H123" t="n">
        <v>2</v>
      </c>
      <c r="I123" t="n">
        <v>0</v>
      </c>
      <c r="J123" t="n">
        <v>3</v>
      </c>
      <c r="K123" t="n">
        <v>1</v>
      </c>
      <c r="L123" t="n">
        <v>0</v>
      </c>
      <c r="M123" t="n">
        <v>0</v>
      </c>
      <c r="N123" t="n">
        <v>0</v>
      </c>
      <c r="O123" t="n">
        <v>4</v>
      </c>
      <c r="P123" t="n">
        <v>1</v>
      </c>
      <c r="Q123" t="n">
        <v>4</v>
      </c>
      <c r="R123" s="2" t="inlineStr">
        <is>
          <t>Knärot
Granticka
Lunglav
Tretåig hackspett</t>
        </is>
      </c>
      <c r="S123">
        <f>HYPERLINK("https://klasma.github.io/Logging_2305/artfynd/A 28553-2024 artfynd.xlsx", "A 28553-2024")</f>
        <v/>
      </c>
      <c r="T123">
        <f>HYPERLINK("https://klasma.github.io/Logging_2305/kartor/A 28553-2024 karta.png", "A 28553-2024")</f>
        <v/>
      </c>
      <c r="U123">
        <f>HYPERLINK("https://klasma.github.io/Logging_2305/knärot/A 28553-2024 karta knärot.png", "A 28553-2024")</f>
        <v/>
      </c>
      <c r="V123">
        <f>HYPERLINK("https://klasma.github.io/Logging_2305/klagomål/A 28553-2024 FSC-klagomål.docx", "A 28553-2024")</f>
        <v/>
      </c>
      <c r="W123">
        <f>HYPERLINK("https://klasma.github.io/Logging_2305/klagomålsmail/A 28553-2024 FSC-klagomål mail.docx", "A 28553-2024")</f>
        <v/>
      </c>
      <c r="X123">
        <f>HYPERLINK("https://klasma.github.io/Logging_2305/tillsyn/A 28553-2024 tillsynsbegäran.docx", "A 28553-2024")</f>
        <v/>
      </c>
      <c r="Y123">
        <f>HYPERLINK("https://klasma.github.io/Logging_2305/tillsynsmail/A 28553-2024 tillsynsbegäran mail.docx", "A 28553-2024")</f>
        <v/>
      </c>
      <c r="Z123">
        <f>HYPERLINK("https://klasma.github.io/Logging_2305/fåglar/A 28553-2024 prioriterade fågelarter.docx", "A 28553-2024")</f>
        <v/>
      </c>
    </row>
    <row r="124" ht="15" customHeight="1">
      <c r="A124" t="inlineStr">
        <is>
          <t>A 47172-2023</t>
        </is>
      </c>
      <c r="B124" s="1" t="n">
        <v>45201</v>
      </c>
      <c r="C124" s="1" t="n">
        <v>46034</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43620-2023</t>
        </is>
      </c>
      <c r="B125" s="1" t="n">
        <v>45184</v>
      </c>
      <c r="C125" s="1" t="n">
        <v>46034</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33928-2022</t>
        </is>
      </c>
      <c r="B126" s="1" t="n">
        <v>44790</v>
      </c>
      <c r="C126" s="1" t="n">
        <v>46034</v>
      </c>
      <c r="D126" t="inlineStr">
        <is>
          <t>JÄMTLANDS LÄN</t>
        </is>
      </c>
      <c r="E126" t="inlineStr">
        <is>
          <t>BRÄCKE</t>
        </is>
      </c>
      <c r="G126" t="n">
        <v>5.3</v>
      </c>
      <c r="H126" t="n">
        <v>3</v>
      </c>
      <c r="I126" t="n">
        <v>3</v>
      </c>
      <c r="J126" t="n">
        <v>0</v>
      </c>
      <c r="K126" t="n">
        <v>0</v>
      </c>
      <c r="L126" t="n">
        <v>0</v>
      </c>
      <c r="M126" t="n">
        <v>0</v>
      </c>
      <c r="N126" t="n">
        <v>0</v>
      </c>
      <c r="O126" t="n">
        <v>0</v>
      </c>
      <c r="P126" t="n">
        <v>0</v>
      </c>
      <c r="Q126" t="n">
        <v>4</v>
      </c>
      <c r="R126" s="2" t="inlineStr">
        <is>
          <t>Gräsull
Korallrot
Tvåblad
Dactylorhiza incarnata subsp. incarnata</t>
        </is>
      </c>
      <c r="S126">
        <f>HYPERLINK("https://klasma.github.io/Logging_2305/artfynd/A 33928-2022 artfynd.xlsx", "A 33928-2022")</f>
        <v/>
      </c>
      <c r="T126">
        <f>HYPERLINK("https://klasma.github.io/Logging_2305/kartor/A 33928-2022 karta.png", "A 33928-2022")</f>
        <v/>
      </c>
      <c r="V126">
        <f>HYPERLINK("https://klasma.github.io/Logging_2305/klagomål/A 33928-2022 FSC-klagomål.docx", "A 33928-2022")</f>
        <v/>
      </c>
      <c r="W126">
        <f>HYPERLINK("https://klasma.github.io/Logging_2305/klagomålsmail/A 33928-2022 FSC-klagomål mail.docx", "A 33928-2022")</f>
        <v/>
      </c>
      <c r="X126">
        <f>HYPERLINK("https://klasma.github.io/Logging_2305/tillsyn/A 33928-2022 tillsynsbegäran.docx", "A 33928-2022")</f>
        <v/>
      </c>
      <c r="Y126">
        <f>HYPERLINK("https://klasma.github.io/Logging_2305/tillsynsmail/A 33928-2022 tillsynsbegäran mail.docx", "A 33928-2022")</f>
        <v/>
      </c>
    </row>
    <row r="127" ht="15" customHeight="1">
      <c r="A127" t="inlineStr">
        <is>
          <t>A 42105-2024</t>
        </is>
      </c>
      <c r="B127" s="1" t="n">
        <v>45562.3650462963</v>
      </c>
      <c r="C127" s="1" t="n">
        <v>46034</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57079-2023</t>
        </is>
      </c>
      <c r="B128" s="1" t="n">
        <v>45244</v>
      </c>
      <c r="C128" s="1" t="n">
        <v>46034</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46034</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48479-2023</t>
        </is>
      </c>
      <c r="B130" s="1" t="n">
        <v>45206</v>
      </c>
      <c r="C130" s="1" t="n">
        <v>46034</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32654-2024</t>
        </is>
      </c>
      <c r="B131" s="1" t="n">
        <v>45513.96465277778</v>
      </c>
      <c r="C131" s="1" t="n">
        <v>46034</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46034</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21412-2025</t>
        </is>
      </c>
      <c r="B133" s="1" t="n">
        <v>45782.49100694444</v>
      </c>
      <c r="C133" s="1" t="n">
        <v>46034</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56222-2021</t>
        </is>
      </c>
      <c r="B134" s="1" t="n">
        <v>44477</v>
      </c>
      <c r="C134" s="1" t="n">
        <v>46034</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46034</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46034</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46034</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22546-2025</t>
        </is>
      </c>
      <c r="B138" s="1" t="n">
        <v>45788.46329861111</v>
      </c>
      <c r="C138" s="1" t="n">
        <v>46034</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23300-2025</t>
        </is>
      </c>
      <c r="B139" s="1" t="n">
        <v>45791.5946875</v>
      </c>
      <c r="C139" s="1" t="n">
        <v>46034</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23854-2025</t>
        </is>
      </c>
      <c r="B140" s="1" t="n">
        <v>45793.65658564815</v>
      </c>
      <c r="C140" s="1" t="n">
        <v>46034</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23687-2025</t>
        </is>
      </c>
      <c r="B141" s="1" t="n">
        <v>45793.34428240741</v>
      </c>
      <c r="C141" s="1" t="n">
        <v>46034</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23592-2025</t>
        </is>
      </c>
      <c r="B142" s="1" t="n">
        <v>45792.63644675926</v>
      </c>
      <c r="C142" s="1" t="n">
        <v>46034</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24635-2025</t>
        </is>
      </c>
      <c r="B143" s="1" t="n">
        <v>45798.61513888889</v>
      </c>
      <c r="C143" s="1" t="n">
        <v>46034</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41648-2023</t>
        </is>
      </c>
      <c r="B144" s="1" t="n">
        <v>45175</v>
      </c>
      <c r="C144" s="1" t="n">
        <v>46034</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48067-2023</t>
        </is>
      </c>
      <c r="B145" s="1" t="n">
        <v>45204</v>
      </c>
      <c r="C145" s="1" t="n">
        <v>46034</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30112-2025</t>
        </is>
      </c>
      <c r="B146" s="1" t="n">
        <v>45826.71938657408</v>
      </c>
      <c r="C146" s="1" t="n">
        <v>46034</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16959-2025</t>
        </is>
      </c>
      <c r="B147" s="1" t="n">
        <v>45755.44854166666</v>
      </c>
      <c r="C147" s="1" t="n">
        <v>46034</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46034</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47038-2025</t>
        </is>
      </c>
      <c r="B149" s="1" t="n">
        <v>45929.59473379629</v>
      </c>
      <c r="C149" s="1" t="n">
        <v>46034</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46034</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29689-2024</t>
        </is>
      </c>
      <c r="B151" s="1" t="n">
        <v>45484.94427083333</v>
      </c>
      <c r="C151" s="1" t="n">
        <v>46034</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30486-2024</t>
        </is>
      </c>
      <c r="B152" s="1" t="n">
        <v>45491.95018518518</v>
      </c>
      <c r="C152" s="1" t="n">
        <v>46034</v>
      </c>
      <c r="D152" t="inlineStr">
        <is>
          <t>JÄMTLANDS LÄN</t>
        </is>
      </c>
      <c r="E152" t="inlineStr">
        <is>
          <t>BRÄCKE</t>
        </is>
      </c>
      <c r="F152" t="inlineStr">
        <is>
          <t>SCA</t>
        </is>
      </c>
      <c r="G152" t="n">
        <v>3.8</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30486-2024 artfynd.xlsx", "A 30486-2024")</f>
        <v/>
      </c>
      <c r="T152">
        <f>HYPERLINK("https://klasma.github.io/Logging_2305/kartor/A 30486-2024 karta.png", "A 30486-2024")</f>
        <v/>
      </c>
      <c r="V152">
        <f>HYPERLINK("https://klasma.github.io/Logging_2305/klagomål/A 30486-2024 FSC-klagomål.docx", "A 30486-2024")</f>
        <v/>
      </c>
      <c r="W152">
        <f>HYPERLINK("https://klasma.github.io/Logging_2305/klagomålsmail/A 30486-2024 FSC-klagomål mail.docx", "A 30486-2024")</f>
        <v/>
      </c>
      <c r="X152">
        <f>HYPERLINK("https://klasma.github.io/Logging_2305/tillsyn/A 30486-2024 tillsynsbegäran.docx", "A 30486-2024")</f>
        <v/>
      </c>
      <c r="Y152">
        <f>HYPERLINK("https://klasma.github.io/Logging_2305/tillsynsmail/A 30486-2024 tillsynsbegäran mail.docx", "A 30486-2024")</f>
        <v/>
      </c>
      <c r="Z152">
        <f>HYPERLINK("https://klasma.github.io/Logging_2305/fåglar/A 30486-2024 prioriterade fågelarter.docx", "A 30486-2024")</f>
        <v/>
      </c>
    </row>
    <row r="153" ht="15" customHeight="1">
      <c r="A153" t="inlineStr">
        <is>
          <t>A 50516-2023</t>
        </is>
      </c>
      <c r="B153" s="1" t="n">
        <v>45216</v>
      </c>
      <c r="C153" s="1" t="n">
        <v>46034</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49293-2025</t>
        </is>
      </c>
      <c r="B154" s="1" t="n">
        <v>45938.53223379629</v>
      </c>
      <c r="C154" s="1" t="n">
        <v>46034</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33678-2025</t>
        </is>
      </c>
      <c r="B155" s="1" t="n">
        <v>45841.67853009259</v>
      </c>
      <c r="C155" s="1" t="n">
        <v>46034</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49624-2025</t>
        </is>
      </c>
      <c r="B156" s="1" t="n">
        <v>45939.59447916667</v>
      </c>
      <c r="C156" s="1" t="n">
        <v>46034</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35907-2025</t>
        </is>
      </c>
      <c r="B157" s="1" t="n">
        <v>45862.5109837963</v>
      </c>
      <c r="C157" s="1" t="n">
        <v>46034</v>
      </c>
      <c r="D157" t="inlineStr">
        <is>
          <t>JÄMTLANDS LÄN</t>
        </is>
      </c>
      <c r="E157" t="inlineStr">
        <is>
          <t>BRÄCKE</t>
        </is>
      </c>
      <c r="F157" t="inlineStr">
        <is>
          <t>SCA</t>
        </is>
      </c>
      <c r="G157" t="n">
        <v>2.8</v>
      </c>
      <c r="H157" t="n">
        <v>0</v>
      </c>
      <c r="I157" t="n">
        <v>1</v>
      </c>
      <c r="J157" t="n">
        <v>2</v>
      </c>
      <c r="K157" t="n">
        <v>0</v>
      </c>
      <c r="L157" t="n">
        <v>0</v>
      </c>
      <c r="M157" t="n">
        <v>0</v>
      </c>
      <c r="N157" t="n">
        <v>0</v>
      </c>
      <c r="O157" t="n">
        <v>2</v>
      </c>
      <c r="P157" t="n">
        <v>0</v>
      </c>
      <c r="Q157" t="n">
        <v>3</v>
      </c>
      <c r="R157" s="2" t="inlineStr">
        <is>
          <t>Garnlav
Ullticka
Dropptaggsvamp</t>
        </is>
      </c>
      <c r="S157">
        <f>HYPERLINK("https://klasma.github.io/Logging_2305/artfynd/A 35907-2025 artfynd.xlsx", "A 35907-2025")</f>
        <v/>
      </c>
      <c r="T157">
        <f>HYPERLINK("https://klasma.github.io/Logging_2305/kartor/A 35907-2025 karta.png", "A 35907-2025")</f>
        <v/>
      </c>
      <c r="V157">
        <f>HYPERLINK("https://klasma.github.io/Logging_2305/klagomål/A 35907-2025 FSC-klagomål.docx", "A 35907-2025")</f>
        <v/>
      </c>
      <c r="W157">
        <f>HYPERLINK("https://klasma.github.io/Logging_2305/klagomålsmail/A 35907-2025 FSC-klagomål mail.docx", "A 35907-2025")</f>
        <v/>
      </c>
      <c r="X157">
        <f>HYPERLINK("https://klasma.github.io/Logging_2305/tillsyn/A 35907-2025 tillsynsbegäran.docx", "A 35907-2025")</f>
        <v/>
      </c>
      <c r="Y157">
        <f>HYPERLINK("https://klasma.github.io/Logging_2305/tillsynsmail/A 35907-2025 tillsynsbegäran mail.docx", "A 35907-2025")</f>
        <v/>
      </c>
    </row>
    <row r="158" ht="15" customHeight="1">
      <c r="A158" t="inlineStr">
        <is>
          <t>A 53261-2025</t>
        </is>
      </c>
      <c r="B158" s="1" t="n">
        <v>45958.67787037037</v>
      </c>
      <c r="C158" s="1" t="n">
        <v>46034</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25717-2024</t>
        </is>
      </c>
      <c r="B159" s="1" t="n">
        <v>45463.94459490741</v>
      </c>
      <c r="C159" s="1" t="n">
        <v>46034</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4180-2022</t>
        </is>
      </c>
      <c r="B160" s="1" t="n">
        <v>44588</v>
      </c>
      <c r="C160" s="1" t="n">
        <v>46034</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103-2025</t>
        </is>
      </c>
      <c r="B161" s="1" t="n">
        <v>45659</v>
      </c>
      <c r="C161" s="1" t="n">
        <v>46034</v>
      </c>
      <c r="D161" t="inlineStr">
        <is>
          <t>JÄMTLANDS LÄN</t>
        </is>
      </c>
      <c r="E161" t="inlineStr">
        <is>
          <t>BRÄCKE</t>
        </is>
      </c>
      <c r="F161" t="inlineStr">
        <is>
          <t>SCA</t>
        </is>
      </c>
      <c r="G161" t="n">
        <v>10.2</v>
      </c>
      <c r="H161" t="n">
        <v>3</v>
      </c>
      <c r="I161" t="n">
        <v>0</v>
      </c>
      <c r="J161" t="n">
        <v>2</v>
      </c>
      <c r="K161" t="n">
        <v>0</v>
      </c>
      <c r="L161" t="n">
        <v>0</v>
      </c>
      <c r="M161" t="n">
        <v>0</v>
      </c>
      <c r="N161" t="n">
        <v>0</v>
      </c>
      <c r="O161" t="n">
        <v>2</v>
      </c>
      <c r="P161" t="n">
        <v>0</v>
      </c>
      <c r="Q161" t="n">
        <v>3</v>
      </c>
      <c r="R161" s="2" t="inlineStr">
        <is>
          <t>Talltita
Tretåig hackspett
Orre</t>
        </is>
      </c>
      <c r="S161">
        <f>HYPERLINK("https://klasma.github.io/Logging_2305/artfynd/A 103-2025 artfynd.xlsx", "A 103-2025")</f>
        <v/>
      </c>
      <c r="T161">
        <f>HYPERLINK("https://klasma.github.io/Logging_2305/kartor/A 103-2025 karta.png", "A 103-2025")</f>
        <v/>
      </c>
      <c r="V161">
        <f>HYPERLINK("https://klasma.github.io/Logging_2305/klagomål/A 103-2025 FSC-klagomål.docx", "A 103-2025")</f>
        <v/>
      </c>
      <c r="W161">
        <f>HYPERLINK("https://klasma.github.io/Logging_2305/klagomålsmail/A 103-2025 FSC-klagomål mail.docx", "A 103-2025")</f>
        <v/>
      </c>
      <c r="X161">
        <f>HYPERLINK("https://klasma.github.io/Logging_2305/tillsyn/A 103-2025 tillsynsbegäran.docx", "A 103-2025")</f>
        <v/>
      </c>
      <c r="Y161">
        <f>HYPERLINK("https://klasma.github.io/Logging_2305/tillsynsmail/A 103-2025 tillsynsbegäran mail.docx", "A 103-2025")</f>
        <v/>
      </c>
      <c r="Z161">
        <f>HYPERLINK("https://klasma.github.io/Logging_2305/fåglar/A 103-2025 prioriterade fågelarter.docx", "A 103-2025")</f>
        <v/>
      </c>
    </row>
    <row r="162" ht="15" customHeight="1">
      <c r="A162" t="inlineStr">
        <is>
          <t>A 37707-2025</t>
        </is>
      </c>
      <c r="B162" s="1" t="n">
        <v>45880.59423611111</v>
      </c>
      <c r="C162" s="1" t="n">
        <v>46034</v>
      </c>
      <c r="D162" t="inlineStr">
        <is>
          <t>JÄMTLANDS LÄN</t>
        </is>
      </c>
      <c r="E162" t="inlineStr">
        <is>
          <t>BRÄCKE</t>
        </is>
      </c>
      <c r="G162" t="n">
        <v>6.6</v>
      </c>
      <c r="H162" t="n">
        <v>0</v>
      </c>
      <c r="I162" t="n">
        <v>0</v>
      </c>
      <c r="J162" t="n">
        <v>3</v>
      </c>
      <c r="K162" t="n">
        <v>0</v>
      </c>
      <c r="L162" t="n">
        <v>0</v>
      </c>
      <c r="M162" t="n">
        <v>0</v>
      </c>
      <c r="N162" t="n">
        <v>0</v>
      </c>
      <c r="O162" t="n">
        <v>3</v>
      </c>
      <c r="P162" t="n">
        <v>0</v>
      </c>
      <c r="Q162" t="n">
        <v>3</v>
      </c>
      <c r="R162" s="2" t="inlineStr">
        <is>
          <t>Dvärgbägarlav
Mörk kolflarnlav
Vedflamlav</t>
        </is>
      </c>
      <c r="S162">
        <f>HYPERLINK("https://klasma.github.io/Logging_2305/artfynd/A 37707-2025 artfynd.xlsx", "A 37707-2025")</f>
        <v/>
      </c>
      <c r="T162">
        <f>HYPERLINK("https://klasma.github.io/Logging_2305/kartor/A 37707-2025 karta.png", "A 37707-2025")</f>
        <v/>
      </c>
      <c r="V162">
        <f>HYPERLINK("https://klasma.github.io/Logging_2305/klagomål/A 37707-2025 FSC-klagomål.docx", "A 37707-2025")</f>
        <v/>
      </c>
      <c r="W162">
        <f>HYPERLINK("https://klasma.github.io/Logging_2305/klagomålsmail/A 37707-2025 FSC-klagomål mail.docx", "A 37707-2025")</f>
        <v/>
      </c>
      <c r="X162">
        <f>HYPERLINK("https://klasma.github.io/Logging_2305/tillsyn/A 37707-2025 tillsynsbegäran.docx", "A 37707-2025")</f>
        <v/>
      </c>
      <c r="Y162">
        <f>HYPERLINK("https://klasma.github.io/Logging_2305/tillsynsmail/A 37707-2025 tillsynsbegäran mail.docx", "A 37707-2025")</f>
        <v/>
      </c>
    </row>
    <row r="163" ht="15" customHeight="1">
      <c r="A163" t="inlineStr">
        <is>
          <t>A 11002-2022</t>
        </is>
      </c>
      <c r="B163" s="1" t="n">
        <v>44628</v>
      </c>
      <c r="C163" s="1" t="n">
        <v>46034</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2298-2025</t>
        </is>
      </c>
      <c r="B164" s="1" t="n">
        <v>45673.595</v>
      </c>
      <c r="C164" s="1" t="n">
        <v>46034</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29455-2024</t>
        </is>
      </c>
      <c r="B165" s="1" t="n">
        <v>45483</v>
      </c>
      <c r="C165" s="1" t="n">
        <v>46034</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57617-2025</t>
        </is>
      </c>
      <c r="B166" s="1" t="n">
        <v>45981.34484953704</v>
      </c>
      <c r="C166" s="1" t="n">
        <v>46034</v>
      </c>
      <c r="D166" t="inlineStr">
        <is>
          <t>JÄMTLANDS LÄN</t>
        </is>
      </c>
      <c r="E166" t="inlineStr">
        <is>
          <t>BRÄCKE</t>
        </is>
      </c>
      <c r="F166" t="inlineStr">
        <is>
          <t>SCA</t>
        </is>
      </c>
      <c r="G166" t="n">
        <v>7.9</v>
      </c>
      <c r="H166" t="n">
        <v>1</v>
      </c>
      <c r="I166" t="n">
        <v>2</v>
      </c>
      <c r="J166" t="n">
        <v>0</v>
      </c>
      <c r="K166" t="n">
        <v>1</v>
      </c>
      <c r="L166" t="n">
        <v>0</v>
      </c>
      <c r="M166" t="n">
        <v>0</v>
      </c>
      <c r="N166" t="n">
        <v>0</v>
      </c>
      <c r="O166" t="n">
        <v>1</v>
      </c>
      <c r="P166" t="n">
        <v>1</v>
      </c>
      <c r="Q166" t="n">
        <v>3</v>
      </c>
      <c r="R166" s="2" t="inlineStr">
        <is>
          <t>Knärot
Svavelriska
Trådticka</t>
        </is>
      </c>
      <c r="S166">
        <f>HYPERLINK("https://klasma.github.io/Logging_2305/artfynd/A 57617-2025 artfynd.xlsx", "A 57617-2025")</f>
        <v/>
      </c>
      <c r="T166">
        <f>HYPERLINK("https://klasma.github.io/Logging_2305/kartor/A 57617-2025 karta.png", "A 57617-2025")</f>
        <v/>
      </c>
      <c r="U166">
        <f>HYPERLINK("https://klasma.github.io/Logging_2305/knärot/A 57617-2025 karta knärot.png", "A 57617-2025")</f>
        <v/>
      </c>
      <c r="V166">
        <f>HYPERLINK("https://klasma.github.io/Logging_2305/klagomål/A 57617-2025 FSC-klagomål.docx", "A 57617-2025")</f>
        <v/>
      </c>
      <c r="W166">
        <f>HYPERLINK("https://klasma.github.io/Logging_2305/klagomålsmail/A 57617-2025 FSC-klagomål mail.docx", "A 57617-2025")</f>
        <v/>
      </c>
      <c r="X166">
        <f>HYPERLINK("https://klasma.github.io/Logging_2305/tillsyn/A 57617-2025 tillsynsbegäran.docx", "A 57617-2025")</f>
        <v/>
      </c>
      <c r="Y166">
        <f>HYPERLINK("https://klasma.github.io/Logging_2305/tillsynsmail/A 57617-2025 tillsynsbegäran mail.docx", "A 57617-2025")</f>
        <v/>
      </c>
    </row>
    <row r="167" ht="15" customHeight="1">
      <c r="A167" t="inlineStr">
        <is>
          <t>A 60610-2024</t>
        </is>
      </c>
      <c r="B167" s="1" t="n">
        <v>45644.38570601852</v>
      </c>
      <c r="C167" s="1" t="n">
        <v>46034</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58422-2025</t>
        </is>
      </c>
      <c r="B168" s="1" t="n">
        <v>45985.59431712963</v>
      </c>
      <c r="C168" s="1" t="n">
        <v>46034</v>
      </c>
      <c r="D168" t="inlineStr">
        <is>
          <t>JÄMTLANDS LÄN</t>
        </is>
      </c>
      <c r="E168" t="inlineStr">
        <is>
          <t>BRÄCKE</t>
        </is>
      </c>
      <c r="F168" t="inlineStr">
        <is>
          <t>SCA</t>
        </is>
      </c>
      <c r="G168" t="n">
        <v>11</v>
      </c>
      <c r="H168" t="n">
        <v>1</v>
      </c>
      <c r="I168" t="n">
        <v>1</v>
      </c>
      <c r="J168" t="n">
        <v>1</v>
      </c>
      <c r="K168" t="n">
        <v>1</v>
      </c>
      <c r="L168" t="n">
        <v>0</v>
      </c>
      <c r="M168" t="n">
        <v>0</v>
      </c>
      <c r="N168" t="n">
        <v>0</v>
      </c>
      <c r="O168" t="n">
        <v>2</v>
      </c>
      <c r="P168" t="n">
        <v>1</v>
      </c>
      <c r="Q168" t="n">
        <v>3</v>
      </c>
      <c r="R168" s="2" t="inlineStr">
        <is>
          <t>Doftticka
Lunglav
Dropptaggsvamp</t>
        </is>
      </c>
      <c r="S168">
        <f>HYPERLINK("https://klasma.github.io/Logging_2305/artfynd/A 58422-2025 artfynd.xlsx", "A 58422-2025")</f>
        <v/>
      </c>
      <c r="T168">
        <f>HYPERLINK("https://klasma.github.io/Logging_2305/kartor/A 58422-2025 karta.png", "A 58422-2025")</f>
        <v/>
      </c>
      <c r="V168">
        <f>HYPERLINK("https://klasma.github.io/Logging_2305/klagomål/A 58422-2025 FSC-klagomål.docx", "A 58422-2025")</f>
        <v/>
      </c>
      <c r="W168">
        <f>HYPERLINK("https://klasma.github.io/Logging_2305/klagomålsmail/A 58422-2025 FSC-klagomål mail.docx", "A 58422-2025")</f>
        <v/>
      </c>
      <c r="X168">
        <f>HYPERLINK("https://klasma.github.io/Logging_2305/tillsyn/A 58422-2025 tillsynsbegäran.docx", "A 58422-2025")</f>
        <v/>
      </c>
      <c r="Y168">
        <f>HYPERLINK("https://klasma.github.io/Logging_2305/tillsynsmail/A 58422-2025 tillsynsbegäran mail.docx", "A 58422-2025")</f>
        <v/>
      </c>
    </row>
    <row r="169" ht="15" customHeight="1">
      <c r="A169" t="inlineStr">
        <is>
          <t>A 58584-2021</t>
        </is>
      </c>
      <c r="B169" s="1" t="n">
        <v>44488</v>
      </c>
      <c r="C169" s="1" t="n">
        <v>46034</v>
      </c>
      <c r="D169" t="inlineStr">
        <is>
          <t>JÄMTLANDS LÄN</t>
        </is>
      </c>
      <c r="E169" t="inlineStr">
        <is>
          <t>BRÄCKE</t>
        </is>
      </c>
      <c r="G169" t="n">
        <v>32</v>
      </c>
      <c r="H169" t="n">
        <v>0</v>
      </c>
      <c r="I169" t="n">
        <v>1</v>
      </c>
      <c r="J169" t="n">
        <v>2</v>
      </c>
      <c r="K169" t="n">
        <v>0</v>
      </c>
      <c r="L169" t="n">
        <v>0</v>
      </c>
      <c r="M169" t="n">
        <v>0</v>
      </c>
      <c r="N169" t="n">
        <v>0</v>
      </c>
      <c r="O169" t="n">
        <v>2</v>
      </c>
      <c r="P169" t="n">
        <v>0</v>
      </c>
      <c r="Q169" t="n">
        <v>3</v>
      </c>
      <c r="R169" s="2" t="inlineStr">
        <is>
          <t>Garnlav
Lunglav
Bårdlav</t>
        </is>
      </c>
      <c r="S169">
        <f>HYPERLINK("https://klasma.github.io/Logging_2305/artfynd/A 58584-2021 artfynd.xlsx", "A 58584-2021")</f>
        <v/>
      </c>
      <c r="T169">
        <f>HYPERLINK("https://klasma.github.io/Logging_2305/kartor/A 58584-2021 karta.png", "A 58584-2021")</f>
        <v/>
      </c>
      <c r="U169">
        <f>HYPERLINK("https://klasma.github.io/Logging_2305/knärot/A 58584-2021 karta knärot.png", "A 58584-2021")</f>
        <v/>
      </c>
      <c r="V169">
        <f>HYPERLINK("https://klasma.github.io/Logging_2305/klagomål/A 58584-2021 FSC-klagomål.docx", "A 58584-2021")</f>
        <v/>
      </c>
      <c r="W169">
        <f>HYPERLINK("https://klasma.github.io/Logging_2305/klagomålsmail/A 58584-2021 FSC-klagomål mail.docx", "A 58584-2021")</f>
        <v/>
      </c>
      <c r="X169">
        <f>HYPERLINK("https://klasma.github.io/Logging_2305/tillsyn/A 58584-2021 tillsynsbegäran.docx", "A 58584-2021")</f>
        <v/>
      </c>
      <c r="Y169">
        <f>HYPERLINK("https://klasma.github.io/Logging_2305/tillsynsmail/A 58584-2021 tillsynsbegäran mail.docx", "A 58584-2021")</f>
        <v/>
      </c>
    </row>
    <row r="170" ht="15" customHeight="1">
      <c r="A170" t="inlineStr">
        <is>
          <t>A 26009-2024</t>
        </is>
      </c>
      <c r="B170" s="1" t="n">
        <v>45467</v>
      </c>
      <c r="C170" s="1" t="n">
        <v>46034</v>
      </c>
      <c r="D170" t="inlineStr">
        <is>
          <t>JÄMTLANDS LÄN</t>
        </is>
      </c>
      <c r="E170" t="inlineStr">
        <is>
          <t>BRÄCKE</t>
        </is>
      </c>
      <c r="F170" t="inlineStr">
        <is>
          <t>SCA</t>
        </is>
      </c>
      <c r="G170" t="n">
        <v>8.5</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26009-2024 artfynd.xlsx", "A 26009-2024")</f>
        <v/>
      </c>
      <c r="T170">
        <f>HYPERLINK("https://klasma.github.io/Logging_2305/kartor/A 26009-2024 karta.png", "A 26009-2024")</f>
        <v/>
      </c>
      <c r="V170">
        <f>HYPERLINK("https://klasma.github.io/Logging_2305/klagomål/A 26009-2024 FSC-klagomål.docx", "A 26009-2024")</f>
        <v/>
      </c>
      <c r="W170">
        <f>HYPERLINK("https://klasma.github.io/Logging_2305/klagomålsmail/A 26009-2024 FSC-klagomål mail.docx", "A 26009-2024")</f>
        <v/>
      </c>
      <c r="X170">
        <f>HYPERLINK("https://klasma.github.io/Logging_2305/tillsyn/A 26009-2024 tillsynsbegäran.docx", "A 26009-2024")</f>
        <v/>
      </c>
      <c r="Y170">
        <f>HYPERLINK("https://klasma.github.io/Logging_2305/tillsynsmail/A 26009-2024 tillsynsbegäran mail.docx", "A 26009-2024")</f>
        <v/>
      </c>
      <c r="Z170">
        <f>HYPERLINK("https://klasma.github.io/Logging_2305/fåglar/A 26009-2024 prioriterade fågelarter.docx", "A 26009-2024")</f>
        <v/>
      </c>
    </row>
    <row r="171" ht="15" customHeight="1">
      <c r="A171" t="inlineStr">
        <is>
          <t>A 50616-2024</t>
        </is>
      </c>
      <c r="B171" s="1" t="n">
        <v>45601.63574074074</v>
      </c>
      <c r="C171" s="1" t="n">
        <v>46034</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30989-2024</t>
        </is>
      </c>
      <c r="B172" s="1" t="n">
        <v>45499.54851851852</v>
      </c>
      <c r="C172" s="1" t="n">
        <v>46034</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29690-2024</t>
        </is>
      </c>
      <c r="B173" s="1" t="n">
        <v>45484.94436342592</v>
      </c>
      <c r="C173" s="1" t="n">
        <v>46034</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19437-2023</t>
        </is>
      </c>
      <c r="B174" s="1" t="n">
        <v>45049</v>
      </c>
      <c r="C174" s="1" t="n">
        <v>46034</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19336-2024</t>
        </is>
      </c>
      <c r="B175" s="1" t="n">
        <v>45428.97079861111</v>
      </c>
      <c r="C175" s="1" t="n">
        <v>46034</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17912-2025</t>
        </is>
      </c>
      <c r="B176" s="1" t="n">
        <v>45758.75871527778</v>
      </c>
      <c r="C176" s="1" t="n">
        <v>46034</v>
      </c>
      <c r="D176" t="inlineStr">
        <is>
          <t>JÄMTLANDS LÄN</t>
        </is>
      </c>
      <c r="E176" t="inlineStr">
        <is>
          <t>BRÄCKE</t>
        </is>
      </c>
      <c r="G176" t="n">
        <v>2</v>
      </c>
      <c r="H176" t="n">
        <v>0</v>
      </c>
      <c r="I176" t="n">
        <v>1</v>
      </c>
      <c r="J176" t="n">
        <v>2</v>
      </c>
      <c r="K176" t="n">
        <v>0</v>
      </c>
      <c r="L176" t="n">
        <v>0</v>
      </c>
      <c r="M176" t="n">
        <v>0</v>
      </c>
      <c r="N176" t="n">
        <v>0</v>
      </c>
      <c r="O176" t="n">
        <v>2</v>
      </c>
      <c r="P176" t="n">
        <v>0</v>
      </c>
      <c r="Q176" t="n">
        <v>3</v>
      </c>
      <c r="R176" s="2" t="inlineStr">
        <is>
          <t>Kolflarnlav
Lunglav
Grönpyrola</t>
        </is>
      </c>
      <c r="S176">
        <f>HYPERLINK("https://klasma.github.io/Logging_2305/artfynd/A 17912-2025 artfynd.xlsx", "A 17912-2025")</f>
        <v/>
      </c>
      <c r="T176">
        <f>HYPERLINK("https://klasma.github.io/Logging_2305/kartor/A 17912-2025 karta.png", "A 17912-2025")</f>
        <v/>
      </c>
      <c r="V176">
        <f>HYPERLINK("https://klasma.github.io/Logging_2305/klagomål/A 17912-2025 FSC-klagomål.docx", "A 17912-2025")</f>
        <v/>
      </c>
      <c r="W176">
        <f>HYPERLINK("https://klasma.github.io/Logging_2305/klagomålsmail/A 17912-2025 FSC-klagomål mail.docx", "A 17912-2025")</f>
        <v/>
      </c>
      <c r="X176">
        <f>HYPERLINK("https://klasma.github.io/Logging_2305/tillsyn/A 17912-2025 tillsynsbegäran.docx", "A 17912-2025")</f>
        <v/>
      </c>
      <c r="Y176">
        <f>HYPERLINK("https://klasma.github.io/Logging_2305/tillsynsmail/A 17912-2025 tillsynsbegäran mail.docx", "A 17912-2025")</f>
        <v/>
      </c>
    </row>
    <row r="177" ht="15" customHeight="1">
      <c r="A177" t="inlineStr">
        <is>
          <t>A 47183-2023</t>
        </is>
      </c>
      <c r="B177" s="1" t="n">
        <v>45201</v>
      </c>
      <c r="C177" s="1" t="n">
        <v>46034</v>
      </c>
      <c r="D177" t="inlineStr">
        <is>
          <t>JÄMTLANDS LÄN</t>
        </is>
      </c>
      <c r="E177" t="inlineStr">
        <is>
          <t>BRÄCKE</t>
        </is>
      </c>
      <c r="F177" t="inlineStr">
        <is>
          <t>SCA</t>
        </is>
      </c>
      <c r="G177" t="n">
        <v>1.2</v>
      </c>
      <c r="H177" t="n">
        <v>2</v>
      </c>
      <c r="I177" t="n">
        <v>1</v>
      </c>
      <c r="J177" t="n">
        <v>1</v>
      </c>
      <c r="K177" t="n">
        <v>0</v>
      </c>
      <c r="L177" t="n">
        <v>0</v>
      </c>
      <c r="M177" t="n">
        <v>0</v>
      </c>
      <c r="N177" t="n">
        <v>0</v>
      </c>
      <c r="O177" t="n">
        <v>1</v>
      </c>
      <c r="P177" t="n">
        <v>0</v>
      </c>
      <c r="Q177" t="n">
        <v>3</v>
      </c>
      <c r="R177" s="2" t="inlineStr">
        <is>
          <t>Lunglav
Spindelblomster
Fläcknycklar</t>
        </is>
      </c>
      <c r="S177">
        <f>HYPERLINK("https://klasma.github.io/Logging_2305/artfynd/A 47183-2023 artfynd.xlsx", "A 47183-2023")</f>
        <v/>
      </c>
      <c r="T177">
        <f>HYPERLINK("https://klasma.github.io/Logging_2305/kartor/A 47183-2023 karta.png", "A 47183-2023")</f>
        <v/>
      </c>
      <c r="U177">
        <f>HYPERLINK("https://klasma.github.io/Logging_2305/knärot/A 47183-2023 karta knärot.png", "A 47183-2023")</f>
        <v/>
      </c>
      <c r="V177">
        <f>HYPERLINK("https://klasma.github.io/Logging_2305/klagomål/A 47183-2023 FSC-klagomål.docx", "A 47183-2023")</f>
        <v/>
      </c>
      <c r="W177">
        <f>HYPERLINK("https://klasma.github.io/Logging_2305/klagomålsmail/A 47183-2023 FSC-klagomål mail.docx", "A 47183-2023")</f>
        <v/>
      </c>
      <c r="X177">
        <f>HYPERLINK("https://klasma.github.io/Logging_2305/tillsyn/A 47183-2023 tillsynsbegäran.docx", "A 47183-2023")</f>
        <v/>
      </c>
      <c r="Y177">
        <f>HYPERLINK("https://klasma.github.io/Logging_2305/tillsynsmail/A 47183-2023 tillsynsbegäran mail.docx", "A 47183-2023")</f>
        <v/>
      </c>
    </row>
    <row r="178" ht="15" customHeight="1">
      <c r="A178" t="inlineStr">
        <is>
          <t>A 30607-2022</t>
        </is>
      </c>
      <c r="B178" s="1" t="n">
        <v>44762</v>
      </c>
      <c r="C178" s="1" t="n">
        <v>46034</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46034</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46034</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46034</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46034</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46034</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46034</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5858-2025</t>
        </is>
      </c>
      <c r="B185" s="1" t="n">
        <v>45695.34447916667</v>
      </c>
      <c r="C185" s="1" t="n">
        <v>46034</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4134-2025</t>
        </is>
      </c>
      <c r="B186" s="1" t="n">
        <v>45685.34582175926</v>
      </c>
      <c r="C186" s="1" t="n">
        <v>46034</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46034</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46034</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41178-2025</t>
        </is>
      </c>
      <c r="B189" s="1" t="n">
        <v>45898.55261574074</v>
      </c>
      <c r="C189" s="1" t="n">
        <v>46034</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26178-2025</t>
        </is>
      </c>
      <c r="B190" s="1" t="n">
        <v>45805.46917824074</v>
      </c>
      <c r="C190" s="1" t="n">
        <v>46034</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22706-2025</t>
        </is>
      </c>
      <c r="B191" s="1" t="n">
        <v>45789.55290509259</v>
      </c>
      <c r="C191" s="1" t="n">
        <v>46034</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27062-2025</t>
        </is>
      </c>
      <c r="B192" s="1" t="n">
        <v>45811.63614583333</v>
      </c>
      <c r="C192" s="1" t="n">
        <v>46034</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42807-2025</t>
        </is>
      </c>
      <c r="B193" s="1" t="n">
        <v>45908.55247685185</v>
      </c>
      <c r="C193" s="1" t="n">
        <v>46034</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43178-2025</t>
        </is>
      </c>
      <c r="B194" s="1" t="n">
        <v>45910.40681712963</v>
      </c>
      <c r="C194" s="1" t="n">
        <v>46034</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27279-2025</t>
        </is>
      </c>
      <c r="B195" s="1" t="n">
        <v>45812.53172453704</v>
      </c>
      <c r="C195" s="1" t="n">
        <v>46034</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27279-2025 artfynd.xlsx", "A 27279-2025")</f>
        <v/>
      </c>
      <c r="T195">
        <f>HYPERLINK("https://klasma.github.io/Logging_2305/kartor/A 27279-2025 karta.png", "A 27279-2025")</f>
        <v/>
      </c>
      <c r="V195">
        <f>HYPERLINK("https://klasma.github.io/Logging_2305/klagomål/A 27279-2025 FSC-klagomål.docx", "A 27279-2025")</f>
        <v/>
      </c>
      <c r="W195">
        <f>HYPERLINK("https://klasma.github.io/Logging_2305/klagomålsmail/A 27279-2025 FSC-klagomål mail.docx", "A 27279-2025")</f>
        <v/>
      </c>
      <c r="X195">
        <f>HYPERLINK("https://klasma.github.io/Logging_2305/tillsyn/A 27279-2025 tillsynsbegäran.docx", "A 27279-2025")</f>
        <v/>
      </c>
      <c r="Y195">
        <f>HYPERLINK("https://klasma.github.io/Logging_2305/tillsynsmail/A 27279-2025 tillsynsbegäran mail.docx", "A 27279-2025")</f>
        <v/>
      </c>
    </row>
    <row r="196" ht="15" customHeight="1">
      <c r="A196" t="inlineStr">
        <is>
          <t>A 29119-2025</t>
        </is>
      </c>
      <c r="B196" s="1" t="n">
        <v>45821.59407407408</v>
      </c>
      <c r="C196" s="1" t="n">
        <v>46034</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35216-2025</t>
        </is>
      </c>
      <c r="B197" s="1" t="n">
        <v>45853.49005787037</v>
      </c>
      <c r="C197" s="1" t="n">
        <v>46034</v>
      </c>
      <c r="D197" t="inlineStr">
        <is>
          <t>JÄMTLANDS LÄN</t>
        </is>
      </c>
      <c r="E197" t="inlineStr">
        <is>
          <t>BRÄCKE</t>
        </is>
      </c>
      <c r="F197" t="inlineStr">
        <is>
          <t>SCA</t>
        </is>
      </c>
      <c r="G197" t="n">
        <v>1.5</v>
      </c>
      <c r="H197" t="n">
        <v>2</v>
      </c>
      <c r="I197" t="n">
        <v>0</v>
      </c>
      <c r="J197" t="n">
        <v>1</v>
      </c>
      <c r="K197" t="n">
        <v>1</v>
      </c>
      <c r="L197" t="n">
        <v>0</v>
      </c>
      <c r="M197" t="n">
        <v>0</v>
      </c>
      <c r="N197" t="n">
        <v>0</v>
      </c>
      <c r="O197" t="n">
        <v>2</v>
      </c>
      <c r="P197" t="n">
        <v>1</v>
      </c>
      <c r="Q197" t="n">
        <v>2</v>
      </c>
      <c r="R197" s="2" t="inlineStr">
        <is>
          <t>Knärot
Talltita</t>
        </is>
      </c>
      <c r="S197">
        <f>HYPERLINK("https://klasma.github.io/Logging_2305/artfynd/A 35216-2025 artfynd.xlsx", "A 35216-2025")</f>
        <v/>
      </c>
      <c r="T197">
        <f>HYPERLINK("https://klasma.github.io/Logging_2305/kartor/A 35216-2025 karta.png", "A 35216-2025")</f>
        <v/>
      </c>
      <c r="U197">
        <f>HYPERLINK("https://klasma.github.io/Logging_2305/knärot/A 35216-2025 karta knärot.png", "A 35216-2025")</f>
        <v/>
      </c>
      <c r="V197">
        <f>HYPERLINK("https://klasma.github.io/Logging_2305/klagomål/A 35216-2025 FSC-klagomål.docx", "A 35216-2025")</f>
        <v/>
      </c>
      <c r="W197">
        <f>HYPERLINK("https://klasma.github.io/Logging_2305/klagomålsmail/A 35216-2025 FSC-klagomål mail.docx", "A 35216-2025")</f>
        <v/>
      </c>
      <c r="X197">
        <f>HYPERLINK("https://klasma.github.io/Logging_2305/tillsyn/A 35216-2025 tillsynsbegäran.docx", "A 35216-2025")</f>
        <v/>
      </c>
      <c r="Y197">
        <f>HYPERLINK("https://klasma.github.io/Logging_2305/tillsynsmail/A 35216-2025 tillsynsbegäran mail.docx", "A 35216-2025")</f>
        <v/>
      </c>
      <c r="Z197">
        <f>HYPERLINK("https://klasma.github.io/Logging_2305/fåglar/A 35216-2025 prioriterade fågelarter.docx", "A 35216-2025")</f>
        <v/>
      </c>
    </row>
    <row r="198" ht="15" customHeight="1">
      <c r="A198" t="inlineStr">
        <is>
          <t>A 54051-2023</t>
        </is>
      </c>
      <c r="B198" s="1" t="n">
        <v>45231</v>
      </c>
      <c r="C198" s="1" t="n">
        <v>46034</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45795-2025</t>
        </is>
      </c>
      <c r="B199" s="1" t="n">
        <v>45923.57403935185</v>
      </c>
      <c r="C199" s="1" t="n">
        <v>46034</v>
      </c>
      <c r="D199" t="inlineStr">
        <is>
          <t>JÄMTLANDS LÄN</t>
        </is>
      </c>
      <c r="E199" t="inlineStr">
        <is>
          <t>BRÄCKE</t>
        </is>
      </c>
      <c r="F199" t="inlineStr">
        <is>
          <t>SCA</t>
        </is>
      </c>
      <c r="G199" t="n">
        <v>10.9</v>
      </c>
      <c r="H199" t="n">
        <v>0</v>
      </c>
      <c r="I199" t="n">
        <v>1</v>
      </c>
      <c r="J199" t="n">
        <v>1</v>
      </c>
      <c r="K199" t="n">
        <v>0</v>
      </c>
      <c r="L199" t="n">
        <v>0</v>
      </c>
      <c r="M199" t="n">
        <v>0</v>
      </c>
      <c r="N199" t="n">
        <v>0</v>
      </c>
      <c r="O199" t="n">
        <v>1</v>
      </c>
      <c r="P199" t="n">
        <v>0</v>
      </c>
      <c r="Q199" t="n">
        <v>2</v>
      </c>
      <c r="R199" s="2" t="inlineStr">
        <is>
          <t>Lunglav
Skinnlav</t>
        </is>
      </c>
      <c r="S199">
        <f>HYPERLINK("https://klasma.github.io/Logging_2305/artfynd/A 45795-2025 artfynd.xlsx", "A 45795-2025")</f>
        <v/>
      </c>
      <c r="T199">
        <f>HYPERLINK("https://klasma.github.io/Logging_2305/kartor/A 45795-2025 karta.png", "A 45795-2025")</f>
        <v/>
      </c>
      <c r="V199">
        <f>HYPERLINK("https://klasma.github.io/Logging_2305/klagomål/A 45795-2025 FSC-klagomål.docx", "A 45795-2025")</f>
        <v/>
      </c>
      <c r="W199">
        <f>HYPERLINK("https://klasma.github.io/Logging_2305/klagomålsmail/A 45795-2025 FSC-klagomål mail.docx", "A 45795-2025")</f>
        <v/>
      </c>
      <c r="X199">
        <f>HYPERLINK("https://klasma.github.io/Logging_2305/tillsyn/A 45795-2025 tillsynsbegäran.docx", "A 45795-2025")</f>
        <v/>
      </c>
      <c r="Y199">
        <f>HYPERLINK("https://klasma.github.io/Logging_2305/tillsynsmail/A 45795-2025 tillsynsbegäran mail.docx", "A 45795-2025")</f>
        <v/>
      </c>
    </row>
    <row r="200" ht="15" customHeight="1">
      <c r="A200" t="inlineStr">
        <is>
          <t>A 15146-2024</t>
        </is>
      </c>
      <c r="B200" s="1" t="n">
        <v>45399.94361111111</v>
      </c>
      <c r="C200" s="1" t="n">
        <v>46034</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60320-2025</t>
        </is>
      </c>
      <c r="B201" s="1" t="n">
        <v>45994.71947916667</v>
      </c>
      <c r="C201" s="1" t="n">
        <v>46034</v>
      </c>
      <c r="D201" t="inlineStr">
        <is>
          <t>JÄMTLANDS LÄN</t>
        </is>
      </c>
      <c r="E201" t="inlineStr">
        <is>
          <t>BRÄCKE</t>
        </is>
      </c>
      <c r="F201" t="inlineStr">
        <is>
          <t>SCA</t>
        </is>
      </c>
      <c r="G201" t="n">
        <v>3.2</v>
      </c>
      <c r="H201" t="n">
        <v>1</v>
      </c>
      <c r="I201" t="n">
        <v>0</v>
      </c>
      <c r="J201" t="n">
        <v>1</v>
      </c>
      <c r="K201" t="n">
        <v>1</v>
      </c>
      <c r="L201" t="n">
        <v>0</v>
      </c>
      <c r="M201" t="n">
        <v>0</v>
      </c>
      <c r="N201" t="n">
        <v>0</v>
      </c>
      <c r="O201" t="n">
        <v>2</v>
      </c>
      <c r="P201" t="n">
        <v>1</v>
      </c>
      <c r="Q201" t="n">
        <v>2</v>
      </c>
      <c r="R201" s="2" t="inlineStr">
        <is>
          <t>Doftticka
Lunglav</t>
        </is>
      </c>
      <c r="S201">
        <f>HYPERLINK("https://klasma.github.io/Logging_2305/artfynd/A 60320-2025 artfynd.xlsx", "A 60320-2025")</f>
        <v/>
      </c>
      <c r="T201">
        <f>HYPERLINK("https://klasma.github.io/Logging_2305/kartor/A 60320-2025 karta.png", "A 60320-2025")</f>
        <v/>
      </c>
      <c r="V201">
        <f>HYPERLINK("https://klasma.github.io/Logging_2305/klagomål/A 60320-2025 FSC-klagomål.docx", "A 60320-2025")</f>
        <v/>
      </c>
      <c r="W201">
        <f>HYPERLINK("https://klasma.github.io/Logging_2305/klagomålsmail/A 60320-2025 FSC-klagomål mail.docx", "A 60320-2025")</f>
        <v/>
      </c>
      <c r="X201">
        <f>HYPERLINK("https://klasma.github.io/Logging_2305/tillsyn/A 60320-2025 tillsynsbegäran.docx", "A 60320-2025")</f>
        <v/>
      </c>
      <c r="Y201">
        <f>HYPERLINK("https://klasma.github.io/Logging_2305/tillsynsmail/A 60320-2025 tillsynsbegäran mail.docx", "A 60320-2025")</f>
        <v/>
      </c>
    </row>
    <row r="202" ht="15" customHeight="1">
      <c r="A202" t="inlineStr">
        <is>
          <t>A 8248-2024</t>
        </is>
      </c>
      <c r="B202" s="1" t="n">
        <v>45351</v>
      </c>
      <c r="C202" s="1" t="n">
        <v>46034</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32566-2025</t>
        </is>
      </c>
      <c r="B203" s="1" t="n">
        <v>45838.57354166666</v>
      </c>
      <c r="C203" s="1" t="n">
        <v>46034</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50485-2025</t>
        </is>
      </c>
      <c r="B204" s="1" t="n">
        <v>45945.38582175926</v>
      </c>
      <c r="C204" s="1" t="n">
        <v>46034</v>
      </c>
      <c r="D204" t="inlineStr">
        <is>
          <t>JÄMTLANDS LÄN</t>
        </is>
      </c>
      <c r="E204" t="inlineStr">
        <is>
          <t>BRÄCKE</t>
        </is>
      </c>
      <c r="F204" t="inlineStr">
        <is>
          <t>SCA</t>
        </is>
      </c>
      <c r="G204" t="n">
        <v>2.1</v>
      </c>
      <c r="H204" t="n">
        <v>0</v>
      </c>
      <c r="I204" t="n">
        <v>0</v>
      </c>
      <c r="J204" t="n">
        <v>2</v>
      </c>
      <c r="K204" t="n">
        <v>0</v>
      </c>
      <c r="L204" t="n">
        <v>0</v>
      </c>
      <c r="M204" t="n">
        <v>0</v>
      </c>
      <c r="N204" t="n">
        <v>0</v>
      </c>
      <c r="O204" t="n">
        <v>2</v>
      </c>
      <c r="P204" t="n">
        <v>0</v>
      </c>
      <c r="Q204" t="n">
        <v>2</v>
      </c>
      <c r="R204" s="2" t="inlineStr">
        <is>
          <t>Granticka
Gränsticka</t>
        </is>
      </c>
      <c r="S204">
        <f>HYPERLINK("https://klasma.github.io/Logging_2305/artfynd/A 50485-2025 artfynd.xlsx", "A 50485-2025")</f>
        <v/>
      </c>
      <c r="T204">
        <f>HYPERLINK("https://klasma.github.io/Logging_2305/kartor/A 50485-2025 karta.png", "A 50485-2025")</f>
        <v/>
      </c>
      <c r="V204">
        <f>HYPERLINK("https://klasma.github.io/Logging_2305/klagomål/A 50485-2025 FSC-klagomål.docx", "A 50485-2025")</f>
        <v/>
      </c>
      <c r="W204">
        <f>HYPERLINK("https://klasma.github.io/Logging_2305/klagomålsmail/A 50485-2025 FSC-klagomål mail.docx", "A 50485-2025")</f>
        <v/>
      </c>
      <c r="X204">
        <f>HYPERLINK("https://klasma.github.io/Logging_2305/tillsyn/A 50485-2025 tillsynsbegäran.docx", "A 50485-2025")</f>
        <v/>
      </c>
      <c r="Y204">
        <f>HYPERLINK("https://klasma.github.io/Logging_2305/tillsynsmail/A 50485-2025 tillsynsbegäran mail.docx", "A 50485-2025")</f>
        <v/>
      </c>
    </row>
    <row r="205" ht="15" customHeight="1">
      <c r="A205" t="inlineStr">
        <is>
          <t>A 34615-2025</t>
        </is>
      </c>
      <c r="B205" s="1" t="n">
        <v>45847.6778125</v>
      </c>
      <c r="C205" s="1" t="n">
        <v>46034</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34541-2025</t>
        </is>
      </c>
      <c r="B206" s="1" t="n">
        <v>45847.53196759259</v>
      </c>
      <c r="C206" s="1" t="n">
        <v>46034</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61165-2025</t>
        </is>
      </c>
      <c r="B207" s="1" t="n">
        <v>46000.56600694444</v>
      </c>
      <c r="C207" s="1" t="n">
        <v>46034</v>
      </c>
      <c r="D207" t="inlineStr">
        <is>
          <t>JÄMTLANDS LÄN</t>
        </is>
      </c>
      <c r="E207" t="inlineStr">
        <is>
          <t>BRÄCKE</t>
        </is>
      </c>
      <c r="G207" t="n">
        <v>5.3</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61165-2025 artfynd.xlsx", "A 61165-2025")</f>
        <v/>
      </c>
      <c r="T207">
        <f>HYPERLINK("https://klasma.github.io/Logging_2305/kartor/A 61165-2025 karta.png", "A 61165-2025")</f>
        <v/>
      </c>
      <c r="U207">
        <f>HYPERLINK("https://klasma.github.io/Logging_2305/knärot/A 61165-2025 karta knärot.png", "A 61165-2025")</f>
        <v/>
      </c>
      <c r="V207">
        <f>HYPERLINK("https://klasma.github.io/Logging_2305/klagomål/A 61165-2025 FSC-klagomål.docx", "A 61165-2025")</f>
        <v/>
      </c>
      <c r="W207">
        <f>HYPERLINK("https://klasma.github.io/Logging_2305/klagomålsmail/A 61165-2025 FSC-klagomål mail.docx", "A 61165-2025")</f>
        <v/>
      </c>
      <c r="X207">
        <f>HYPERLINK("https://klasma.github.io/Logging_2305/tillsyn/A 61165-2025 tillsynsbegäran.docx", "A 61165-2025")</f>
        <v/>
      </c>
      <c r="Y207">
        <f>HYPERLINK("https://klasma.github.io/Logging_2305/tillsynsmail/A 61165-2025 tillsynsbegäran mail.docx", "A 61165-2025")</f>
        <v/>
      </c>
    </row>
    <row r="208" ht="15" customHeight="1">
      <c r="A208" t="inlineStr">
        <is>
          <t>A 35209-2025</t>
        </is>
      </c>
      <c r="B208" s="1" t="n">
        <v>45853.44827546296</v>
      </c>
      <c r="C208" s="1" t="n">
        <v>46034</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35209-2025 artfynd.xlsx", "A 35209-2025")</f>
        <v/>
      </c>
      <c r="T208">
        <f>HYPERLINK("https://klasma.github.io/Logging_2305/kartor/A 35209-2025 karta.png", "A 35209-2025")</f>
        <v/>
      </c>
      <c r="V208">
        <f>HYPERLINK("https://klasma.github.io/Logging_2305/klagomål/A 35209-2025 FSC-klagomål.docx", "A 35209-2025")</f>
        <v/>
      </c>
      <c r="W208">
        <f>HYPERLINK("https://klasma.github.io/Logging_2305/klagomålsmail/A 35209-2025 FSC-klagomål mail.docx", "A 35209-2025")</f>
        <v/>
      </c>
      <c r="X208">
        <f>HYPERLINK("https://klasma.github.io/Logging_2305/tillsyn/A 35209-2025 tillsynsbegäran.docx", "A 35209-2025")</f>
        <v/>
      </c>
      <c r="Y208">
        <f>HYPERLINK("https://klasma.github.io/Logging_2305/tillsynsmail/A 35209-2025 tillsynsbegäran mail.docx", "A 35209-2025")</f>
        <v/>
      </c>
    </row>
    <row r="209" ht="15" customHeight="1">
      <c r="A209" t="inlineStr">
        <is>
          <t>A 35117-2025</t>
        </is>
      </c>
      <c r="B209" s="1" t="n">
        <v>45852.59416666667</v>
      </c>
      <c r="C209" s="1" t="n">
        <v>46034</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22382-2024</t>
        </is>
      </c>
      <c r="B210" s="1" t="n">
        <v>45446</v>
      </c>
      <c r="C210" s="1" t="n">
        <v>46034</v>
      </c>
      <c r="D210" t="inlineStr">
        <is>
          <t>JÄMTLANDS LÄN</t>
        </is>
      </c>
      <c r="E210" t="inlineStr">
        <is>
          <t>BRÄCKE</t>
        </is>
      </c>
      <c r="G210" t="n">
        <v>5.2</v>
      </c>
      <c r="H210" t="n">
        <v>1</v>
      </c>
      <c r="I210" t="n">
        <v>0</v>
      </c>
      <c r="J210" t="n">
        <v>1</v>
      </c>
      <c r="K210" t="n">
        <v>1</v>
      </c>
      <c r="L210" t="n">
        <v>0</v>
      </c>
      <c r="M210" t="n">
        <v>0</v>
      </c>
      <c r="N210" t="n">
        <v>0</v>
      </c>
      <c r="O210" t="n">
        <v>2</v>
      </c>
      <c r="P210" t="n">
        <v>1</v>
      </c>
      <c r="Q210" t="n">
        <v>2</v>
      </c>
      <c r="R210" s="2" t="inlineStr">
        <is>
          <t>Knärot
Garnlav</t>
        </is>
      </c>
      <c r="S210">
        <f>HYPERLINK("https://klasma.github.io/Logging_2305/artfynd/A 22382-2024 artfynd.xlsx", "A 22382-2024")</f>
        <v/>
      </c>
      <c r="T210">
        <f>HYPERLINK("https://klasma.github.io/Logging_2305/kartor/A 22382-2024 karta.png", "A 22382-2024")</f>
        <v/>
      </c>
      <c r="U210">
        <f>HYPERLINK("https://klasma.github.io/Logging_2305/knärot/A 22382-2024 karta knärot.png", "A 22382-2024")</f>
        <v/>
      </c>
      <c r="V210">
        <f>HYPERLINK("https://klasma.github.io/Logging_2305/klagomål/A 22382-2024 FSC-klagomål.docx", "A 22382-2024")</f>
        <v/>
      </c>
      <c r="W210">
        <f>HYPERLINK("https://klasma.github.io/Logging_2305/klagomålsmail/A 22382-2024 FSC-klagomål mail.docx", "A 22382-2024")</f>
        <v/>
      </c>
      <c r="X210">
        <f>HYPERLINK("https://klasma.github.io/Logging_2305/tillsyn/A 22382-2024 tillsynsbegäran.docx", "A 22382-2024")</f>
        <v/>
      </c>
      <c r="Y210">
        <f>HYPERLINK("https://klasma.github.io/Logging_2305/tillsynsmail/A 22382-2024 tillsynsbegäran mail.docx", "A 22382-2024")</f>
        <v/>
      </c>
    </row>
    <row r="211" ht="15" customHeight="1">
      <c r="A211" t="inlineStr">
        <is>
          <t>A 36456-2021</t>
        </is>
      </c>
      <c r="B211" s="1" t="n">
        <v>44390</v>
      </c>
      <c r="C211" s="1" t="n">
        <v>46034</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Garnlav
Kolflarnlav</t>
        </is>
      </c>
      <c r="S211">
        <f>HYPERLINK("https://klasma.github.io/Logging_2305/artfynd/A 36456-2021 artfynd.xlsx", "A 36456-2021")</f>
        <v/>
      </c>
      <c r="T211">
        <f>HYPERLINK("https://klasma.github.io/Logging_2305/kartor/A 36456-2021 karta.png", "A 36456-2021")</f>
        <v/>
      </c>
      <c r="V211">
        <f>HYPERLINK("https://klasma.github.io/Logging_2305/klagomål/A 36456-2021 FSC-klagomål.docx", "A 36456-2021")</f>
        <v/>
      </c>
      <c r="W211">
        <f>HYPERLINK("https://klasma.github.io/Logging_2305/klagomålsmail/A 36456-2021 FSC-klagomål mail.docx", "A 36456-2021")</f>
        <v/>
      </c>
      <c r="X211">
        <f>HYPERLINK("https://klasma.github.io/Logging_2305/tillsyn/A 36456-2021 tillsynsbegäran.docx", "A 36456-2021")</f>
        <v/>
      </c>
      <c r="Y211">
        <f>HYPERLINK("https://klasma.github.io/Logging_2305/tillsynsmail/A 36456-2021 tillsynsbegäran mail.docx", "A 36456-2021")</f>
        <v/>
      </c>
    </row>
    <row r="212" ht="15" customHeight="1">
      <c r="A212" t="inlineStr">
        <is>
          <t>A 45012-2023</t>
        </is>
      </c>
      <c r="B212" s="1" t="n">
        <v>45190</v>
      </c>
      <c r="C212" s="1" t="n">
        <v>46034</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11787-2025</t>
        </is>
      </c>
      <c r="B213" s="1" t="n">
        <v>45727.72017361111</v>
      </c>
      <c r="C213" s="1" t="n">
        <v>46034</v>
      </c>
      <c r="D213" t="inlineStr">
        <is>
          <t>JÄMTLANDS LÄN</t>
        </is>
      </c>
      <c r="E213" t="inlineStr">
        <is>
          <t>BRÄCKE</t>
        </is>
      </c>
      <c r="F213" t="inlineStr">
        <is>
          <t>SCA</t>
        </is>
      </c>
      <c r="G213" t="n">
        <v>1.9</v>
      </c>
      <c r="H213" t="n">
        <v>0</v>
      </c>
      <c r="I213" t="n">
        <v>0</v>
      </c>
      <c r="J213" t="n">
        <v>2</v>
      </c>
      <c r="K213" t="n">
        <v>0</v>
      </c>
      <c r="L213" t="n">
        <v>0</v>
      </c>
      <c r="M213" t="n">
        <v>0</v>
      </c>
      <c r="N213" t="n">
        <v>0</v>
      </c>
      <c r="O213" t="n">
        <v>2</v>
      </c>
      <c r="P213" t="n">
        <v>0</v>
      </c>
      <c r="Q213" t="n">
        <v>2</v>
      </c>
      <c r="R213" s="2" t="inlineStr">
        <is>
          <t>Stiftgelélav
Ullticka</t>
        </is>
      </c>
      <c r="S213">
        <f>HYPERLINK("https://klasma.github.io/Logging_2305/artfynd/A 11787-2025 artfynd.xlsx", "A 11787-2025")</f>
        <v/>
      </c>
      <c r="T213">
        <f>HYPERLINK("https://klasma.github.io/Logging_2305/kartor/A 11787-2025 karta.png", "A 11787-2025")</f>
        <v/>
      </c>
      <c r="V213">
        <f>HYPERLINK("https://klasma.github.io/Logging_2305/klagomål/A 11787-2025 FSC-klagomål.docx", "A 11787-2025")</f>
        <v/>
      </c>
      <c r="W213">
        <f>HYPERLINK("https://klasma.github.io/Logging_2305/klagomålsmail/A 11787-2025 FSC-klagomål mail.docx", "A 11787-2025")</f>
        <v/>
      </c>
      <c r="X213">
        <f>HYPERLINK("https://klasma.github.io/Logging_2305/tillsyn/A 11787-2025 tillsynsbegäran.docx", "A 11787-2025")</f>
        <v/>
      </c>
      <c r="Y213">
        <f>HYPERLINK("https://klasma.github.io/Logging_2305/tillsynsmail/A 11787-2025 tillsynsbegäran mail.docx", "A 11787-2025")</f>
        <v/>
      </c>
    </row>
    <row r="214" ht="15" customHeight="1">
      <c r="A214" t="inlineStr">
        <is>
          <t>A 6903-2024</t>
        </is>
      </c>
      <c r="B214" s="1" t="n">
        <v>45342</v>
      </c>
      <c r="C214" s="1" t="n">
        <v>46034</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46034</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46034</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12588-2024</t>
        </is>
      </c>
      <c r="B217" s="1" t="n">
        <v>45379.93667824074</v>
      </c>
      <c r="C217" s="1" t="n">
        <v>46034</v>
      </c>
      <c r="D217" t="inlineStr">
        <is>
          <t>JÄMTLANDS LÄN</t>
        </is>
      </c>
      <c r="E217" t="inlineStr">
        <is>
          <t>BRÄCKE</t>
        </is>
      </c>
      <c r="F217" t="inlineStr">
        <is>
          <t>SCA</t>
        </is>
      </c>
      <c r="G217" t="n">
        <v>5.1</v>
      </c>
      <c r="H217" t="n">
        <v>0</v>
      </c>
      <c r="I217" t="n">
        <v>0</v>
      </c>
      <c r="J217" t="n">
        <v>2</v>
      </c>
      <c r="K217" t="n">
        <v>0</v>
      </c>
      <c r="L217" t="n">
        <v>0</v>
      </c>
      <c r="M217" t="n">
        <v>0</v>
      </c>
      <c r="N217" t="n">
        <v>0</v>
      </c>
      <c r="O217" t="n">
        <v>2</v>
      </c>
      <c r="P217" t="n">
        <v>0</v>
      </c>
      <c r="Q217" t="n">
        <v>2</v>
      </c>
      <c r="R217" s="2" t="inlineStr">
        <is>
          <t>Blå taggsvamp
Ullticka</t>
        </is>
      </c>
      <c r="S217">
        <f>HYPERLINK("https://klasma.github.io/Logging_2305/artfynd/A 12588-2024 artfynd.xlsx", "A 12588-2024")</f>
        <v/>
      </c>
      <c r="T217">
        <f>HYPERLINK("https://klasma.github.io/Logging_2305/kartor/A 12588-2024 karta.png", "A 12588-2024")</f>
        <v/>
      </c>
      <c r="V217">
        <f>HYPERLINK("https://klasma.github.io/Logging_2305/klagomål/A 12588-2024 FSC-klagomål.docx", "A 12588-2024")</f>
        <v/>
      </c>
      <c r="W217">
        <f>HYPERLINK("https://klasma.github.io/Logging_2305/klagomålsmail/A 12588-2024 FSC-klagomål mail.docx", "A 12588-2024")</f>
        <v/>
      </c>
      <c r="X217">
        <f>HYPERLINK("https://klasma.github.io/Logging_2305/tillsyn/A 12588-2024 tillsynsbegäran.docx", "A 12588-2024")</f>
        <v/>
      </c>
      <c r="Y217">
        <f>HYPERLINK("https://klasma.github.io/Logging_2305/tillsynsmail/A 12588-2024 tillsynsbegäran mail.docx", "A 12588-2024")</f>
        <v/>
      </c>
    </row>
    <row r="218" ht="15" customHeight="1">
      <c r="A218" t="inlineStr">
        <is>
          <t>A 19916-2025</t>
        </is>
      </c>
      <c r="B218" s="1" t="n">
        <v>45771.61515046296</v>
      </c>
      <c r="C218" s="1" t="n">
        <v>46034</v>
      </c>
      <c r="D218" t="inlineStr">
        <is>
          <t>JÄMTLANDS LÄN</t>
        </is>
      </c>
      <c r="E218" t="inlineStr">
        <is>
          <t>BRÄCKE</t>
        </is>
      </c>
      <c r="F218" t="inlineStr">
        <is>
          <t>SCA</t>
        </is>
      </c>
      <c r="G218" t="n">
        <v>7.5</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19916-2025 artfynd.xlsx", "A 19916-2025")</f>
        <v/>
      </c>
      <c r="T218">
        <f>HYPERLINK("https://klasma.github.io/Logging_2305/kartor/A 19916-2025 karta.png", "A 19916-2025")</f>
        <v/>
      </c>
      <c r="U218">
        <f>HYPERLINK("https://klasma.github.io/Logging_2305/knärot/A 19916-2025 karta knärot.png", "A 19916-2025")</f>
        <v/>
      </c>
      <c r="V218">
        <f>HYPERLINK("https://klasma.github.io/Logging_2305/klagomål/A 19916-2025 FSC-klagomål.docx", "A 19916-2025")</f>
        <v/>
      </c>
      <c r="W218">
        <f>HYPERLINK("https://klasma.github.io/Logging_2305/klagomålsmail/A 19916-2025 FSC-klagomål mail.docx", "A 19916-2025")</f>
        <v/>
      </c>
      <c r="X218">
        <f>HYPERLINK("https://klasma.github.io/Logging_2305/tillsyn/A 19916-2025 tillsynsbegäran.docx", "A 19916-2025")</f>
        <v/>
      </c>
      <c r="Y218">
        <f>HYPERLINK("https://klasma.github.io/Logging_2305/tillsynsmail/A 19916-2025 tillsynsbegäran mail.docx", "A 19916-2025")</f>
        <v/>
      </c>
    </row>
    <row r="219" ht="15" customHeight="1">
      <c r="A219" t="inlineStr">
        <is>
          <t>A 30988-2024</t>
        </is>
      </c>
      <c r="B219" s="1" t="n">
        <v>45499.54738425926</v>
      </c>
      <c r="C219" s="1" t="n">
        <v>46034</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57329-2025</t>
        </is>
      </c>
      <c r="B220" s="1" t="n">
        <v>45980.34434027778</v>
      </c>
      <c r="C220" s="1" t="n">
        <v>46034</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50328-2022</t>
        </is>
      </c>
      <c r="B221" s="1" t="n">
        <v>44865</v>
      </c>
      <c r="C221" s="1" t="n">
        <v>46034</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954-2026</t>
        </is>
      </c>
      <c r="B222" s="1" t="n">
        <v>46030.54424768518</v>
      </c>
      <c r="C222" s="1" t="n">
        <v>46034</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48772-2024</t>
        </is>
      </c>
      <c r="B223" s="1" t="n">
        <v>45593.61495370371</v>
      </c>
      <c r="C223" s="1" t="n">
        <v>46034</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46034</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46034</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10105-2025</t>
        </is>
      </c>
      <c r="B226" s="1" t="n">
        <v>45719.58310185185</v>
      </c>
      <c r="C226" s="1" t="n">
        <v>46034</v>
      </c>
      <c r="D226" t="inlineStr">
        <is>
          <t>JÄMTLANDS LÄN</t>
        </is>
      </c>
      <c r="E226" t="inlineStr">
        <is>
          <t>BRÄCKE</t>
        </is>
      </c>
      <c r="G226" t="n">
        <v>0.6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10105-2025 artfynd.xlsx", "A 10105-2025")</f>
        <v/>
      </c>
      <c r="T226">
        <f>HYPERLINK("https://klasma.github.io/Logging_2305/kartor/A 10105-2025 karta.png", "A 10105-2025")</f>
        <v/>
      </c>
      <c r="V226">
        <f>HYPERLINK("https://klasma.github.io/Logging_2305/klagomål/A 10105-2025 FSC-klagomål.docx", "A 10105-2025")</f>
        <v/>
      </c>
      <c r="W226">
        <f>HYPERLINK("https://klasma.github.io/Logging_2305/klagomålsmail/A 10105-2025 FSC-klagomål mail.docx", "A 10105-2025")</f>
        <v/>
      </c>
      <c r="X226">
        <f>HYPERLINK("https://klasma.github.io/Logging_2305/tillsyn/A 10105-2025 tillsynsbegäran.docx", "A 10105-2025")</f>
        <v/>
      </c>
      <c r="Y226">
        <f>HYPERLINK("https://klasma.github.io/Logging_2305/tillsynsmail/A 10105-2025 tillsynsbegäran mail.docx", "A 10105-2025")</f>
        <v/>
      </c>
    </row>
    <row r="227" ht="15" customHeight="1">
      <c r="A227" t="inlineStr">
        <is>
          <t>A 50497-2023</t>
        </is>
      </c>
      <c r="B227" s="1" t="n">
        <v>45216</v>
      </c>
      <c r="C227" s="1" t="n">
        <v>46034</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59324-2021</t>
        </is>
      </c>
      <c r="B228" s="1" t="n">
        <v>44490</v>
      </c>
      <c r="C228" s="1" t="n">
        <v>46034</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47295-2023</t>
        </is>
      </c>
      <c r="B229" s="1" t="n">
        <v>45196</v>
      </c>
      <c r="C229" s="1" t="n">
        <v>46034</v>
      </c>
      <c r="D229" t="inlineStr">
        <is>
          <t>JÄMTLANDS LÄN</t>
        </is>
      </c>
      <c r="E229" t="inlineStr">
        <is>
          <t>BRÄCKE</t>
        </is>
      </c>
      <c r="F229" t="inlineStr">
        <is>
          <t>SCA</t>
        </is>
      </c>
      <c r="G229" t="n">
        <v>11.4</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47295-2023 artfynd.xlsx", "A 47295-2023")</f>
        <v/>
      </c>
      <c r="T229">
        <f>HYPERLINK("https://klasma.github.io/Logging_2305/kartor/A 47295-2023 karta.png", "A 47295-2023")</f>
        <v/>
      </c>
      <c r="U229">
        <f>HYPERLINK("https://klasma.github.io/Logging_2305/knärot/A 47295-2023 karta knärot.png", "A 47295-2023")</f>
        <v/>
      </c>
      <c r="V229">
        <f>HYPERLINK("https://klasma.github.io/Logging_2305/klagomål/A 47295-2023 FSC-klagomål.docx", "A 47295-2023")</f>
        <v/>
      </c>
      <c r="W229">
        <f>HYPERLINK("https://klasma.github.io/Logging_2305/klagomålsmail/A 47295-2023 FSC-klagomål mail.docx", "A 47295-2023")</f>
        <v/>
      </c>
      <c r="X229">
        <f>HYPERLINK("https://klasma.github.io/Logging_2305/tillsyn/A 47295-2023 tillsynsbegäran.docx", "A 47295-2023")</f>
        <v/>
      </c>
      <c r="Y229">
        <f>HYPERLINK("https://klasma.github.io/Logging_2305/tillsynsmail/A 47295-2023 tillsynsbegäran mail.docx", "A 47295-2023")</f>
        <v/>
      </c>
    </row>
    <row r="230" ht="15" customHeight="1">
      <c r="A230" t="inlineStr">
        <is>
          <t>A 30990-2024</t>
        </is>
      </c>
      <c r="B230" s="1" t="n">
        <v>45499.54975694444</v>
      </c>
      <c r="C230" s="1" t="n">
        <v>46034</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51822-2023</t>
        </is>
      </c>
      <c r="B231" s="1" t="n">
        <v>45222</v>
      </c>
      <c r="C231" s="1" t="n">
        <v>46034</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29672-2024</t>
        </is>
      </c>
      <c r="B232" s="1" t="n">
        <v>45484.94189814815</v>
      </c>
      <c r="C232" s="1" t="n">
        <v>46034</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3029-2023</t>
        </is>
      </c>
      <c r="B233" s="1" t="n">
        <v>44945</v>
      </c>
      <c r="C233" s="1" t="n">
        <v>46034</v>
      </c>
      <c r="D233" t="inlineStr">
        <is>
          <t>JÄMTLANDS LÄN</t>
        </is>
      </c>
      <c r="E233" t="inlineStr">
        <is>
          <t>BRÄCKE</t>
        </is>
      </c>
      <c r="F233" t="inlineStr">
        <is>
          <t>SCA</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3029-2023 artfynd.xlsx", "A 3029-2023")</f>
        <v/>
      </c>
      <c r="T233">
        <f>HYPERLINK("https://klasma.github.io/Logging_2305/kartor/A 3029-2023 karta.png", "A 3029-2023")</f>
        <v/>
      </c>
      <c r="V233">
        <f>HYPERLINK("https://klasma.github.io/Logging_2305/klagomål/A 3029-2023 FSC-klagomål.docx", "A 3029-2023")</f>
        <v/>
      </c>
      <c r="W233">
        <f>HYPERLINK("https://klasma.github.io/Logging_2305/klagomålsmail/A 3029-2023 FSC-klagomål mail.docx", "A 3029-2023")</f>
        <v/>
      </c>
      <c r="X233">
        <f>HYPERLINK("https://klasma.github.io/Logging_2305/tillsyn/A 3029-2023 tillsynsbegäran.docx", "A 3029-2023")</f>
        <v/>
      </c>
      <c r="Y233">
        <f>HYPERLINK("https://klasma.github.io/Logging_2305/tillsynsmail/A 3029-2023 tillsynsbegäran mail.docx", "A 3029-2023")</f>
        <v/>
      </c>
    </row>
    <row r="234" ht="15" customHeight="1">
      <c r="A234" t="inlineStr">
        <is>
          <t>A 47498-2023</t>
        </is>
      </c>
      <c r="B234" s="1" t="n">
        <v>45202</v>
      </c>
      <c r="C234" s="1" t="n">
        <v>46034</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3913-2022</t>
        </is>
      </c>
      <c r="B235" s="1" t="n">
        <v>44587</v>
      </c>
      <c r="C235" s="1" t="n">
        <v>46034</v>
      </c>
      <c r="D235" t="inlineStr">
        <is>
          <t>JÄMTLANDS LÄN</t>
        </is>
      </c>
      <c r="E235" t="inlineStr">
        <is>
          <t>BRÄCKE</t>
        </is>
      </c>
      <c r="G235" t="n">
        <v>0.9</v>
      </c>
      <c r="H235" t="n">
        <v>1</v>
      </c>
      <c r="I235" t="n">
        <v>1</v>
      </c>
      <c r="J235" t="n">
        <v>1</v>
      </c>
      <c r="K235" t="n">
        <v>0</v>
      </c>
      <c r="L235" t="n">
        <v>0</v>
      </c>
      <c r="M235" t="n">
        <v>0</v>
      </c>
      <c r="N235" t="n">
        <v>0</v>
      </c>
      <c r="O235" t="n">
        <v>1</v>
      </c>
      <c r="P235" t="n">
        <v>0</v>
      </c>
      <c r="Q235" t="n">
        <v>2</v>
      </c>
      <c r="R235" s="2" t="inlineStr">
        <is>
          <t>Skogsfru
Ögonpyrola</t>
        </is>
      </c>
      <c r="S235">
        <f>HYPERLINK("https://klasma.github.io/Logging_2305/artfynd/A 3913-2022 artfynd.xlsx", "A 3913-2022")</f>
        <v/>
      </c>
      <c r="T235">
        <f>HYPERLINK("https://klasma.github.io/Logging_2305/kartor/A 3913-2022 karta.png", "A 3913-2022")</f>
        <v/>
      </c>
      <c r="U235">
        <f>HYPERLINK("https://klasma.github.io/Logging_2305/knärot/A 3913-2022 karta knärot.png", "A 3913-2022")</f>
        <v/>
      </c>
      <c r="V235">
        <f>HYPERLINK("https://klasma.github.io/Logging_2305/klagomål/A 3913-2022 FSC-klagomål.docx", "A 3913-2022")</f>
        <v/>
      </c>
      <c r="W235">
        <f>HYPERLINK("https://klasma.github.io/Logging_2305/klagomålsmail/A 3913-2022 FSC-klagomål mail.docx", "A 3913-2022")</f>
        <v/>
      </c>
      <c r="X235">
        <f>HYPERLINK("https://klasma.github.io/Logging_2305/tillsyn/A 3913-2022 tillsynsbegäran.docx", "A 3913-2022")</f>
        <v/>
      </c>
      <c r="Y235">
        <f>HYPERLINK("https://klasma.github.io/Logging_2305/tillsynsmail/A 3913-2022 tillsynsbegäran mail.docx", "A 3913-2022")</f>
        <v/>
      </c>
    </row>
    <row r="236" ht="15" customHeight="1">
      <c r="A236" t="inlineStr">
        <is>
          <t>A 43141-2022</t>
        </is>
      </c>
      <c r="B236" s="1" t="n">
        <v>44833</v>
      </c>
      <c r="C236" s="1" t="n">
        <v>46034</v>
      </c>
      <c r="D236" t="inlineStr">
        <is>
          <t>JÄMTLANDS LÄN</t>
        </is>
      </c>
      <c r="E236" t="inlineStr">
        <is>
          <t>BRÄCKE</t>
        </is>
      </c>
      <c r="F236" t="inlineStr">
        <is>
          <t>SCA</t>
        </is>
      </c>
      <c r="G236" t="n">
        <v>2</v>
      </c>
      <c r="H236" t="n">
        <v>1</v>
      </c>
      <c r="I236" t="n">
        <v>0</v>
      </c>
      <c r="J236" t="n">
        <v>0</v>
      </c>
      <c r="K236" t="n">
        <v>2</v>
      </c>
      <c r="L236" t="n">
        <v>0</v>
      </c>
      <c r="M236" t="n">
        <v>0</v>
      </c>
      <c r="N236" t="n">
        <v>0</v>
      </c>
      <c r="O236" t="n">
        <v>2</v>
      </c>
      <c r="P236" t="n">
        <v>2</v>
      </c>
      <c r="Q236" t="n">
        <v>2</v>
      </c>
      <c r="R236" s="2" t="inlineStr">
        <is>
          <t>Frösöstarr
Knärot</t>
        </is>
      </c>
      <c r="S236">
        <f>HYPERLINK("https://klasma.github.io/Logging_2305/artfynd/A 43141-2022 artfynd.xlsx", "A 43141-2022")</f>
        <v/>
      </c>
      <c r="T236">
        <f>HYPERLINK("https://klasma.github.io/Logging_2305/kartor/A 43141-2022 karta.png", "A 43141-2022")</f>
        <v/>
      </c>
      <c r="U236">
        <f>HYPERLINK("https://klasma.github.io/Logging_2305/knärot/A 43141-2022 karta knärot.png", "A 43141-2022")</f>
        <v/>
      </c>
      <c r="V236">
        <f>HYPERLINK("https://klasma.github.io/Logging_2305/klagomål/A 43141-2022 FSC-klagomål.docx", "A 43141-2022")</f>
        <v/>
      </c>
      <c r="W236">
        <f>HYPERLINK("https://klasma.github.io/Logging_2305/klagomålsmail/A 43141-2022 FSC-klagomål mail.docx", "A 43141-2022")</f>
        <v/>
      </c>
      <c r="X236">
        <f>HYPERLINK("https://klasma.github.io/Logging_2305/tillsyn/A 43141-2022 tillsynsbegäran.docx", "A 43141-2022")</f>
        <v/>
      </c>
      <c r="Y236">
        <f>HYPERLINK("https://klasma.github.io/Logging_2305/tillsynsmail/A 43141-2022 tillsynsbegäran mail.docx", "A 43141-2022")</f>
        <v/>
      </c>
    </row>
    <row r="237" ht="15" customHeight="1">
      <c r="A237" t="inlineStr">
        <is>
          <t>A 17489-2025</t>
        </is>
      </c>
      <c r="B237" s="1" t="n">
        <v>45757.51074074074</v>
      </c>
      <c r="C237" s="1" t="n">
        <v>46034</v>
      </c>
      <c r="D237" t="inlineStr">
        <is>
          <t>JÄMTLANDS LÄN</t>
        </is>
      </c>
      <c r="E237" t="inlineStr">
        <is>
          <t>BRÄCKE</t>
        </is>
      </c>
      <c r="F237" t="inlineStr">
        <is>
          <t>SCA</t>
        </is>
      </c>
      <c r="G237" t="n">
        <v>4.6</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17489-2025 artfynd.xlsx", "A 17489-2025")</f>
        <v/>
      </c>
      <c r="T237">
        <f>HYPERLINK("https://klasma.github.io/Logging_2305/kartor/A 17489-2025 karta.png", "A 17489-2025")</f>
        <v/>
      </c>
      <c r="V237">
        <f>HYPERLINK("https://klasma.github.io/Logging_2305/klagomål/A 17489-2025 FSC-klagomål.docx", "A 17489-2025")</f>
        <v/>
      </c>
      <c r="W237">
        <f>HYPERLINK("https://klasma.github.io/Logging_2305/klagomålsmail/A 17489-2025 FSC-klagomål mail.docx", "A 17489-2025")</f>
        <v/>
      </c>
      <c r="X237">
        <f>HYPERLINK("https://klasma.github.io/Logging_2305/tillsyn/A 17489-2025 tillsynsbegäran.docx", "A 17489-2025")</f>
        <v/>
      </c>
      <c r="Y237">
        <f>HYPERLINK("https://klasma.github.io/Logging_2305/tillsynsmail/A 17489-2025 tillsynsbegäran mail.docx", "A 17489-2025")</f>
        <v/>
      </c>
    </row>
    <row r="238" ht="15" customHeight="1">
      <c r="A238" t="inlineStr">
        <is>
          <t>A 49328-2023</t>
        </is>
      </c>
      <c r="B238" s="1" t="n">
        <v>45210</v>
      </c>
      <c r="C238" s="1" t="n">
        <v>46034</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49328-2023 artfynd.xlsx", "A 49328-2023")</f>
        <v/>
      </c>
      <c r="T238">
        <f>HYPERLINK("https://klasma.github.io/Logging_2305/kartor/A 49328-2023 karta.png", "A 49328-2023")</f>
        <v/>
      </c>
      <c r="V238">
        <f>HYPERLINK("https://klasma.github.io/Logging_2305/klagomål/A 49328-2023 FSC-klagomål.docx", "A 49328-2023")</f>
        <v/>
      </c>
      <c r="W238">
        <f>HYPERLINK("https://klasma.github.io/Logging_2305/klagomålsmail/A 49328-2023 FSC-klagomål mail.docx", "A 49328-2023")</f>
        <v/>
      </c>
      <c r="X238">
        <f>HYPERLINK("https://klasma.github.io/Logging_2305/tillsyn/A 49328-2023 tillsynsbegäran.docx", "A 49328-2023")</f>
        <v/>
      </c>
      <c r="Y238">
        <f>HYPERLINK("https://klasma.github.io/Logging_2305/tillsynsmail/A 49328-2023 tillsynsbegäran mail.docx", "A 49328-2023")</f>
        <v/>
      </c>
    </row>
    <row r="239" ht="15" customHeight="1">
      <c r="A239" t="inlineStr">
        <is>
          <t>A 55343-2023</t>
        </is>
      </c>
      <c r="B239" s="1" t="n">
        <v>45237</v>
      </c>
      <c r="C239" s="1" t="n">
        <v>46034</v>
      </c>
      <c r="D239" t="inlineStr">
        <is>
          <t>JÄMTLANDS LÄN</t>
        </is>
      </c>
      <c r="E239" t="inlineStr">
        <is>
          <t>BRÄCKE</t>
        </is>
      </c>
      <c r="F239" t="inlineStr">
        <is>
          <t>Kyrkan</t>
        </is>
      </c>
      <c r="G239" t="n">
        <v>12</v>
      </c>
      <c r="H239" t="n">
        <v>1</v>
      </c>
      <c r="I239" t="n">
        <v>0</v>
      </c>
      <c r="J239" t="n">
        <v>1</v>
      </c>
      <c r="K239" t="n">
        <v>1</v>
      </c>
      <c r="L239" t="n">
        <v>0</v>
      </c>
      <c r="M239" t="n">
        <v>0</v>
      </c>
      <c r="N239" t="n">
        <v>0</v>
      </c>
      <c r="O239" t="n">
        <v>2</v>
      </c>
      <c r="P239" t="n">
        <v>1</v>
      </c>
      <c r="Q239" t="n">
        <v>2</v>
      </c>
      <c r="R239" s="2" t="inlineStr">
        <is>
          <t>Doftticka
Lunglav</t>
        </is>
      </c>
      <c r="S239">
        <f>HYPERLINK("https://klasma.github.io/Logging_2305/artfynd/A 55343-2023 artfynd.xlsx", "A 55343-2023")</f>
        <v/>
      </c>
      <c r="T239">
        <f>HYPERLINK("https://klasma.github.io/Logging_2305/kartor/A 55343-2023 karta.png", "A 55343-2023")</f>
        <v/>
      </c>
      <c r="V239">
        <f>HYPERLINK("https://klasma.github.io/Logging_2305/klagomål/A 55343-2023 FSC-klagomål.docx", "A 55343-2023")</f>
        <v/>
      </c>
      <c r="W239">
        <f>HYPERLINK("https://klasma.github.io/Logging_2305/klagomålsmail/A 55343-2023 FSC-klagomål mail.docx", "A 55343-2023")</f>
        <v/>
      </c>
      <c r="X239">
        <f>HYPERLINK("https://klasma.github.io/Logging_2305/tillsyn/A 55343-2023 tillsynsbegäran.docx", "A 55343-2023")</f>
        <v/>
      </c>
      <c r="Y239">
        <f>HYPERLINK("https://klasma.github.io/Logging_2305/tillsynsmail/A 55343-2023 tillsynsbegäran mail.docx", "A 55343-2023")</f>
        <v/>
      </c>
    </row>
    <row r="240" ht="15" customHeight="1">
      <c r="A240" t="inlineStr">
        <is>
          <t>A 2467-2025</t>
        </is>
      </c>
      <c r="B240" s="1" t="n">
        <v>45674.46979166667</v>
      </c>
      <c r="C240" s="1" t="n">
        <v>46034</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21408-2025</t>
        </is>
      </c>
      <c r="B241" s="1" t="n">
        <v>45782.4906712963</v>
      </c>
      <c r="C241" s="1" t="n">
        <v>46034</v>
      </c>
      <c r="D241" t="inlineStr">
        <is>
          <t>JÄMTLANDS LÄN</t>
        </is>
      </c>
      <c r="E241" t="inlineStr">
        <is>
          <t>BRÄCKE</t>
        </is>
      </c>
      <c r="F241" t="inlineStr">
        <is>
          <t>SCA</t>
        </is>
      </c>
      <c r="G241" t="n">
        <v>1.2</v>
      </c>
      <c r="H241" t="n">
        <v>1</v>
      </c>
      <c r="I241" t="n">
        <v>1</v>
      </c>
      <c r="J241" t="n">
        <v>0</v>
      </c>
      <c r="K241" t="n">
        <v>0</v>
      </c>
      <c r="L241" t="n">
        <v>0</v>
      </c>
      <c r="M241" t="n">
        <v>0</v>
      </c>
      <c r="N241" t="n">
        <v>0</v>
      </c>
      <c r="O241" t="n">
        <v>0</v>
      </c>
      <c r="P241" t="n">
        <v>0</v>
      </c>
      <c r="Q241" t="n">
        <v>2</v>
      </c>
      <c r="R241" s="2" t="inlineStr">
        <is>
          <t>Underviol
Blåsippa</t>
        </is>
      </c>
      <c r="S241">
        <f>HYPERLINK("https://klasma.github.io/Logging_2305/artfynd/A 21408-2025 artfynd.xlsx", "A 21408-2025")</f>
        <v/>
      </c>
      <c r="T241">
        <f>HYPERLINK("https://klasma.github.io/Logging_2305/kartor/A 21408-2025 karta.png", "A 21408-2025")</f>
        <v/>
      </c>
      <c r="V241">
        <f>HYPERLINK("https://klasma.github.io/Logging_2305/klagomål/A 21408-2025 FSC-klagomål.docx", "A 21408-2025")</f>
        <v/>
      </c>
      <c r="W241">
        <f>HYPERLINK("https://klasma.github.io/Logging_2305/klagomålsmail/A 21408-2025 FSC-klagomål mail.docx", "A 21408-2025")</f>
        <v/>
      </c>
      <c r="X241">
        <f>HYPERLINK("https://klasma.github.io/Logging_2305/tillsyn/A 21408-2025 tillsynsbegäran.docx", "A 21408-2025")</f>
        <v/>
      </c>
      <c r="Y241">
        <f>HYPERLINK("https://klasma.github.io/Logging_2305/tillsynsmail/A 21408-2025 tillsynsbegäran mail.docx", "A 21408-2025")</f>
        <v/>
      </c>
    </row>
    <row r="242" ht="15" customHeight="1">
      <c r="A242" t="inlineStr">
        <is>
          <t>A 69154-2021</t>
        </is>
      </c>
      <c r="B242" s="1" t="n">
        <v>44530</v>
      </c>
      <c r="C242" s="1" t="n">
        <v>46034</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46034</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46034</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46034</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17588-2024</t>
        </is>
      </c>
      <c r="B246" s="1" t="n">
        <v>45415.94054398148</v>
      </c>
      <c r="C246" s="1" t="n">
        <v>46034</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31479-2024</t>
        </is>
      </c>
      <c r="B247" s="1" t="n">
        <v>45505.95263888889</v>
      </c>
      <c r="C247" s="1" t="n">
        <v>46034</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58777-2023</t>
        </is>
      </c>
      <c r="B248" s="1" t="n">
        <v>45251.96747685185</v>
      </c>
      <c r="C248" s="1" t="n">
        <v>46034</v>
      </c>
      <c r="D248" t="inlineStr">
        <is>
          <t>JÄMTLANDS LÄN</t>
        </is>
      </c>
      <c r="E248" t="inlineStr">
        <is>
          <t>BRÄCKE</t>
        </is>
      </c>
      <c r="F248" t="inlineStr">
        <is>
          <t>SCA</t>
        </is>
      </c>
      <c r="G248" t="n">
        <v>1.1</v>
      </c>
      <c r="H248" t="n">
        <v>0</v>
      </c>
      <c r="I248" t="n">
        <v>0</v>
      </c>
      <c r="J248" t="n">
        <v>1</v>
      </c>
      <c r="K248" t="n">
        <v>0</v>
      </c>
      <c r="L248" t="n">
        <v>0</v>
      </c>
      <c r="M248" t="n">
        <v>0</v>
      </c>
      <c r="N248" t="n">
        <v>0</v>
      </c>
      <c r="O248" t="n">
        <v>1</v>
      </c>
      <c r="P248" t="n">
        <v>0</v>
      </c>
      <c r="Q248" t="n">
        <v>1</v>
      </c>
      <c r="R248" s="2" t="inlineStr">
        <is>
          <t>Igelkott</t>
        </is>
      </c>
      <c r="S248">
        <f>HYPERLINK("https://klasma.github.io/Logging_2305/artfynd/A 58777-2023 artfynd.xlsx", "A 58777-2023")</f>
        <v/>
      </c>
      <c r="T248">
        <f>HYPERLINK("https://klasma.github.io/Logging_2305/kartor/A 58777-2023 karta.png", "A 58777-2023")</f>
        <v/>
      </c>
      <c r="V248">
        <f>HYPERLINK("https://klasma.github.io/Logging_2305/klagomål/A 58777-2023 FSC-klagomål.docx", "A 58777-2023")</f>
        <v/>
      </c>
      <c r="W248">
        <f>HYPERLINK("https://klasma.github.io/Logging_2305/klagomålsmail/A 58777-2023 FSC-klagomål mail.docx", "A 58777-2023")</f>
        <v/>
      </c>
      <c r="X248">
        <f>HYPERLINK("https://klasma.github.io/Logging_2305/tillsyn/A 58777-2023 tillsynsbegäran.docx", "A 58777-2023")</f>
        <v/>
      </c>
      <c r="Y248">
        <f>HYPERLINK("https://klasma.github.io/Logging_2305/tillsynsmail/A 58777-2023 tillsynsbegäran mail.docx", "A 58777-2023")</f>
        <v/>
      </c>
    </row>
    <row r="249" ht="15" customHeight="1">
      <c r="A249" t="inlineStr">
        <is>
          <t>A 21428-2025</t>
        </is>
      </c>
      <c r="B249" s="1" t="n">
        <v>45782.51072916666</v>
      </c>
      <c r="C249" s="1" t="n">
        <v>46034</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Lunglav</t>
        </is>
      </c>
      <c r="S249">
        <f>HYPERLINK("https://klasma.github.io/Logging_2305/artfynd/A 21428-2025 artfynd.xlsx", "A 21428-2025")</f>
        <v/>
      </c>
      <c r="T249">
        <f>HYPERLINK("https://klasma.github.io/Logging_2305/kartor/A 21428-2025 karta.png", "A 21428-2025")</f>
        <v/>
      </c>
      <c r="V249">
        <f>HYPERLINK("https://klasma.github.io/Logging_2305/klagomål/A 21428-2025 FSC-klagomål.docx", "A 21428-2025")</f>
        <v/>
      </c>
      <c r="W249">
        <f>HYPERLINK("https://klasma.github.io/Logging_2305/klagomålsmail/A 21428-2025 FSC-klagomål mail.docx", "A 21428-2025")</f>
        <v/>
      </c>
      <c r="X249">
        <f>HYPERLINK("https://klasma.github.io/Logging_2305/tillsyn/A 21428-2025 tillsynsbegäran.docx", "A 21428-2025")</f>
        <v/>
      </c>
      <c r="Y249">
        <f>HYPERLINK("https://klasma.github.io/Logging_2305/tillsynsmail/A 21428-2025 tillsynsbegäran mail.docx", "A 21428-2025")</f>
        <v/>
      </c>
    </row>
    <row r="250" ht="15" customHeight="1">
      <c r="A250" t="inlineStr">
        <is>
          <t>A 22651-2025</t>
        </is>
      </c>
      <c r="B250" s="1" t="n">
        <v>45789.46907407408</v>
      </c>
      <c r="C250" s="1" t="n">
        <v>46034</v>
      </c>
      <c r="D250" t="inlineStr">
        <is>
          <t>JÄMTLANDS LÄN</t>
        </is>
      </c>
      <c r="E250" t="inlineStr">
        <is>
          <t>BRÄCKE</t>
        </is>
      </c>
      <c r="F250" t="inlineStr">
        <is>
          <t>SCA</t>
        </is>
      </c>
      <c r="G250" t="n">
        <v>2.3</v>
      </c>
      <c r="H250" t="n">
        <v>1</v>
      </c>
      <c r="I250" t="n">
        <v>1</v>
      </c>
      <c r="J250" t="n">
        <v>0</v>
      </c>
      <c r="K250" t="n">
        <v>0</v>
      </c>
      <c r="L250" t="n">
        <v>0</v>
      </c>
      <c r="M250" t="n">
        <v>0</v>
      </c>
      <c r="N250" t="n">
        <v>0</v>
      </c>
      <c r="O250" t="n">
        <v>0</v>
      </c>
      <c r="P250" t="n">
        <v>0</v>
      </c>
      <c r="Q250" t="n">
        <v>1</v>
      </c>
      <c r="R250" s="2" t="inlineStr">
        <is>
          <t>Guckusko</t>
        </is>
      </c>
      <c r="S250">
        <f>HYPERLINK("https://klasma.github.io/Logging_2305/artfynd/A 22651-2025 artfynd.xlsx", "A 22651-2025")</f>
        <v/>
      </c>
      <c r="T250">
        <f>HYPERLINK("https://klasma.github.io/Logging_2305/kartor/A 22651-2025 karta.png", "A 22651-2025")</f>
        <v/>
      </c>
      <c r="V250">
        <f>HYPERLINK("https://klasma.github.io/Logging_2305/klagomål/A 22651-2025 FSC-klagomål.docx", "A 22651-2025")</f>
        <v/>
      </c>
      <c r="W250">
        <f>HYPERLINK("https://klasma.github.io/Logging_2305/klagomålsmail/A 22651-2025 FSC-klagomål mail.docx", "A 22651-2025")</f>
        <v/>
      </c>
      <c r="X250">
        <f>HYPERLINK("https://klasma.github.io/Logging_2305/tillsyn/A 22651-2025 tillsynsbegäran.docx", "A 22651-2025")</f>
        <v/>
      </c>
      <c r="Y250">
        <f>HYPERLINK("https://klasma.github.io/Logging_2305/tillsynsmail/A 22651-2025 tillsynsbegäran mail.docx", "A 22651-2025")</f>
        <v/>
      </c>
    </row>
    <row r="251" ht="15" customHeight="1">
      <c r="A251" t="inlineStr">
        <is>
          <t>A 51177-2025</t>
        </is>
      </c>
      <c r="B251" s="1" t="n">
        <v>45947.61255787037</v>
      </c>
      <c r="C251" s="1" t="n">
        <v>46034</v>
      </c>
      <c r="D251" t="inlineStr">
        <is>
          <t>JÄMTLANDS LÄN</t>
        </is>
      </c>
      <c r="E251" t="inlineStr">
        <is>
          <t>BRÄCKE</t>
        </is>
      </c>
      <c r="G251" t="n">
        <v>9.6</v>
      </c>
      <c r="H251" t="n">
        <v>0</v>
      </c>
      <c r="I251" t="n">
        <v>0</v>
      </c>
      <c r="J251" t="n">
        <v>1</v>
      </c>
      <c r="K251" t="n">
        <v>0</v>
      </c>
      <c r="L251" t="n">
        <v>0</v>
      </c>
      <c r="M251" t="n">
        <v>0</v>
      </c>
      <c r="N251" t="n">
        <v>0</v>
      </c>
      <c r="O251" t="n">
        <v>1</v>
      </c>
      <c r="P251" t="n">
        <v>0</v>
      </c>
      <c r="Q251" t="n">
        <v>1</v>
      </c>
      <c r="R251" s="2" t="inlineStr">
        <is>
          <t>Granticka</t>
        </is>
      </c>
      <c r="S251">
        <f>HYPERLINK("https://klasma.github.io/Logging_2305/artfynd/A 51177-2025 artfynd.xlsx", "A 51177-2025")</f>
        <v/>
      </c>
      <c r="T251">
        <f>HYPERLINK("https://klasma.github.io/Logging_2305/kartor/A 51177-2025 karta.png", "A 51177-2025")</f>
        <v/>
      </c>
      <c r="V251">
        <f>HYPERLINK("https://klasma.github.io/Logging_2305/klagomål/A 51177-2025 FSC-klagomål.docx", "A 51177-2025")</f>
        <v/>
      </c>
      <c r="W251">
        <f>HYPERLINK("https://klasma.github.io/Logging_2305/klagomålsmail/A 51177-2025 FSC-klagomål mail.docx", "A 51177-2025")</f>
        <v/>
      </c>
      <c r="X251">
        <f>HYPERLINK("https://klasma.github.io/Logging_2305/tillsyn/A 51177-2025 tillsynsbegäran.docx", "A 51177-2025")</f>
        <v/>
      </c>
      <c r="Y251">
        <f>HYPERLINK("https://klasma.github.io/Logging_2305/tillsynsmail/A 51177-2025 tillsynsbegäran mail.docx", "A 51177-2025")</f>
        <v/>
      </c>
    </row>
    <row r="252" ht="15" customHeight="1">
      <c r="A252" t="inlineStr">
        <is>
          <t>A 62079-2022</t>
        </is>
      </c>
      <c r="B252" s="1" t="n">
        <v>44918</v>
      </c>
      <c r="C252" s="1" t="n">
        <v>46034</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39085-2025</t>
        </is>
      </c>
      <c r="B253" s="1" t="n">
        <v>45888</v>
      </c>
      <c r="C253" s="1" t="n">
        <v>46034</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46034</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23460-2025</t>
        </is>
      </c>
      <c r="B255" s="1" t="n">
        <v>45792.42776620371</v>
      </c>
      <c r="C255" s="1" t="n">
        <v>46034</v>
      </c>
      <c r="D255" t="inlineStr">
        <is>
          <t>JÄMTLANDS LÄN</t>
        </is>
      </c>
      <c r="E255" t="inlineStr">
        <is>
          <t>BRÄCKE</t>
        </is>
      </c>
      <c r="F255" t="inlineStr">
        <is>
          <t>SCA</t>
        </is>
      </c>
      <c r="G255" t="n">
        <v>2.3</v>
      </c>
      <c r="H255" t="n">
        <v>0</v>
      </c>
      <c r="I255" t="n">
        <v>1</v>
      </c>
      <c r="J255" t="n">
        <v>0</v>
      </c>
      <c r="K255" t="n">
        <v>0</v>
      </c>
      <c r="L255" t="n">
        <v>0</v>
      </c>
      <c r="M255" t="n">
        <v>0</v>
      </c>
      <c r="N255" t="n">
        <v>0</v>
      </c>
      <c r="O255" t="n">
        <v>0</v>
      </c>
      <c r="P255" t="n">
        <v>0</v>
      </c>
      <c r="Q255" t="n">
        <v>1</v>
      </c>
      <c r="R255" s="2" t="inlineStr">
        <is>
          <t>Underviol</t>
        </is>
      </c>
      <c r="S255">
        <f>HYPERLINK("https://klasma.github.io/Logging_2305/artfynd/A 23460-2025 artfynd.xlsx", "A 23460-2025")</f>
        <v/>
      </c>
      <c r="T255">
        <f>HYPERLINK("https://klasma.github.io/Logging_2305/kartor/A 23460-2025 karta.png", "A 23460-2025")</f>
        <v/>
      </c>
      <c r="V255">
        <f>HYPERLINK("https://klasma.github.io/Logging_2305/klagomål/A 23460-2025 FSC-klagomål.docx", "A 23460-2025")</f>
        <v/>
      </c>
      <c r="W255">
        <f>HYPERLINK("https://klasma.github.io/Logging_2305/klagomålsmail/A 23460-2025 FSC-klagomål mail.docx", "A 23460-2025")</f>
        <v/>
      </c>
      <c r="X255">
        <f>HYPERLINK("https://klasma.github.io/Logging_2305/tillsyn/A 23460-2025 tillsynsbegäran.docx", "A 23460-2025")</f>
        <v/>
      </c>
      <c r="Y255">
        <f>HYPERLINK("https://klasma.github.io/Logging_2305/tillsynsmail/A 23460-2025 tillsynsbegäran mail.docx", "A 23460-2025")</f>
        <v/>
      </c>
    </row>
    <row r="256" ht="15" customHeight="1">
      <c r="A256" t="inlineStr">
        <is>
          <t>A 15189-2025</t>
        </is>
      </c>
      <c r="B256" s="1" t="n">
        <v>45744.55259259259</v>
      </c>
      <c r="C256" s="1" t="n">
        <v>46034</v>
      </c>
      <c r="D256" t="inlineStr">
        <is>
          <t>JÄMTLANDS LÄN</t>
        </is>
      </c>
      <c r="E256" t="inlineStr">
        <is>
          <t>BRÄCKE</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15189-2025 artfynd.xlsx", "A 15189-2025")</f>
        <v/>
      </c>
      <c r="T256">
        <f>HYPERLINK("https://klasma.github.io/Logging_2305/kartor/A 15189-2025 karta.png", "A 15189-2025")</f>
        <v/>
      </c>
      <c r="V256">
        <f>HYPERLINK("https://klasma.github.io/Logging_2305/klagomål/A 15189-2025 FSC-klagomål.docx", "A 15189-2025")</f>
        <v/>
      </c>
      <c r="W256">
        <f>HYPERLINK("https://klasma.github.io/Logging_2305/klagomålsmail/A 15189-2025 FSC-klagomål mail.docx", "A 15189-2025")</f>
        <v/>
      </c>
      <c r="X256">
        <f>HYPERLINK("https://klasma.github.io/Logging_2305/tillsyn/A 15189-2025 tillsynsbegäran.docx", "A 15189-2025")</f>
        <v/>
      </c>
      <c r="Y256">
        <f>HYPERLINK("https://klasma.github.io/Logging_2305/tillsynsmail/A 15189-2025 tillsynsbegäran mail.docx", "A 15189-2025")</f>
        <v/>
      </c>
      <c r="Z256">
        <f>HYPERLINK("https://klasma.github.io/Logging_2305/fåglar/A 15189-2025 prioriterade fågelarter.docx", "A 15189-2025")</f>
        <v/>
      </c>
    </row>
    <row r="257" ht="15" customHeight="1">
      <c r="A257" t="inlineStr">
        <is>
          <t>A 29546-2024</t>
        </is>
      </c>
      <c r="B257" s="1" t="n">
        <v>45484.50435185185</v>
      </c>
      <c r="C257" s="1" t="n">
        <v>46034</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24094-2025</t>
        </is>
      </c>
      <c r="B258" s="1" t="n">
        <v>45796.57335648148</v>
      </c>
      <c r="C258" s="1" t="n">
        <v>46034</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40835-2025</t>
        </is>
      </c>
      <c r="B259" s="1" t="n">
        <v>45897.5114699074</v>
      </c>
      <c r="C259" s="1" t="n">
        <v>46034</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24851-2025</t>
        </is>
      </c>
      <c r="B260" s="1" t="n">
        <v>45799.46967592592</v>
      </c>
      <c r="C260" s="1" t="n">
        <v>46034</v>
      </c>
      <c r="D260" t="inlineStr">
        <is>
          <t>JÄMTLANDS LÄN</t>
        </is>
      </c>
      <c r="E260" t="inlineStr">
        <is>
          <t>BRÄCKE</t>
        </is>
      </c>
      <c r="F260" t="inlineStr">
        <is>
          <t>SCA</t>
        </is>
      </c>
      <c r="G260" t="n">
        <v>4.1</v>
      </c>
      <c r="H260" t="n">
        <v>1</v>
      </c>
      <c r="I260" t="n">
        <v>0</v>
      </c>
      <c r="J260" t="n">
        <v>0</v>
      </c>
      <c r="K260" t="n">
        <v>0</v>
      </c>
      <c r="L260" t="n">
        <v>1</v>
      </c>
      <c r="M260" t="n">
        <v>0</v>
      </c>
      <c r="N260" t="n">
        <v>0</v>
      </c>
      <c r="O260" t="n">
        <v>1</v>
      </c>
      <c r="P260" t="n">
        <v>1</v>
      </c>
      <c r="Q260" t="n">
        <v>1</v>
      </c>
      <c r="R260" s="2" t="inlineStr">
        <is>
          <t>Violett guldvinge</t>
        </is>
      </c>
      <c r="S260">
        <f>HYPERLINK("https://klasma.github.io/Logging_2305/artfynd/A 24851-2025 artfynd.xlsx", "A 24851-2025")</f>
        <v/>
      </c>
      <c r="T260">
        <f>HYPERLINK("https://klasma.github.io/Logging_2305/kartor/A 24851-2025 karta.png", "A 24851-2025")</f>
        <v/>
      </c>
      <c r="V260">
        <f>HYPERLINK("https://klasma.github.io/Logging_2305/klagomål/A 24851-2025 FSC-klagomål.docx", "A 24851-2025")</f>
        <v/>
      </c>
      <c r="W260">
        <f>HYPERLINK("https://klasma.github.io/Logging_2305/klagomålsmail/A 24851-2025 FSC-klagomål mail.docx", "A 24851-2025")</f>
        <v/>
      </c>
      <c r="X260">
        <f>HYPERLINK("https://klasma.github.io/Logging_2305/tillsyn/A 24851-2025 tillsynsbegäran.docx", "A 24851-2025")</f>
        <v/>
      </c>
      <c r="Y260">
        <f>HYPERLINK("https://klasma.github.io/Logging_2305/tillsynsmail/A 24851-2025 tillsynsbegäran mail.docx", "A 24851-2025")</f>
        <v/>
      </c>
    </row>
    <row r="261" ht="15" customHeight="1">
      <c r="A261" t="inlineStr">
        <is>
          <t>A 40842-2025</t>
        </is>
      </c>
      <c r="B261" s="1" t="n">
        <v>45897.53200231482</v>
      </c>
      <c r="C261" s="1" t="n">
        <v>46034</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46034</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40914-2025</t>
        </is>
      </c>
      <c r="B263" s="1" t="n">
        <v>45897.61741898148</v>
      </c>
      <c r="C263" s="1" t="n">
        <v>46034</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2063-2024</t>
        </is>
      </c>
      <c r="B264" s="1" t="n">
        <v>45308</v>
      </c>
      <c r="C264" s="1" t="n">
        <v>46034</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25718-2025</t>
        </is>
      </c>
      <c r="B265" s="1" t="n">
        <v>45803.69876157407</v>
      </c>
      <c r="C265" s="1" t="n">
        <v>46034</v>
      </c>
      <c r="D265" t="inlineStr">
        <is>
          <t>JÄMTLANDS LÄN</t>
        </is>
      </c>
      <c r="E265" t="inlineStr">
        <is>
          <t>BRÄCKE</t>
        </is>
      </c>
      <c r="F265" t="inlineStr">
        <is>
          <t>SCA</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HYPERLINK("https://klasma.github.io/Logging_2305/artfynd/A 25718-2025 artfynd.xlsx", "A 25718-2025")</f>
        <v/>
      </c>
      <c r="T265">
        <f>HYPERLINK("https://klasma.github.io/Logging_2305/kartor/A 25718-2025 karta.png", "A 25718-2025")</f>
        <v/>
      </c>
      <c r="U265">
        <f>HYPERLINK("https://klasma.github.io/Logging_2305/knärot/A 25718-2025 karta knärot.png", "A 25718-2025")</f>
        <v/>
      </c>
      <c r="V265">
        <f>HYPERLINK("https://klasma.github.io/Logging_2305/klagomål/A 25718-2025 FSC-klagomål.docx", "A 25718-2025")</f>
        <v/>
      </c>
      <c r="W265">
        <f>HYPERLINK("https://klasma.github.io/Logging_2305/klagomålsmail/A 25718-2025 FSC-klagomål mail.docx", "A 25718-2025")</f>
        <v/>
      </c>
      <c r="X265">
        <f>HYPERLINK("https://klasma.github.io/Logging_2305/tillsyn/A 25718-2025 tillsynsbegäran.docx", "A 25718-2025")</f>
        <v/>
      </c>
      <c r="Y265">
        <f>HYPERLINK("https://klasma.github.io/Logging_2305/tillsynsmail/A 25718-2025 tillsynsbegäran mail.docx", "A 25718-2025")</f>
        <v/>
      </c>
    </row>
    <row r="266" ht="15" customHeight="1">
      <c r="A266" t="inlineStr">
        <is>
          <t>A 41059-2025</t>
        </is>
      </c>
      <c r="B266" s="1" t="n">
        <v>45898.40703703704</v>
      </c>
      <c r="C266" s="1" t="n">
        <v>46034</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59546-2025</t>
        </is>
      </c>
      <c r="B267" s="1" t="n">
        <v>45990.34497685185</v>
      </c>
      <c r="C267" s="1" t="n">
        <v>46034</v>
      </c>
      <c r="D267" t="inlineStr">
        <is>
          <t>JÄMTLANDS LÄN</t>
        </is>
      </c>
      <c r="E267" t="inlineStr">
        <is>
          <t>BRÄCKE</t>
        </is>
      </c>
      <c r="F267" t="inlineStr">
        <is>
          <t>SCA</t>
        </is>
      </c>
      <c r="G267" t="n">
        <v>1</v>
      </c>
      <c r="H267" t="n">
        <v>0</v>
      </c>
      <c r="I267" t="n">
        <v>0</v>
      </c>
      <c r="J267" t="n">
        <v>1</v>
      </c>
      <c r="K267" t="n">
        <v>0</v>
      </c>
      <c r="L267" t="n">
        <v>0</v>
      </c>
      <c r="M267" t="n">
        <v>0</v>
      </c>
      <c r="N267" t="n">
        <v>0</v>
      </c>
      <c r="O267" t="n">
        <v>1</v>
      </c>
      <c r="P267" t="n">
        <v>0</v>
      </c>
      <c r="Q267" t="n">
        <v>1</v>
      </c>
      <c r="R267" s="2" t="inlineStr">
        <is>
          <t>Vedskivlav</t>
        </is>
      </c>
      <c r="S267">
        <f>HYPERLINK("https://klasma.github.io/Logging_2305/artfynd/A 59546-2025 artfynd.xlsx", "A 59546-2025")</f>
        <v/>
      </c>
      <c r="T267">
        <f>HYPERLINK("https://klasma.github.io/Logging_2305/kartor/A 59546-2025 karta.png", "A 59546-2025")</f>
        <v/>
      </c>
      <c r="V267">
        <f>HYPERLINK("https://klasma.github.io/Logging_2305/klagomål/A 59546-2025 FSC-klagomål.docx", "A 59546-2025")</f>
        <v/>
      </c>
      <c r="W267">
        <f>HYPERLINK("https://klasma.github.io/Logging_2305/klagomålsmail/A 59546-2025 FSC-klagomål mail.docx", "A 59546-2025")</f>
        <v/>
      </c>
      <c r="X267">
        <f>HYPERLINK("https://klasma.github.io/Logging_2305/tillsyn/A 59546-2025 tillsynsbegäran.docx", "A 59546-2025")</f>
        <v/>
      </c>
      <c r="Y267">
        <f>HYPERLINK("https://klasma.github.io/Logging_2305/tillsynsmail/A 59546-2025 tillsynsbegäran mail.docx", "A 59546-2025")</f>
        <v/>
      </c>
    </row>
    <row r="268" ht="15" customHeight="1">
      <c r="A268" t="inlineStr">
        <is>
          <t>A 36312-2024</t>
        </is>
      </c>
      <c r="B268" s="1" t="n">
        <v>45534.63096064814</v>
      </c>
      <c r="C268" s="1" t="n">
        <v>46034</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27061-2025</t>
        </is>
      </c>
      <c r="B269" s="1" t="n">
        <v>45811.6360300926</v>
      </c>
      <c r="C269" s="1" t="n">
        <v>46034</v>
      </c>
      <c r="D269" t="inlineStr">
        <is>
          <t>JÄMTLANDS LÄN</t>
        </is>
      </c>
      <c r="E269" t="inlineStr">
        <is>
          <t>BRÄCKE</t>
        </is>
      </c>
      <c r="F269" t="inlineStr">
        <is>
          <t>SCA</t>
        </is>
      </c>
      <c r="G269" t="n">
        <v>18.9</v>
      </c>
      <c r="H269" t="n">
        <v>0</v>
      </c>
      <c r="I269" t="n">
        <v>0</v>
      </c>
      <c r="J269" t="n">
        <v>1</v>
      </c>
      <c r="K269" t="n">
        <v>0</v>
      </c>
      <c r="L269" t="n">
        <v>0</v>
      </c>
      <c r="M269" t="n">
        <v>0</v>
      </c>
      <c r="N269" t="n">
        <v>0</v>
      </c>
      <c r="O269" t="n">
        <v>1</v>
      </c>
      <c r="P269" t="n">
        <v>0</v>
      </c>
      <c r="Q269" t="n">
        <v>1</v>
      </c>
      <c r="R269" s="2" t="inlineStr">
        <is>
          <t>Lunglav</t>
        </is>
      </c>
      <c r="S269">
        <f>HYPERLINK("https://klasma.github.io/Logging_2305/artfynd/A 27061-2025 artfynd.xlsx", "A 27061-2025")</f>
        <v/>
      </c>
      <c r="T269">
        <f>HYPERLINK("https://klasma.github.io/Logging_2305/kartor/A 27061-2025 karta.png", "A 27061-2025")</f>
        <v/>
      </c>
      <c r="V269">
        <f>HYPERLINK("https://klasma.github.io/Logging_2305/klagomål/A 27061-2025 FSC-klagomål.docx", "A 27061-2025")</f>
        <v/>
      </c>
      <c r="W269">
        <f>HYPERLINK("https://klasma.github.io/Logging_2305/klagomålsmail/A 27061-2025 FSC-klagomål mail.docx", "A 27061-2025")</f>
        <v/>
      </c>
      <c r="X269">
        <f>HYPERLINK("https://klasma.github.io/Logging_2305/tillsyn/A 27061-2025 tillsynsbegäran.docx", "A 27061-2025")</f>
        <v/>
      </c>
      <c r="Y269">
        <f>HYPERLINK("https://klasma.github.io/Logging_2305/tillsynsmail/A 27061-2025 tillsynsbegäran mail.docx", "A 27061-2025")</f>
        <v/>
      </c>
    </row>
    <row r="270" ht="15" customHeight="1">
      <c r="A270" t="inlineStr">
        <is>
          <t>A 53832-2024</t>
        </is>
      </c>
      <c r="B270" s="1" t="n">
        <v>45615</v>
      </c>
      <c r="C270" s="1" t="n">
        <v>46034</v>
      </c>
      <c r="D270" t="inlineStr">
        <is>
          <t>JÄMTLANDS LÄN</t>
        </is>
      </c>
      <c r="E270" t="inlineStr">
        <is>
          <t>BRÄCKE</t>
        </is>
      </c>
      <c r="F270" t="inlineStr">
        <is>
          <t>SCA</t>
        </is>
      </c>
      <c r="G270" t="n">
        <v>4</v>
      </c>
      <c r="H270" t="n">
        <v>0</v>
      </c>
      <c r="I270" t="n">
        <v>1</v>
      </c>
      <c r="J270" t="n">
        <v>0</v>
      </c>
      <c r="K270" t="n">
        <v>0</v>
      </c>
      <c r="L270" t="n">
        <v>0</v>
      </c>
      <c r="M270" t="n">
        <v>0</v>
      </c>
      <c r="N270" t="n">
        <v>0</v>
      </c>
      <c r="O270" t="n">
        <v>0</v>
      </c>
      <c r="P270" t="n">
        <v>0</v>
      </c>
      <c r="Q270" t="n">
        <v>1</v>
      </c>
      <c r="R270" s="2" t="inlineStr">
        <is>
          <t>Dropptaggsvamp</t>
        </is>
      </c>
      <c r="S270">
        <f>HYPERLINK("https://klasma.github.io/Logging_2305/artfynd/A 53832-2024 artfynd.xlsx", "A 53832-2024")</f>
        <v/>
      </c>
      <c r="T270">
        <f>HYPERLINK("https://klasma.github.io/Logging_2305/kartor/A 53832-2024 karta.png", "A 53832-2024")</f>
        <v/>
      </c>
      <c r="V270">
        <f>HYPERLINK("https://klasma.github.io/Logging_2305/klagomål/A 53832-2024 FSC-klagomål.docx", "A 53832-2024")</f>
        <v/>
      </c>
      <c r="W270">
        <f>HYPERLINK("https://klasma.github.io/Logging_2305/klagomålsmail/A 53832-2024 FSC-klagomål mail.docx", "A 53832-2024")</f>
        <v/>
      </c>
      <c r="X270">
        <f>HYPERLINK("https://klasma.github.io/Logging_2305/tillsyn/A 53832-2024 tillsynsbegäran.docx", "A 53832-2024")</f>
        <v/>
      </c>
      <c r="Y270">
        <f>HYPERLINK("https://klasma.github.io/Logging_2305/tillsynsmail/A 53832-2024 tillsynsbegäran mail.docx", "A 53832-2024")</f>
        <v/>
      </c>
    </row>
    <row r="271" ht="15" customHeight="1">
      <c r="A271" t="inlineStr">
        <is>
          <t>A 27860-2025</t>
        </is>
      </c>
      <c r="B271" s="1" t="n">
        <v>45817.41630787037</v>
      </c>
      <c r="C271" s="1" t="n">
        <v>46034</v>
      </c>
      <c r="D271" t="inlineStr">
        <is>
          <t>JÄMTLANDS LÄN</t>
        </is>
      </c>
      <c r="E271" t="inlineStr">
        <is>
          <t>BRÄCKE</t>
        </is>
      </c>
      <c r="G271" t="n">
        <v>7.9</v>
      </c>
      <c r="H271" t="n">
        <v>0</v>
      </c>
      <c r="I271" t="n">
        <v>0</v>
      </c>
      <c r="J271" t="n">
        <v>1</v>
      </c>
      <c r="K271" t="n">
        <v>0</v>
      </c>
      <c r="L271" t="n">
        <v>0</v>
      </c>
      <c r="M271" t="n">
        <v>0</v>
      </c>
      <c r="N271" t="n">
        <v>0</v>
      </c>
      <c r="O271" t="n">
        <v>1</v>
      </c>
      <c r="P271" t="n">
        <v>0</v>
      </c>
      <c r="Q271" t="n">
        <v>1</v>
      </c>
      <c r="R271" s="2" t="inlineStr">
        <is>
          <t>Blanksvart spiklav</t>
        </is>
      </c>
      <c r="S271">
        <f>HYPERLINK("https://klasma.github.io/Logging_2305/artfynd/A 27860-2025 artfynd.xlsx", "A 27860-2025")</f>
        <v/>
      </c>
      <c r="T271">
        <f>HYPERLINK("https://klasma.github.io/Logging_2305/kartor/A 27860-2025 karta.png", "A 27860-2025")</f>
        <v/>
      </c>
      <c r="V271">
        <f>HYPERLINK("https://klasma.github.io/Logging_2305/klagomål/A 27860-2025 FSC-klagomål.docx", "A 27860-2025")</f>
        <v/>
      </c>
      <c r="W271">
        <f>HYPERLINK("https://klasma.github.io/Logging_2305/klagomålsmail/A 27860-2025 FSC-klagomål mail.docx", "A 27860-2025")</f>
        <v/>
      </c>
      <c r="X271">
        <f>HYPERLINK("https://klasma.github.io/Logging_2305/tillsyn/A 27860-2025 tillsynsbegäran.docx", "A 27860-2025")</f>
        <v/>
      </c>
      <c r="Y271">
        <f>HYPERLINK("https://klasma.github.io/Logging_2305/tillsynsmail/A 27860-2025 tillsynsbegäran mail.docx", "A 27860-2025")</f>
        <v/>
      </c>
    </row>
    <row r="272" ht="15" customHeight="1">
      <c r="A272" t="inlineStr">
        <is>
          <t>A 44214-2025</t>
        </is>
      </c>
      <c r="B272" s="1" t="n">
        <v>45915.63579861111</v>
      </c>
      <c r="C272" s="1" t="n">
        <v>46034</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52226-2025</t>
        </is>
      </c>
      <c r="B273" s="1" t="n">
        <v>45953.44850694444</v>
      </c>
      <c r="C273" s="1" t="n">
        <v>46034</v>
      </c>
      <c r="D273" t="inlineStr">
        <is>
          <t>JÄMTLANDS LÄN</t>
        </is>
      </c>
      <c r="E273" t="inlineStr">
        <is>
          <t>BRÄCKE</t>
        </is>
      </c>
      <c r="F273" t="inlineStr">
        <is>
          <t>SCA</t>
        </is>
      </c>
      <c r="G273" t="n">
        <v>15.7</v>
      </c>
      <c r="H273" t="n">
        <v>0</v>
      </c>
      <c r="I273" t="n">
        <v>0</v>
      </c>
      <c r="J273" t="n">
        <v>1</v>
      </c>
      <c r="K273" t="n">
        <v>0</v>
      </c>
      <c r="L273" t="n">
        <v>0</v>
      </c>
      <c r="M273" t="n">
        <v>0</v>
      </c>
      <c r="N273" t="n">
        <v>0</v>
      </c>
      <c r="O273" t="n">
        <v>1</v>
      </c>
      <c r="P273" t="n">
        <v>0</v>
      </c>
      <c r="Q273" t="n">
        <v>1</v>
      </c>
      <c r="R273" s="2" t="inlineStr">
        <is>
          <t>Brunpudrad nållav</t>
        </is>
      </c>
      <c r="S273">
        <f>HYPERLINK("https://klasma.github.io/Logging_2305/artfynd/A 52226-2025 artfynd.xlsx", "A 52226-2025")</f>
        <v/>
      </c>
      <c r="T273">
        <f>HYPERLINK("https://klasma.github.io/Logging_2305/kartor/A 52226-2025 karta.png", "A 52226-2025")</f>
        <v/>
      </c>
      <c r="V273">
        <f>HYPERLINK("https://klasma.github.io/Logging_2305/klagomål/A 52226-2025 FSC-klagomål.docx", "A 52226-2025")</f>
        <v/>
      </c>
      <c r="W273">
        <f>HYPERLINK("https://klasma.github.io/Logging_2305/klagomålsmail/A 52226-2025 FSC-klagomål mail.docx", "A 52226-2025")</f>
        <v/>
      </c>
      <c r="X273">
        <f>HYPERLINK("https://klasma.github.io/Logging_2305/tillsyn/A 52226-2025 tillsynsbegäran.docx", "A 52226-2025")</f>
        <v/>
      </c>
      <c r="Y273">
        <f>HYPERLINK("https://klasma.github.io/Logging_2305/tillsynsmail/A 52226-2025 tillsynsbegäran mail.docx", "A 52226-2025")</f>
        <v/>
      </c>
    </row>
    <row r="274" ht="15" customHeight="1">
      <c r="A274" t="inlineStr">
        <is>
          <t>A 28676-2025</t>
        </is>
      </c>
      <c r="B274" s="1" t="n">
        <v>45819.67771990741</v>
      </c>
      <c r="C274" s="1" t="n">
        <v>46034</v>
      </c>
      <c r="D274" t="inlineStr">
        <is>
          <t>JÄMTLANDS LÄN</t>
        </is>
      </c>
      <c r="E274" t="inlineStr">
        <is>
          <t>BRÄCKE</t>
        </is>
      </c>
      <c r="G274" t="n">
        <v>1.2</v>
      </c>
      <c r="H274" t="n">
        <v>0</v>
      </c>
      <c r="I274" t="n">
        <v>1</v>
      </c>
      <c r="J274" t="n">
        <v>0</v>
      </c>
      <c r="K274" t="n">
        <v>0</v>
      </c>
      <c r="L274" t="n">
        <v>0</v>
      </c>
      <c r="M274" t="n">
        <v>0</v>
      </c>
      <c r="N274" t="n">
        <v>0</v>
      </c>
      <c r="O274" t="n">
        <v>0</v>
      </c>
      <c r="P274" t="n">
        <v>0</v>
      </c>
      <c r="Q274" t="n">
        <v>1</v>
      </c>
      <c r="R274" s="2" t="inlineStr">
        <is>
          <t>Rödgul trumpetsvamp</t>
        </is>
      </c>
      <c r="S274">
        <f>HYPERLINK("https://klasma.github.io/Logging_2305/artfynd/A 28676-2025 artfynd.xlsx", "A 28676-2025")</f>
        <v/>
      </c>
      <c r="T274">
        <f>HYPERLINK("https://klasma.github.io/Logging_2305/kartor/A 28676-2025 karta.png", "A 28676-2025")</f>
        <v/>
      </c>
      <c r="V274">
        <f>HYPERLINK("https://klasma.github.io/Logging_2305/klagomål/A 28676-2025 FSC-klagomål.docx", "A 28676-2025")</f>
        <v/>
      </c>
      <c r="W274">
        <f>HYPERLINK("https://klasma.github.io/Logging_2305/klagomålsmail/A 28676-2025 FSC-klagomål mail.docx", "A 28676-2025")</f>
        <v/>
      </c>
      <c r="X274">
        <f>HYPERLINK("https://klasma.github.io/Logging_2305/tillsyn/A 28676-2025 tillsynsbegäran.docx", "A 28676-2025")</f>
        <v/>
      </c>
      <c r="Y274">
        <f>HYPERLINK("https://klasma.github.io/Logging_2305/tillsynsmail/A 28676-2025 tillsynsbegäran mail.docx", "A 28676-2025")</f>
        <v/>
      </c>
    </row>
    <row r="275" ht="15" customHeight="1">
      <c r="A275" t="inlineStr">
        <is>
          <t>A 44934-2025</t>
        </is>
      </c>
      <c r="B275" s="1" t="n">
        <v>45918.5737962963</v>
      </c>
      <c r="C275" s="1" t="n">
        <v>46034</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55931-2023</t>
        </is>
      </c>
      <c r="B276" s="1" t="n">
        <v>45239</v>
      </c>
      <c r="C276" s="1" t="n">
        <v>46034</v>
      </c>
      <c r="D276" t="inlineStr">
        <is>
          <t>JÄMTLANDS LÄN</t>
        </is>
      </c>
      <c r="E276" t="inlineStr">
        <is>
          <t>BRÄCKE</t>
        </is>
      </c>
      <c r="F276" t="inlineStr">
        <is>
          <t>Kyrkan</t>
        </is>
      </c>
      <c r="G276" t="n">
        <v>1.2</v>
      </c>
      <c r="H276" t="n">
        <v>0</v>
      </c>
      <c r="I276" t="n">
        <v>0</v>
      </c>
      <c r="J276" t="n">
        <v>1</v>
      </c>
      <c r="K276" t="n">
        <v>0</v>
      </c>
      <c r="L276" t="n">
        <v>0</v>
      </c>
      <c r="M276" t="n">
        <v>0</v>
      </c>
      <c r="N276" t="n">
        <v>0</v>
      </c>
      <c r="O276" t="n">
        <v>1</v>
      </c>
      <c r="P276" t="n">
        <v>0</v>
      </c>
      <c r="Q276" t="n">
        <v>1</v>
      </c>
      <c r="R276" s="2" t="inlineStr">
        <is>
          <t>Harticka</t>
        </is>
      </c>
      <c r="S276">
        <f>HYPERLINK("https://klasma.github.io/Logging_2305/artfynd/A 55931-2023 artfynd.xlsx", "A 55931-2023")</f>
        <v/>
      </c>
      <c r="T276">
        <f>HYPERLINK("https://klasma.github.io/Logging_2305/kartor/A 55931-2023 karta.png", "A 55931-2023")</f>
        <v/>
      </c>
      <c r="V276">
        <f>HYPERLINK("https://klasma.github.io/Logging_2305/klagomål/A 55931-2023 FSC-klagomål.docx", "A 55931-2023")</f>
        <v/>
      </c>
      <c r="W276">
        <f>HYPERLINK("https://klasma.github.io/Logging_2305/klagomålsmail/A 55931-2023 FSC-klagomål mail.docx", "A 55931-2023")</f>
        <v/>
      </c>
      <c r="X276">
        <f>HYPERLINK("https://klasma.github.io/Logging_2305/tillsyn/A 55931-2023 tillsynsbegäran.docx", "A 55931-2023")</f>
        <v/>
      </c>
      <c r="Y276">
        <f>HYPERLINK("https://klasma.github.io/Logging_2305/tillsynsmail/A 55931-2023 tillsynsbegäran mail.docx", "A 55931-2023")</f>
        <v/>
      </c>
    </row>
    <row r="277" ht="15" customHeight="1">
      <c r="A277" t="inlineStr">
        <is>
          <t>A 44872-2025</t>
        </is>
      </c>
      <c r="B277" s="1" t="n">
        <v>45918.46957175926</v>
      </c>
      <c r="C277" s="1" t="n">
        <v>46034</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46435-2025</t>
        </is>
      </c>
      <c r="B278" s="1" t="n">
        <v>45925.63583333333</v>
      </c>
      <c r="C278" s="1" t="n">
        <v>46034</v>
      </c>
      <c r="D278" t="inlineStr">
        <is>
          <t>JÄMTLANDS LÄN</t>
        </is>
      </c>
      <c r="E278" t="inlineStr">
        <is>
          <t>BRÄCKE</t>
        </is>
      </c>
      <c r="F278" t="inlineStr">
        <is>
          <t>SCA</t>
        </is>
      </c>
      <c r="G278" t="n">
        <v>4</v>
      </c>
      <c r="H278" t="n">
        <v>0</v>
      </c>
      <c r="I278" t="n">
        <v>0</v>
      </c>
      <c r="J278" t="n">
        <v>1</v>
      </c>
      <c r="K278" t="n">
        <v>0</v>
      </c>
      <c r="L278" t="n">
        <v>0</v>
      </c>
      <c r="M278" t="n">
        <v>0</v>
      </c>
      <c r="N278" t="n">
        <v>0</v>
      </c>
      <c r="O278" t="n">
        <v>1</v>
      </c>
      <c r="P278" t="n">
        <v>0</v>
      </c>
      <c r="Q278" t="n">
        <v>1</v>
      </c>
      <c r="R278" s="2" t="inlineStr">
        <is>
          <t>Motaggsvamp</t>
        </is>
      </c>
      <c r="S278">
        <f>HYPERLINK("https://klasma.github.io/Logging_2305/artfynd/A 46435-2025 artfynd.xlsx", "A 46435-2025")</f>
        <v/>
      </c>
      <c r="T278">
        <f>HYPERLINK("https://klasma.github.io/Logging_2305/kartor/A 46435-2025 karta.png", "A 46435-2025")</f>
        <v/>
      </c>
      <c r="V278">
        <f>HYPERLINK("https://klasma.github.io/Logging_2305/klagomål/A 46435-2025 FSC-klagomål.docx", "A 46435-2025")</f>
        <v/>
      </c>
      <c r="W278">
        <f>HYPERLINK("https://klasma.github.io/Logging_2305/klagomålsmail/A 46435-2025 FSC-klagomål mail.docx", "A 46435-2025")</f>
        <v/>
      </c>
      <c r="X278">
        <f>HYPERLINK("https://klasma.github.io/Logging_2305/tillsyn/A 46435-2025 tillsynsbegäran.docx", "A 46435-2025")</f>
        <v/>
      </c>
      <c r="Y278">
        <f>HYPERLINK("https://klasma.github.io/Logging_2305/tillsynsmail/A 46435-2025 tillsynsbegäran mail.docx", "A 46435-2025")</f>
        <v/>
      </c>
    </row>
    <row r="279" ht="15" customHeight="1">
      <c r="A279" t="inlineStr">
        <is>
          <t>A 46626-2025</t>
        </is>
      </c>
      <c r="B279" s="1" t="n">
        <v>45926.4487037037</v>
      </c>
      <c r="C279" s="1" t="n">
        <v>46034</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15076-2022</t>
        </is>
      </c>
      <c r="B280" s="1" t="n">
        <v>44657</v>
      </c>
      <c r="C280" s="1" t="n">
        <v>46034</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31450-2025</t>
        </is>
      </c>
      <c r="B281" s="1" t="n">
        <v>45833.53162037037</v>
      </c>
      <c r="C281" s="1" t="n">
        <v>46034</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19431-2021</t>
        </is>
      </c>
      <c r="B282" s="1" t="n">
        <v>44309</v>
      </c>
      <c r="C282" s="1" t="n">
        <v>46034</v>
      </c>
      <c r="D282" t="inlineStr">
        <is>
          <t>JÄMTLANDS LÄN</t>
        </is>
      </c>
      <c r="E282" t="inlineStr">
        <is>
          <t>BRÄCKE</t>
        </is>
      </c>
      <c r="G282" t="n">
        <v>4.8</v>
      </c>
      <c r="H282" t="n">
        <v>1</v>
      </c>
      <c r="I282" t="n">
        <v>0</v>
      </c>
      <c r="J282" t="n">
        <v>1</v>
      </c>
      <c r="K282" t="n">
        <v>0</v>
      </c>
      <c r="L282" t="n">
        <v>0</v>
      </c>
      <c r="M282" t="n">
        <v>0</v>
      </c>
      <c r="N282" t="n">
        <v>0</v>
      </c>
      <c r="O282" t="n">
        <v>1</v>
      </c>
      <c r="P282" t="n">
        <v>0</v>
      </c>
      <c r="Q282" t="n">
        <v>1</v>
      </c>
      <c r="R282" s="2" t="inlineStr">
        <is>
          <t>Utter</t>
        </is>
      </c>
      <c r="S282">
        <f>HYPERLINK("https://klasma.github.io/Logging_2305/artfynd/A 19431-2021 artfynd.xlsx", "A 19431-2021")</f>
        <v/>
      </c>
      <c r="T282">
        <f>HYPERLINK("https://klasma.github.io/Logging_2305/kartor/A 19431-2021 karta.png", "A 19431-2021")</f>
        <v/>
      </c>
      <c r="V282">
        <f>HYPERLINK("https://klasma.github.io/Logging_2305/klagomål/A 19431-2021 FSC-klagomål.docx", "A 19431-2021")</f>
        <v/>
      </c>
      <c r="W282">
        <f>HYPERLINK("https://klasma.github.io/Logging_2305/klagomålsmail/A 19431-2021 FSC-klagomål mail.docx", "A 19431-2021")</f>
        <v/>
      </c>
      <c r="X282">
        <f>HYPERLINK("https://klasma.github.io/Logging_2305/tillsyn/A 19431-2021 tillsynsbegäran.docx", "A 19431-2021")</f>
        <v/>
      </c>
      <c r="Y282">
        <f>HYPERLINK("https://klasma.github.io/Logging_2305/tillsynsmail/A 19431-2021 tillsynsbegäran mail.docx", "A 19431-2021")</f>
        <v/>
      </c>
    </row>
    <row r="283" ht="15" customHeight="1">
      <c r="A283" t="inlineStr">
        <is>
          <t>A 12525-2025</t>
        </is>
      </c>
      <c r="B283" s="1" t="n">
        <v>45730.67770833334</v>
      </c>
      <c r="C283" s="1" t="n">
        <v>46034</v>
      </c>
      <c r="D283" t="inlineStr">
        <is>
          <t>JÄMTLANDS LÄN</t>
        </is>
      </c>
      <c r="E283" t="inlineStr">
        <is>
          <t>BRÄCKE</t>
        </is>
      </c>
      <c r="F283" t="inlineStr">
        <is>
          <t>SCA</t>
        </is>
      </c>
      <c r="G283" t="n">
        <v>3.5</v>
      </c>
      <c r="H283" t="n">
        <v>1</v>
      </c>
      <c r="I283" t="n">
        <v>0</v>
      </c>
      <c r="J283" t="n">
        <v>0</v>
      </c>
      <c r="K283" t="n">
        <v>0</v>
      </c>
      <c r="L283" t="n">
        <v>0</v>
      </c>
      <c r="M283" t="n">
        <v>0</v>
      </c>
      <c r="N283" t="n">
        <v>0</v>
      </c>
      <c r="O283" t="n">
        <v>0</v>
      </c>
      <c r="P283" t="n">
        <v>0</v>
      </c>
      <c r="Q283" t="n">
        <v>1</v>
      </c>
      <c r="R283" s="2" t="inlineStr">
        <is>
          <t>Fläcknycklar</t>
        </is>
      </c>
      <c r="S283">
        <f>HYPERLINK("https://klasma.github.io/Logging_2305/artfynd/A 12525-2025 artfynd.xlsx", "A 12525-2025")</f>
        <v/>
      </c>
      <c r="T283">
        <f>HYPERLINK("https://klasma.github.io/Logging_2305/kartor/A 12525-2025 karta.png", "A 12525-2025")</f>
        <v/>
      </c>
      <c r="V283">
        <f>HYPERLINK("https://klasma.github.io/Logging_2305/klagomål/A 12525-2025 FSC-klagomål.docx", "A 12525-2025")</f>
        <v/>
      </c>
      <c r="W283">
        <f>HYPERLINK("https://klasma.github.io/Logging_2305/klagomålsmail/A 12525-2025 FSC-klagomål mail.docx", "A 12525-2025")</f>
        <v/>
      </c>
      <c r="X283">
        <f>HYPERLINK("https://klasma.github.io/Logging_2305/tillsyn/A 12525-2025 tillsynsbegäran.docx", "A 12525-2025")</f>
        <v/>
      </c>
      <c r="Y283">
        <f>HYPERLINK("https://klasma.github.io/Logging_2305/tillsynsmail/A 12525-2025 tillsynsbegäran mail.docx", "A 12525-2025")</f>
        <v/>
      </c>
    </row>
    <row r="284" ht="15" customHeight="1">
      <c r="A284" t="inlineStr">
        <is>
          <t>A 48289-2025</t>
        </is>
      </c>
      <c r="B284" s="1" t="n">
        <v>45933.59482638889</v>
      </c>
      <c r="C284" s="1" t="n">
        <v>46034</v>
      </c>
      <c r="D284" t="inlineStr">
        <is>
          <t>JÄMTLANDS LÄN</t>
        </is>
      </c>
      <c r="E284" t="inlineStr">
        <is>
          <t>BRÄCKE</t>
        </is>
      </c>
      <c r="F284" t="inlineStr">
        <is>
          <t>SCA</t>
        </is>
      </c>
      <c r="G284" t="n">
        <v>10.9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48289-2025 artfynd.xlsx", "A 48289-2025")</f>
        <v/>
      </c>
      <c r="T284">
        <f>HYPERLINK("https://klasma.github.io/Logging_2305/kartor/A 48289-2025 karta.png", "A 48289-2025")</f>
        <v/>
      </c>
      <c r="V284">
        <f>HYPERLINK("https://klasma.github.io/Logging_2305/klagomål/A 48289-2025 FSC-klagomål.docx", "A 48289-2025")</f>
        <v/>
      </c>
      <c r="W284">
        <f>HYPERLINK("https://klasma.github.io/Logging_2305/klagomålsmail/A 48289-2025 FSC-klagomål mail.docx", "A 48289-2025")</f>
        <v/>
      </c>
      <c r="X284">
        <f>HYPERLINK("https://klasma.github.io/Logging_2305/tillsyn/A 48289-2025 tillsynsbegäran.docx", "A 48289-2025")</f>
        <v/>
      </c>
      <c r="Y284">
        <f>HYPERLINK("https://klasma.github.io/Logging_2305/tillsynsmail/A 48289-2025 tillsynsbegäran mail.docx", "A 48289-2025")</f>
        <v/>
      </c>
    </row>
    <row r="285" ht="15" customHeight="1">
      <c r="A285" t="inlineStr">
        <is>
          <t>A 34226-2025</t>
        </is>
      </c>
      <c r="B285" s="1" t="n">
        <v>45845.656875</v>
      </c>
      <c r="C285" s="1" t="n">
        <v>46034</v>
      </c>
      <c r="D285" t="inlineStr">
        <is>
          <t>JÄMTLANDS LÄN</t>
        </is>
      </c>
      <c r="E285" t="inlineStr">
        <is>
          <t>BRÄCKE</t>
        </is>
      </c>
      <c r="F285" t="inlineStr">
        <is>
          <t>SCA</t>
        </is>
      </c>
      <c r="G285" t="n">
        <v>9</v>
      </c>
      <c r="H285" t="n">
        <v>1</v>
      </c>
      <c r="I285" t="n">
        <v>0</v>
      </c>
      <c r="J285" t="n">
        <v>1</v>
      </c>
      <c r="K285" t="n">
        <v>0</v>
      </c>
      <c r="L285" t="n">
        <v>0</v>
      </c>
      <c r="M285" t="n">
        <v>0</v>
      </c>
      <c r="N285" t="n">
        <v>0</v>
      </c>
      <c r="O285" t="n">
        <v>1</v>
      </c>
      <c r="P285" t="n">
        <v>0</v>
      </c>
      <c r="Q285" t="n">
        <v>1</v>
      </c>
      <c r="R285" s="2" t="inlineStr">
        <is>
          <t>Talltita</t>
        </is>
      </c>
      <c r="S285">
        <f>HYPERLINK("https://klasma.github.io/Logging_2305/artfynd/A 34226-2025 artfynd.xlsx", "A 34226-2025")</f>
        <v/>
      </c>
      <c r="T285">
        <f>HYPERLINK("https://klasma.github.io/Logging_2305/kartor/A 34226-2025 karta.png", "A 34226-2025")</f>
        <v/>
      </c>
      <c r="V285">
        <f>HYPERLINK("https://klasma.github.io/Logging_2305/klagomål/A 34226-2025 FSC-klagomål.docx", "A 34226-2025")</f>
        <v/>
      </c>
      <c r="W285">
        <f>HYPERLINK("https://klasma.github.io/Logging_2305/klagomålsmail/A 34226-2025 FSC-klagomål mail.docx", "A 34226-2025")</f>
        <v/>
      </c>
      <c r="X285">
        <f>HYPERLINK("https://klasma.github.io/Logging_2305/tillsyn/A 34226-2025 tillsynsbegäran.docx", "A 34226-2025")</f>
        <v/>
      </c>
      <c r="Y285">
        <f>HYPERLINK("https://klasma.github.io/Logging_2305/tillsynsmail/A 34226-2025 tillsynsbegäran mail.docx", "A 34226-2025")</f>
        <v/>
      </c>
      <c r="Z285">
        <f>HYPERLINK("https://klasma.github.io/Logging_2305/fåglar/A 34226-2025 prioriterade fågelarter.docx", "A 34226-2025")</f>
        <v/>
      </c>
    </row>
    <row r="286" ht="15" customHeight="1">
      <c r="A286" t="inlineStr">
        <is>
          <t>A 34911-2025</t>
        </is>
      </c>
      <c r="B286" s="1" t="n">
        <v>45849.53545138889</v>
      </c>
      <c r="C286" s="1" t="n">
        <v>46034</v>
      </c>
      <c r="D286" t="inlineStr">
        <is>
          <t>JÄMTLANDS LÄN</t>
        </is>
      </c>
      <c r="E286" t="inlineStr">
        <is>
          <t>BRÄCKE</t>
        </is>
      </c>
      <c r="F286" t="inlineStr">
        <is>
          <t>Sveaskog</t>
        </is>
      </c>
      <c r="G286" t="n">
        <v>7.2</v>
      </c>
      <c r="H286" t="n">
        <v>1</v>
      </c>
      <c r="I286" t="n">
        <v>1</v>
      </c>
      <c r="J286" t="n">
        <v>0</v>
      </c>
      <c r="K286" t="n">
        <v>0</v>
      </c>
      <c r="L286" t="n">
        <v>0</v>
      </c>
      <c r="M286" t="n">
        <v>0</v>
      </c>
      <c r="N286" t="n">
        <v>0</v>
      </c>
      <c r="O286" t="n">
        <v>0</v>
      </c>
      <c r="P286" t="n">
        <v>0</v>
      </c>
      <c r="Q286" t="n">
        <v>1</v>
      </c>
      <c r="R286" s="2" t="inlineStr">
        <is>
          <t>Guckusko</t>
        </is>
      </c>
      <c r="S286">
        <f>HYPERLINK("https://klasma.github.io/Logging_2305/artfynd/A 34911-2025 artfynd.xlsx", "A 34911-2025")</f>
        <v/>
      </c>
      <c r="T286">
        <f>HYPERLINK("https://klasma.github.io/Logging_2305/kartor/A 34911-2025 karta.png", "A 34911-2025")</f>
        <v/>
      </c>
      <c r="V286">
        <f>HYPERLINK("https://klasma.github.io/Logging_2305/klagomål/A 34911-2025 FSC-klagomål.docx", "A 34911-2025")</f>
        <v/>
      </c>
      <c r="W286">
        <f>HYPERLINK("https://klasma.github.io/Logging_2305/klagomålsmail/A 34911-2025 FSC-klagomål mail.docx", "A 34911-2025")</f>
        <v/>
      </c>
      <c r="X286">
        <f>HYPERLINK("https://klasma.github.io/Logging_2305/tillsyn/A 34911-2025 tillsynsbegäran.docx", "A 34911-2025")</f>
        <v/>
      </c>
      <c r="Y286">
        <f>HYPERLINK("https://klasma.github.io/Logging_2305/tillsynsmail/A 34911-2025 tillsynsbegäran mail.docx", "A 34911-2025")</f>
        <v/>
      </c>
    </row>
    <row r="287" ht="15" customHeight="1">
      <c r="A287" t="inlineStr">
        <is>
          <t>A 35210-2025</t>
        </is>
      </c>
      <c r="B287" s="1" t="n">
        <v>45853.44842592593</v>
      </c>
      <c r="C287" s="1" t="n">
        <v>46034</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46034</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46034</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61187-2025</t>
        </is>
      </c>
      <c r="B290" s="1" t="n">
        <v>46000.5865625</v>
      </c>
      <c r="C290" s="1" t="n">
        <v>46034</v>
      </c>
      <c r="D290" t="inlineStr">
        <is>
          <t>JÄMTLANDS LÄN</t>
        </is>
      </c>
      <c r="E290" t="inlineStr">
        <is>
          <t>BRÄCKE</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HYPERLINK("https://klasma.github.io/Logging_2305/artfynd/A 61187-2025 artfynd.xlsx", "A 61187-2025")</f>
        <v/>
      </c>
      <c r="T290">
        <f>HYPERLINK("https://klasma.github.io/Logging_2305/kartor/A 61187-2025 karta.png", "A 61187-2025")</f>
        <v/>
      </c>
      <c r="U290">
        <f>HYPERLINK("https://klasma.github.io/Logging_2305/knärot/A 61187-2025 karta knärot.png", "A 61187-2025")</f>
        <v/>
      </c>
      <c r="V290">
        <f>HYPERLINK("https://klasma.github.io/Logging_2305/klagomål/A 61187-2025 FSC-klagomål.docx", "A 61187-2025")</f>
        <v/>
      </c>
      <c r="W290">
        <f>HYPERLINK("https://klasma.github.io/Logging_2305/klagomålsmail/A 61187-2025 FSC-klagomål mail.docx", "A 61187-2025")</f>
        <v/>
      </c>
      <c r="X290">
        <f>HYPERLINK("https://klasma.github.io/Logging_2305/tillsyn/A 61187-2025 tillsynsbegäran.docx", "A 61187-2025")</f>
        <v/>
      </c>
      <c r="Y290">
        <f>HYPERLINK("https://klasma.github.io/Logging_2305/tillsynsmail/A 61187-2025 tillsynsbegäran mail.docx", "A 61187-2025")</f>
        <v/>
      </c>
      <c r="Z290">
        <f>HYPERLINK("https://klasma.github.io/Logging_2305/fåglar/A 61187-2025 prioriterade fågelarter.docx", "A 61187-2025")</f>
        <v/>
      </c>
    </row>
    <row r="291" ht="15" customHeight="1">
      <c r="A291" t="inlineStr">
        <is>
          <t>A 29215-2024</t>
        </is>
      </c>
      <c r="B291" s="1" t="n">
        <v>45482.67827546296</v>
      </c>
      <c r="C291" s="1" t="n">
        <v>46034</v>
      </c>
      <c r="D291" t="inlineStr">
        <is>
          <t>JÄMTLANDS LÄN</t>
        </is>
      </c>
      <c r="E291" t="inlineStr">
        <is>
          <t>BRÄCKE</t>
        </is>
      </c>
      <c r="F291" t="inlineStr">
        <is>
          <t>Övriga Aktiebolag</t>
        </is>
      </c>
      <c r="G291" t="n">
        <v>7.3</v>
      </c>
      <c r="H291" t="n">
        <v>1</v>
      </c>
      <c r="I291" t="n">
        <v>0</v>
      </c>
      <c r="J291" t="n">
        <v>0</v>
      </c>
      <c r="K291" t="n">
        <v>0</v>
      </c>
      <c r="L291" t="n">
        <v>0</v>
      </c>
      <c r="M291" t="n">
        <v>0</v>
      </c>
      <c r="N291" t="n">
        <v>0</v>
      </c>
      <c r="O291" t="n">
        <v>0</v>
      </c>
      <c r="P291" t="n">
        <v>0</v>
      </c>
      <c r="Q291" t="n">
        <v>1</v>
      </c>
      <c r="R291" s="2" t="inlineStr">
        <is>
          <t>Sparvuggla</t>
        </is>
      </c>
      <c r="S291">
        <f>HYPERLINK("https://klasma.github.io/Logging_2305/artfynd/A 29215-2024 artfynd.xlsx", "A 29215-2024")</f>
        <v/>
      </c>
      <c r="T291">
        <f>HYPERLINK("https://klasma.github.io/Logging_2305/kartor/A 29215-2024 karta.png", "A 29215-2024")</f>
        <v/>
      </c>
      <c r="V291">
        <f>HYPERLINK("https://klasma.github.io/Logging_2305/klagomål/A 29215-2024 FSC-klagomål.docx", "A 29215-2024")</f>
        <v/>
      </c>
      <c r="W291">
        <f>HYPERLINK("https://klasma.github.io/Logging_2305/klagomålsmail/A 29215-2024 FSC-klagomål mail.docx", "A 29215-2024")</f>
        <v/>
      </c>
      <c r="X291">
        <f>HYPERLINK("https://klasma.github.io/Logging_2305/tillsyn/A 29215-2024 tillsynsbegäran.docx", "A 29215-2024")</f>
        <v/>
      </c>
      <c r="Y291">
        <f>HYPERLINK("https://klasma.github.io/Logging_2305/tillsynsmail/A 29215-2024 tillsynsbegäran mail.docx", "A 29215-2024")</f>
        <v/>
      </c>
      <c r="Z291">
        <f>HYPERLINK("https://klasma.github.io/Logging_2305/fåglar/A 29215-2024 prioriterade fågelarter.docx", "A 29215-2024")</f>
        <v/>
      </c>
    </row>
    <row r="292" ht="15" customHeight="1">
      <c r="A292" t="inlineStr">
        <is>
          <t>A 789-2025</t>
        </is>
      </c>
      <c r="B292" s="1" t="n">
        <v>45665.51072916666</v>
      </c>
      <c r="C292" s="1" t="n">
        <v>46034</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9204-2025</t>
        </is>
      </c>
      <c r="B293" s="1" t="n">
        <v>45714.48988425926</v>
      </c>
      <c r="C293" s="1" t="n">
        <v>46034</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22101-2024</t>
        </is>
      </c>
      <c r="B294" s="1" t="n">
        <v>45443.95077546296</v>
      </c>
      <c r="C294" s="1" t="n">
        <v>46034</v>
      </c>
      <c r="D294" t="inlineStr">
        <is>
          <t>JÄMTLANDS LÄN</t>
        </is>
      </c>
      <c r="E294" t="inlineStr">
        <is>
          <t>BRÄCKE</t>
        </is>
      </c>
      <c r="F294" t="inlineStr">
        <is>
          <t>SCA</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HYPERLINK("https://klasma.github.io/Logging_2305/artfynd/A 22101-2024 artfynd.xlsx", "A 22101-2024")</f>
        <v/>
      </c>
      <c r="T294">
        <f>HYPERLINK("https://klasma.github.io/Logging_2305/kartor/A 22101-2024 karta.png", "A 22101-2024")</f>
        <v/>
      </c>
      <c r="V294">
        <f>HYPERLINK("https://klasma.github.io/Logging_2305/klagomål/A 22101-2024 FSC-klagomål.docx", "A 22101-2024")</f>
        <v/>
      </c>
      <c r="W294">
        <f>HYPERLINK("https://klasma.github.io/Logging_2305/klagomålsmail/A 22101-2024 FSC-klagomål mail.docx", "A 22101-2024")</f>
        <v/>
      </c>
      <c r="X294">
        <f>HYPERLINK("https://klasma.github.io/Logging_2305/tillsyn/A 22101-2024 tillsynsbegäran.docx", "A 22101-2024")</f>
        <v/>
      </c>
      <c r="Y294">
        <f>HYPERLINK("https://klasma.github.io/Logging_2305/tillsynsmail/A 22101-2024 tillsynsbegäran mail.docx", "A 22101-2024")</f>
        <v/>
      </c>
    </row>
    <row r="295" ht="15" customHeight="1">
      <c r="A295" t="inlineStr">
        <is>
          <t>A 37248-2025</t>
        </is>
      </c>
      <c r="B295" s="1" t="n">
        <v>45876.40665509259</v>
      </c>
      <c r="C295" s="1" t="n">
        <v>46034</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46034</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50837-2023</t>
        </is>
      </c>
      <c r="B297" s="1" t="n">
        <v>45217</v>
      </c>
      <c r="C297" s="1" t="n">
        <v>46034</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37976-2025</t>
        </is>
      </c>
      <c r="B298" s="1" t="n">
        <v>45881.67775462963</v>
      </c>
      <c r="C298" s="1" t="n">
        <v>46034</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427-2025</t>
        </is>
      </c>
      <c r="B299" s="1" t="n">
        <v>45664.35195601852</v>
      </c>
      <c r="C299" s="1" t="n">
        <v>46034</v>
      </c>
      <c r="D299" t="inlineStr">
        <is>
          <t>JÄMTLANDS LÄN</t>
        </is>
      </c>
      <c r="E299" t="inlineStr">
        <is>
          <t>BRÄCKE</t>
        </is>
      </c>
      <c r="G299" t="n">
        <v>1.2</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427-2025 artfynd.xlsx", "A 427-2025")</f>
        <v/>
      </c>
      <c r="T299">
        <f>HYPERLINK("https://klasma.github.io/Logging_2305/kartor/A 427-2025 karta.png", "A 427-2025")</f>
        <v/>
      </c>
      <c r="V299">
        <f>HYPERLINK("https://klasma.github.io/Logging_2305/klagomål/A 427-2025 FSC-klagomål.docx", "A 427-2025")</f>
        <v/>
      </c>
      <c r="W299">
        <f>HYPERLINK("https://klasma.github.io/Logging_2305/klagomålsmail/A 427-2025 FSC-klagomål mail.docx", "A 427-2025")</f>
        <v/>
      </c>
      <c r="X299">
        <f>HYPERLINK("https://klasma.github.io/Logging_2305/tillsyn/A 427-2025 tillsynsbegäran.docx", "A 427-2025")</f>
        <v/>
      </c>
      <c r="Y299">
        <f>HYPERLINK("https://klasma.github.io/Logging_2305/tillsynsmail/A 427-2025 tillsynsbegäran mail.docx", "A 427-2025")</f>
        <v/>
      </c>
    </row>
    <row r="300" ht="15" customHeight="1">
      <c r="A300" t="inlineStr">
        <is>
          <t>A 38158-2025</t>
        </is>
      </c>
      <c r="B300" s="1" t="n">
        <v>45882.61518518518</v>
      </c>
      <c r="C300" s="1" t="n">
        <v>46034</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62541-2025</t>
        </is>
      </c>
      <c r="B301" s="1" t="n">
        <v>46007.64665509259</v>
      </c>
      <c r="C301" s="1" t="n">
        <v>46034</v>
      </c>
      <c r="D301" t="inlineStr">
        <is>
          <t>JÄMTLANDS LÄN</t>
        </is>
      </c>
      <c r="E301" t="inlineStr">
        <is>
          <t>BRÄCKE</t>
        </is>
      </c>
      <c r="G301" t="n">
        <v>14.5</v>
      </c>
      <c r="H301" t="n">
        <v>1</v>
      </c>
      <c r="I301" t="n">
        <v>0</v>
      </c>
      <c r="J301" t="n">
        <v>0</v>
      </c>
      <c r="K301" t="n">
        <v>1</v>
      </c>
      <c r="L301" t="n">
        <v>0</v>
      </c>
      <c r="M301" t="n">
        <v>0</v>
      </c>
      <c r="N301" t="n">
        <v>0</v>
      </c>
      <c r="O301" t="n">
        <v>1</v>
      </c>
      <c r="P301" t="n">
        <v>1</v>
      </c>
      <c r="Q301" t="n">
        <v>1</v>
      </c>
      <c r="R301" s="2" t="inlineStr">
        <is>
          <t>Doftticka</t>
        </is>
      </c>
      <c r="S301">
        <f>HYPERLINK("https://klasma.github.io/Logging_2305/artfynd/A 62541-2025 artfynd.xlsx", "A 62541-2025")</f>
        <v/>
      </c>
      <c r="T301">
        <f>HYPERLINK("https://klasma.github.io/Logging_2305/kartor/A 62541-2025 karta.png", "A 62541-2025")</f>
        <v/>
      </c>
      <c r="V301">
        <f>HYPERLINK("https://klasma.github.io/Logging_2305/klagomål/A 62541-2025 FSC-klagomål.docx", "A 62541-2025")</f>
        <v/>
      </c>
      <c r="W301">
        <f>HYPERLINK("https://klasma.github.io/Logging_2305/klagomålsmail/A 62541-2025 FSC-klagomål mail.docx", "A 62541-2025")</f>
        <v/>
      </c>
      <c r="X301">
        <f>HYPERLINK("https://klasma.github.io/Logging_2305/tillsyn/A 62541-2025 tillsynsbegäran.docx", "A 62541-2025")</f>
        <v/>
      </c>
      <c r="Y301">
        <f>HYPERLINK("https://klasma.github.io/Logging_2305/tillsynsmail/A 62541-2025 tillsynsbegäran mail.docx", "A 62541-2025")</f>
        <v/>
      </c>
    </row>
    <row r="302" ht="15" customHeight="1">
      <c r="A302" t="inlineStr">
        <is>
          <t>A 2463-2025</t>
        </is>
      </c>
      <c r="B302" s="1" t="n">
        <v>45674.46915509259</v>
      </c>
      <c r="C302" s="1" t="n">
        <v>46034</v>
      </c>
      <c r="D302" t="inlineStr">
        <is>
          <t>JÄMTLANDS LÄN</t>
        </is>
      </c>
      <c r="E302" t="inlineStr">
        <is>
          <t>BRÄCKE</t>
        </is>
      </c>
      <c r="F302" t="inlineStr">
        <is>
          <t>SCA</t>
        </is>
      </c>
      <c r="G302" t="n">
        <v>3.9</v>
      </c>
      <c r="H302" t="n">
        <v>0</v>
      </c>
      <c r="I302" t="n">
        <v>1</v>
      </c>
      <c r="J302" t="n">
        <v>0</v>
      </c>
      <c r="K302" t="n">
        <v>0</v>
      </c>
      <c r="L302" t="n">
        <v>0</v>
      </c>
      <c r="M302" t="n">
        <v>0</v>
      </c>
      <c r="N302" t="n">
        <v>0</v>
      </c>
      <c r="O302" t="n">
        <v>0</v>
      </c>
      <c r="P302" t="n">
        <v>0</v>
      </c>
      <c r="Q302" t="n">
        <v>1</v>
      </c>
      <c r="R302" s="2" t="inlineStr">
        <is>
          <t>Vedticka</t>
        </is>
      </c>
      <c r="S302">
        <f>HYPERLINK("https://klasma.github.io/Logging_2305/artfynd/A 2463-2025 artfynd.xlsx", "A 2463-2025")</f>
        <v/>
      </c>
      <c r="T302">
        <f>HYPERLINK("https://klasma.github.io/Logging_2305/kartor/A 2463-2025 karta.png", "A 2463-2025")</f>
        <v/>
      </c>
      <c r="V302">
        <f>HYPERLINK("https://klasma.github.io/Logging_2305/klagomål/A 2463-2025 FSC-klagomål.docx", "A 2463-2025")</f>
        <v/>
      </c>
      <c r="W302">
        <f>HYPERLINK("https://klasma.github.io/Logging_2305/klagomålsmail/A 2463-2025 FSC-klagomål mail.docx", "A 2463-2025")</f>
        <v/>
      </c>
      <c r="X302">
        <f>HYPERLINK("https://klasma.github.io/Logging_2305/tillsyn/A 2463-2025 tillsynsbegäran.docx", "A 2463-2025")</f>
        <v/>
      </c>
      <c r="Y302">
        <f>HYPERLINK("https://klasma.github.io/Logging_2305/tillsynsmail/A 2463-2025 tillsynsbegäran mail.docx", "A 2463-2025")</f>
        <v/>
      </c>
    </row>
    <row r="303" ht="15" customHeight="1">
      <c r="A303" t="inlineStr">
        <is>
          <t>A 49863-2022</t>
        </is>
      </c>
      <c r="B303" s="1" t="n">
        <v>44862</v>
      </c>
      <c r="C303" s="1" t="n">
        <v>46034</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57553-2024</t>
        </is>
      </c>
      <c r="B304" s="1" t="n">
        <v>45630.44898148148</v>
      </c>
      <c r="C304" s="1" t="n">
        <v>46034</v>
      </c>
      <c r="D304" t="inlineStr">
        <is>
          <t>JÄMTLANDS LÄN</t>
        </is>
      </c>
      <c r="E304" t="inlineStr">
        <is>
          <t>BRÄCKE</t>
        </is>
      </c>
      <c r="F304" t="inlineStr">
        <is>
          <t>SCA</t>
        </is>
      </c>
      <c r="G304" t="n">
        <v>8</v>
      </c>
      <c r="H304" t="n">
        <v>0</v>
      </c>
      <c r="I304" t="n">
        <v>0</v>
      </c>
      <c r="J304" t="n">
        <v>1</v>
      </c>
      <c r="K304" t="n">
        <v>0</v>
      </c>
      <c r="L304" t="n">
        <v>0</v>
      </c>
      <c r="M304" t="n">
        <v>0</v>
      </c>
      <c r="N304" t="n">
        <v>0</v>
      </c>
      <c r="O304" t="n">
        <v>1</v>
      </c>
      <c r="P304" t="n">
        <v>0</v>
      </c>
      <c r="Q304" t="n">
        <v>1</v>
      </c>
      <c r="R304" s="2" t="inlineStr">
        <is>
          <t>Lunglav</t>
        </is>
      </c>
      <c r="S304">
        <f>HYPERLINK("https://klasma.github.io/Logging_2305/artfynd/A 57553-2024 artfynd.xlsx", "A 57553-2024")</f>
        <v/>
      </c>
      <c r="T304">
        <f>HYPERLINK("https://klasma.github.io/Logging_2305/kartor/A 57553-2024 karta.png", "A 57553-2024")</f>
        <v/>
      </c>
      <c r="V304">
        <f>HYPERLINK("https://klasma.github.io/Logging_2305/klagomål/A 57553-2024 FSC-klagomål.docx", "A 57553-2024")</f>
        <v/>
      </c>
      <c r="W304">
        <f>HYPERLINK("https://klasma.github.io/Logging_2305/klagomålsmail/A 57553-2024 FSC-klagomål mail.docx", "A 57553-2024")</f>
        <v/>
      </c>
      <c r="X304">
        <f>HYPERLINK("https://klasma.github.io/Logging_2305/tillsyn/A 57553-2024 tillsynsbegäran.docx", "A 57553-2024")</f>
        <v/>
      </c>
      <c r="Y304">
        <f>HYPERLINK("https://klasma.github.io/Logging_2305/tillsynsmail/A 57553-2024 tillsynsbegäran mail.docx", "A 57553-2024")</f>
        <v/>
      </c>
    </row>
    <row r="305" ht="15" customHeight="1">
      <c r="A305" t="inlineStr">
        <is>
          <t>A 51910-2024</t>
        </is>
      </c>
      <c r="B305" s="1" t="n">
        <v>45607.59954861111</v>
      </c>
      <c r="C305" s="1" t="n">
        <v>46034</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12296-2025</t>
        </is>
      </c>
      <c r="B306" s="1" t="n">
        <v>45729.69829861111</v>
      </c>
      <c r="C306" s="1" t="n">
        <v>46034</v>
      </c>
      <c r="D306" t="inlineStr">
        <is>
          <t>JÄMTLANDS LÄN</t>
        </is>
      </c>
      <c r="E306" t="inlineStr">
        <is>
          <t>BRÄCKE</t>
        </is>
      </c>
      <c r="F306" t="inlineStr">
        <is>
          <t>SCA</t>
        </is>
      </c>
      <c r="G306" t="n">
        <v>2.2</v>
      </c>
      <c r="H306" t="n">
        <v>0</v>
      </c>
      <c r="I306" t="n">
        <v>0</v>
      </c>
      <c r="J306" t="n">
        <v>1</v>
      </c>
      <c r="K306" t="n">
        <v>0</v>
      </c>
      <c r="L306" t="n">
        <v>0</v>
      </c>
      <c r="M306" t="n">
        <v>0</v>
      </c>
      <c r="N306" t="n">
        <v>0</v>
      </c>
      <c r="O306" t="n">
        <v>1</v>
      </c>
      <c r="P306" t="n">
        <v>0</v>
      </c>
      <c r="Q306" t="n">
        <v>1</v>
      </c>
      <c r="R306" s="2" t="inlineStr">
        <is>
          <t>Lunglav</t>
        </is>
      </c>
      <c r="S306">
        <f>HYPERLINK("https://klasma.github.io/Logging_2305/artfynd/A 12296-2025 artfynd.xlsx", "A 12296-2025")</f>
        <v/>
      </c>
      <c r="T306">
        <f>HYPERLINK("https://klasma.github.io/Logging_2305/kartor/A 12296-2025 karta.png", "A 12296-2025")</f>
        <v/>
      </c>
      <c r="V306">
        <f>HYPERLINK("https://klasma.github.io/Logging_2305/klagomål/A 12296-2025 FSC-klagomål.docx", "A 12296-2025")</f>
        <v/>
      </c>
      <c r="W306">
        <f>HYPERLINK("https://klasma.github.io/Logging_2305/klagomålsmail/A 12296-2025 FSC-klagomål mail.docx", "A 12296-2025")</f>
        <v/>
      </c>
      <c r="X306">
        <f>HYPERLINK("https://klasma.github.io/Logging_2305/tillsyn/A 12296-2025 tillsynsbegäran.docx", "A 12296-2025")</f>
        <v/>
      </c>
      <c r="Y306">
        <f>HYPERLINK("https://klasma.github.io/Logging_2305/tillsynsmail/A 12296-2025 tillsynsbegäran mail.docx", "A 12296-2025")</f>
        <v/>
      </c>
    </row>
    <row r="307" ht="15" customHeight="1">
      <c r="A307" t="inlineStr">
        <is>
          <t>A 15366-2022</t>
        </is>
      </c>
      <c r="B307" s="1" t="n">
        <v>44659</v>
      </c>
      <c r="C307" s="1" t="n">
        <v>46034</v>
      </c>
      <c r="D307" t="inlineStr">
        <is>
          <t>JÄMTLANDS LÄN</t>
        </is>
      </c>
      <c r="E307" t="inlineStr">
        <is>
          <t>BRÄCKE</t>
        </is>
      </c>
      <c r="G307" t="n">
        <v>3.3</v>
      </c>
      <c r="H307" t="n">
        <v>1</v>
      </c>
      <c r="I307" t="n">
        <v>0</v>
      </c>
      <c r="J307" t="n">
        <v>0</v>
      </c>
      <c r="K307" t="n">
        <v>0</v>
      </c>
      <c r="L307" t="n">
        <v>0</v>
      </c>
      <c r="M307" t="n">
        <v>0</v>
      </c>
      <c r="N307" t="n">
        <v>0</v>
      </c>
      <c r="O307" t="n">
        <v>0</v>
      </c>
      <c r="P307" t="n">
        <v>0</v>
      </c>
      <c r="Q307" t="n">
        <v>1</v>
      </c>
      <c r="R307" s="2" t="inlineStr">
        <is>
          <t>Brudsporre</t>
        </is>
      </c>
      <c r="S307">
        <f>HYPERLINK("https://klasma.github.io/Logging_2305/artfynd/A 15366-2022 artfynd.xlsx", "A 15366-2022")</f>
        <v/>
      </c>
      <c r="T307">
        <f>HYPERLINK("https://klasma.github.io/Logging_2305/kartor/A 15366-2022 karta.png", "A 15366-2022")</f>
        <v/>
      </c>
      <c r="V307">
        <f>HYPERLINK("https://klasma.github.io/Logging_2305/klagomål/A 15366-2022 FSC-klagomål.docx", "A 15366-2022")</f>
        <v/>
      </c>
      <c r="W307">
        <f>HYPERLINK("https://klasma.github.io/Logging_2305/klagomålsmail/A 15366-2022 FSC-klagomål mail.docx", "A 15366-2022")</f>
        <v/>
      </c>
      <c r="X307">
        <f>HYPERLINK("https://klasma.github.io/Logging_2305/tillsyn/A 15366-2022 tillsynsbegäran.docx", "A 15366-2022")</f>
        <v/>
      </c>
      <c r="Y307">
        <f>HYPERLINK("https://klasma.github.io/Logging_2305/tillsynsmail/A 15366-2022 tillsynsbegäran mail.docx", "A 15366-2022")</f>
        <v/>
      </c>
    </row>
    <row r="308" ht="15" customHeight="1">
      <c r="A308" t="inlineStr">
        <is>
          <t>A 9816-2024</t>
        </is>
      </c>
      <c r="B308" s="1" t="n">
        <v>45363.04525462963</v>
      </c>
      <c r="C308" s="1" t="n">
        <v>46034</v>
      </c>
      <c r="D308" t="inlineStr">
        <is>
          <t>JÄMTLANDS LÄN</t>
        </is>
      </c>
      <c r="E308" t="inlineStr">
        <is>
          <t>BRÄCKE</t>
        </is>
      </c>
      <c r="F308" t="inlineStr">
        <is>
          <t>SCA</t>
        </is>
      </c>
      <c r="G308" t="n">
        <v>2.1</v>
      </c>
      <c r="H308" t="n">
        <v>1</v>
      </c>
      <c r="I308" t="n">
        <v>0</v>
      </c>
      <c r="J308" t="n">
        <v>0</v>
      </c>
      <c r="K308" t="n">
        <v>1</v>
      </c>
      <c r="L308" t="n">
        <v>0</v>
      </c>
      <c r="M308" t="n">
        <v>0</v>
      </c>
      <c r="N308" t="n">
        <v>0</v>
      </c>
      <c r="O308" t="n">
        <v>1</v>
      </c>
      <c r="P308" t="n">
        <v>1</v>
      </c>
      <c r="Q308" t="n">
        <v>1</v>
      </c>
      <c r="R308" s="2" t="inlineStr">
        <is>
          <t>Knärot</t>
        </is>
      </c>
      <c r="S308">
        <f>HYPERLINK("https://klasma.github.io/Logging_2305/artfynd/A 9816-2024 artfynd.xlsx", "A 9816-2024")</f>
        <v/>
      </c>
      <c r="T308">
        <f>HYPERLINK("https://klasma.github.io/Logging_2305/kartor/A 9816-2024 karta.png", "A 9816-2024")</f>
        <v/>
      </c>
      <c r="U308">
        <f>HYPERLINK("https://klasma.github.io/Logging_2305/knärot/A 9816-2024 karta knärot.png", "A 9816-2024")</f>
        <v/>
      </c>
      <c r="V308">
        <f>HYPERLINK("https://klasma.github.io/Logging_2305/klagomål/A 9816-2024 FSC-klagomål.docx", "A 9816-2024")</f>
        <v/>
      </c>
      <c r="W308">
        <f>HYPERLINK("https://klasma.github.io/Logging_2305/klagomålsmail/A 9816-2024 FSC-klagomål mail.docx", "A 9816-2024")</f>
        <v/>
      </c>
      <c r="X308">
        <f>HYPERLINK("https://klasma.github.io/Logging_2305/tillsyn/A 9816-2024 tillsynsbegäran.docx", "A 9816-2024")</f>
        <v/>
      </c>
      <c r="Y308">
        <f>HYPERLINK("https://klasma.github.io/Logging_2305/tillsynsmail/A 9816-2024 tillsynsbegäran mail.docx", "A 9816-2024")</f>
        <v/>
      </c>
    </row>
    <row r="309" ht="15" customHeight="1">
      <c r="A309" t="inlineStr">
        <is>
          <t>A 9994-2021</t>
        </is>
      </c>
      <c r="B309" s="1" t="n">
        <v>44254</v>
      </c>
      <c r="C309" s="1" t="n">
        <v>46034</v>
      </c>
      <c r="D309" t="inlineStr">
        <is>
          <t>JÄMTLANDS LÄN</t>
        </is>
      </c>
      <c r="E309" t="inlineStr">
        <is>
          <t>BRÄCKE</t>
        </is>
      </c>
      <c r="F309" t="inlineStr">
        <is>
          <t>SCA</t>
        </is>
      </c>
      <c r="G309" t="n">
        <v>2.3</v>
      </c>
      <c r="H309" t="n">
        <v>0</v>
      </c>
      <c r="I309" t="n">
        <v>0</v>
      </c>
      <c r="J309" t="n">
        <v>0</v>
      </c>
      <c r="K309" t="n">
        <v>1</v>
      </c>
      <c r="L309" t="n">
        <v>0</v>
      </c>
      <c r="M309" t="n">
        <v>0</v>
      </c>
      <c r="N309" t="n">
        <v>0</v>
      </c>
      <c r="O309" t="n">
        <v>1</v>
      </c>
      <c r="P309" t="n">
        <v>1</v>
      </c>
      <c r="Q309" t="n">
        <v>1</v>
      </c>
      <c r="R309" s="2" t="inlineStr">
        <is>
          <t>Rynkskinn</t>
        </is>
      </c>
      <c r="S309">
        <f>HYPERLINK("https://klasma.github.io/Logging_2305/artfynd/A 9994-2021 artfynd.xlsx", "A 9994-2021")</f>
        <v/>
      </c>
      <c r="T309">
        <f>HYPERLINK("https://klasma.github.io/Logging_2305/kartor/A 9994-2021 karta.png", "A 9994-2021")</f>
        <v/>
      </c>
      <c r="V309">
        <f>HYPERLINK("https://klasma.github.io/Logging_2305/klagomål/A 9994-2021 FSC-klagomål.docx", "A 9994-2021")</f>
        <v/>
      </c>
      <c r="W309">
        <f>HYPERLINK("https://klasma.github.io/Logging_2305/klagomålsmail/A 9994-2021 FSC-klagomål mail.docx", "A 9994-2021")</f>
        <v/>
      </c>
      <c r="X309">
        <f>HYPERLINK("https://klasma.github.io/Logging_2305/tillsyn/A 9994-2021 tillsynsbegäran.docx", "A 9994-2021")</f>
        <v/>
      </c>
      <c r="Y309">
        <f>HYPERLINK("https://klasma.github.io/Logging_2305/tillsynsmail/A 9994-2021 tillsynsbegäran mail.docx", "A 9994-2021")</f>
        <v/>
      </c>
    </row>
    <row r="310" ht="15" customHeight="1">
      <c r="A310" t="inlineStr">
        <is>
          <t>A 7686-2025</t>
        </is>
      </c>
      <c r="B310" s="1" t="n">
        <v>45706.38579861111</v>
      </c>
      <c r="C310" s="1" t="n">
        <v>46034</v>
      </c>
      <c r="D310" t="inlineStr">
        <is>
          <t>JÄMTLANDS LÄN</t>
        </is>
      </c>
      <c r="E310" t="inlineStr">
        <is>
          <t>BRÄCKE</t>
        </is>
      </c>
      <c r="F310" t="inlineStr">
        <is>
          <t>SCA</t>
        </is>
      </c>
      <c r="G310" t="n">
        <v>1</v>
      </c>
      <c r="H310" t="n">
        <v>1</v>
      </c>
      <c r="I310" t="n">
        <v>0</v>
      </c>
      <c r="J310" t="n">
        <v>0</v>
      </c>
      <c r="K310" t="n">
        <v>1</v>
      </c>
      <c r="L310" t="n">
        <v>0</v>
      </c>
      <c r="M310" t="n">
        <v>0</v>
      </c>
      <c r="N310" t="n">
        <v>0</v>
      </c>
      <c r="O310" t="n">
        <v>1</v>
      </c>
      <c r="P310" t="n">
        <v>1</v>
      </c>
      <c r="Q310" t="n">
        <v>1</v>
      </c>
      <c r="R310" s="2" t="inlineStr">
        <is>
          <t>Knärot</t>
        </is>
      </c>
      <c r="S310">
        <f>HYPERLINK("https://klasma.github.io/Logging_2305/artfynd/A 7686-2025 artfynd.xlsx", "A 7686-2025")</f>
        <v/>
      </c>
      <c r="T310">
        <f>HYPERLINK("https://klasma.github.io/Logging_2305/kartor/A 7686-2025 karta.png", "A 7686-2025")</f>
        <v/>
      </c>
      <c r="U310">
        <f>HYPERLINK("https://klasma.github.io/Logging_2305/knärot/A 7686-2025 karta knärot.png", "A 7686-2025")</f>
        <v/>
      </c>
      <c r="V310">
        <f>HYPERLINK("https://klasma.github.io/Logging_2305/klagomål/A 7686-2025 FSC-klagomål.docx", "A 7686-2025")</f>
        <v/>
      </c>
      <c r="W310">
        <f>HYPERLINK("https://klasma.github.io/Logging_2305/klagomålsmail/A 7686-2025 FSC-klagomål mail.docx", "A 7686-2025")</f>
        <v/>
      </c>
      <c r="X310">
        <f>HYPERLINK("https://klasma.github.io/Logging_2305/tillsyn/A 7686-2025 tillsynsbegäran.docx", "A 7686-2025")</f>
        <v/>
      </c>
      <c r="Y310">
        <f>HYPERLINK("https://klasma.github.io/Logging_2305/tillsynsmail/A 7686-2025 tillsynsbegäran mail.docx", "A 7686-2025")</f>
        <v/>
      </c>
    </row>
    <row r="311" ht="15" customHeight="1">
      <c r="A311" t="inlineStr">
        <is>
          <t>A 40869-2024</t>
        </is>
      </c>
      <c r="B311" s="1" t="n">
        <v>45558.59409722222</v>
      </c>
      <c r="C311" s="1" t="n">
        <v>46034</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57797-2023</t>
        </is>
      </c>
      <c r="B312" s="1" t="n">
        <v>45246</v>
      </c>
      <c r="C312" s="1" t="n">
        <v>46034</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59000-2025</t>
        </is>
      </c>
      <c r="B313" s="1" t="n">
        <v>45987.67792824074</v>
      </c>
      <c r="C313" s="1" t="n">
        <v>46034</v>
      </c>
      <c r="D313" t="inlineStr">
        <is>
          <t>JÄMTLANDS LÄN</t>
        </is>
      </c>
      <c r="E313" t="inlineStr">
        <is>
          <t>BRÄCKE</t>
        </is>
      </c>
      <c r="F313" t="inlineStr">
        <is>
          <t>SCA</t>
        </is>
      </c>
      <c r="G313" t="n">
        <v>11.4</v>
      </c>
      <c r="H313" t="n">
        <v>0</v>
      </c>
      <c r="I313" t="n">
        <v>0</v>
      </c>
      <c r="J313" t="n">
        <v>1</v>
      </c>
      <c r="K313" t="n">
        <v>0</v>
      </c>
      <c r="L313" t="n">
        <v>0</v>
      </c>
      <c r="M313" t="n">
        <v>0</v>
      </c>
      <c r="N313" t="n">
        <v>0</v>
      </c>
      <c r="O313" t="n">
        <v>1</v>
      </c>
      <c r="P313" t="n">
        <v>0</v>
      </c>
      <c r="Q313" t="n">
        <v>1</v>
      </c>
      <c r="R313" s="2" t="inlineStr">
        <is>
          <t>Kolflarnlav</t>
        </is>
      </c>
      <c r="S313">
        <f>HYPERLINK("https://klasma.github.io/Logging_2305/artfynd/A 59000-2025 artfynd.xlsx", "A 59000-2025")</f>
        <v/>
      </c>
      <c r="T313">
        <f>HYPERLINK("https://klasma.github.io/Logging_2305/kartor/A 59000-2025 karta.png", "A 59000-2025")</f>
        <v/>
      </c>
      <c r="V313">
        <f>HYPERLINK("https://klasma.github.io/Logging_2305/klagomål/A 59000-2025 FSC-klagomål.docx", "A 59000-2025")</f>
        <v/>
      </c>
      <c r="W313">
        <f>HYPERLINK("https://klasma.github.io/Logging_2305/klagomålsmail/A 59000-2025 FSC-klagomål mail.docx", "A 59000-2025")</f>
        <v/>
      </c>
      <c r="X313">
        <f>HYPERLINK("https://klasma.github.io/Logging_2305/tillsyn/A 59000-2025 tillsynsbegäran.docx", "A 59000-2025")</f>
        <v/>
      </c>
      <c r="Y313">
        <f>HYPERLINK("https://klasma.github.io/Logging_2305/tillsynsmail/A 59000-2025 tillsynsbegäran mail.docx", "A 59000-2025")</f>
        <v/>
      </c>
    </row>
    <row r="314" ht="15" customHeight="1">
      <c r="A314" t="inlineStr">
        <is>
          <t>A 40097-2023</t>
        </is>
      </c>
      <c r="B314" s="1" t="n">
        <v>45168</v>
      </c>
      <c r="C314" s="1" t="n">
        <v>46034</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41486-2024</t>
        </is>
      </c>
      <c r="B315" s="1" t="n">
        <v>45560.44907407407</v>
      </c>
      <c r="C315" s="1" t="n">
        <v>46034</v>
      </c>
      <c r="D315" t="inlineStr">
        <is>
          <t>JÄMTLANDS LÄN</t>
        </is>
      </c>
      <c r="E315" t="inlineStr">
        <is>
          <t>BRÄCKE</t>
        </is>
      </c>
      <c r="F315" t="inlineStr">
        <is>
          <t>SCA</t>
        </is>
      </c>
      <c r="G315" t="n">
        <v>5.3</v>
      </c>
      <c r="H315" t="n">
        <v>0</v>
      </c>
      <c r="I315" t="n">
        <v>0</v>
      </c>
      <c r="J315" t="n">
        <v>1</v>
      </c>
      <c r="K315" t="n">
        <v>0</v>
      </c>
      <c r="L315" t="n">
        <v>0</v>
      </c>
      <c r="M315" t="n">
        <v>0</v>
      </c>
      <c r="N315" t="n">
        <v>0</v>
      </c>
      <c r="O315" t="n">
        <v>1</v>
      </c>
      <c r="P315" t="n">
        <v>0</v>
      </c>
      <c r="Q315" t="n">
        <v>1</v>
      </c>
      <c r="R315" s="2" t="inlineStr">
        <is>
          <t>Lunglav</t>
        </is>
      </c>
      <c r="S315">
        <f>HYPERLINK("https://klasma.github.io/Logging_2305/artfynd/A 41486-2024 artfynd.xlsx", "A 41486-2024")</f>
        <v/>
      </c>
      <c r="T315">
        <f>HYPERLINK("https://klasma.github.io/Logging_2305/kartor/A 41486-2024 karta.png", "A 41486-2024")</f>
        <v/>
      </c>
      <c r="V315">
        <f>HYPERLINK("https://klasma.github.io/Logging_2305/klagomål/A 41486-2024 FSC-klagomål.docx", "A 41486-2024")</f>
        <v/>
      </c>
      <c r="W315">
        <f>HYPERLINK("https://klasma.github.io/Logging_2305/klagomålsmail/A 41486-2024 FSC-klagomål mail.docx", "A 41486-2024")</f>
        <v/>
      </c>
      <c r="X315">
        <f>HYPERLINK("https://klasma.github.io/Logging_2305/tillsyn/A 41486-2024 tillsynsbegäran.docx", "A 41486-2024")</f>
        <v/>
      </c>
      <c r="Y315">
        <f>HYPERLINK("https://klasma.github.io/Logging_2305/tillsynsmail/A 41486-2024 tillsynsbegäran mail.docx", "A 41486-2024")</f>
        <v/>
      </c>
    </row>
    <row r="316" ht="15" customHeight="1">
      <c r="A316" t="inlineStr">
        <is>
          <t>A 56156-2024</t>
        </is>
      </c>
      <c r="B316" s="1" t="n">
        <v>45624.53180555555</v>
      </c>
      <c r="C316" s="1" t="n">
        <v>46034</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35023-2022</t>
        </is>
      </c>
      <c r="B317" s="1" t="n">
        <v>44796</v>
      </c>
      <c r="C317" s="1" t="n">
        <v>46034</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18983-2025</t>
        </is>
      </c>
      <c r="B318" s="1" t="n">
        <v>45764.55618055556</v>
      </c>
      <c r="C318" s="1" t="n">
        <v>46034</v>
      </c>
      <c r="D318" t="inlineStr">
        <is>
          <t>JÄMTLANDS LÄN</t>
        </is>
      </c>
      <c r="E318" t="inlineStr">
        <is>
          <t>BRÄCKE</t>
        </is>
      </c>
      <c r="G318" t="n">
        <v>23.8</v>
      </c>
      <c r="H318" t="n">
        <v>1</v>
      </c>
      <c r="I318" t="n">
        <v>0</v>
      </c>
      <c r="J318" t="n">
        <v>0</v>
      </c>
      <c r="K318" t="n">
        <v>0</v>
      </c>
      <c r="L318" t="n">
        <v>0</v>
      </c>
      <c r="M318" t="n">
        <v>0</v>
      </c>
      <c r="N318" t="n">
        <v>0</v>
      </c>
      <c r="O318" t="n">
        <v>0</v>
      </c>
      <c r="P318" t="n">
        <v>0</v>
      </c>
      <c r="Q318" t="n">
        <v>1</v>
      </c>
      <c r="R318" s="2" t="inlineStr">
        <is>
          <t>Kungsfågel</t>
        </is>
      </c>
      <c r="S318">
        <f>HYPERLINK("https://klasma.github.io/Logging_2305/artfynd/A 18983-2025 artfynd.xlsx", "A 18983-2025")</f>
        <v/>
      </c>
      <c r="T318">
        <f>HYPERLINK("https://klasma.github.io/Logging_2305/kartor/A 18983-2025 karta.png", "A 18983-2025")</f>
        <v/>
      </c>
      <c r="V318">
        <f>HYPERLINK("https://klasma.github.io/Logging_2305/klagomål/A 18983-2025 FSC-klagomål.docx", "A 18983-2025")</f>
        <v/>
      </c>
      <c r="W318">
        <f>HYPERLINK("https://klasma.github.io/Logging_2305/klagomålsmail/A 18983-2025 FSC-klagomål mail.docx", "A 18983-2025")</f>
        <v/>
      </c>
      <c r="X318">
        <f>HYPERLINK("https://klasma.github.io/Logging_2305/tillsyn/A 18983-2025 tillsynsbegäran.docx", "A 18983-2025")</f>
        <v/>
      </c>
      <c r="Y318">
        <f>HYPERLINK("https://klasma.github.io/Logging_2305/tillsynsmail/A 18983-2025 tillsynsbegäran mail.docx", "A 18983-2025")</f>
        <v/>
      </c>
      <c r="Z318">
        <f>HYPERLINK("https://klasma.github.io/Logging_2305/fåglar/A 18983-2025 prioriterade fågelarter.docx", "A 18983-2025")</f>
        <v/>
      </c>
    </row>
    <row r="319" ht="15" customHeight="1">
      <c r="A319" t="inlineStr">
        <is>
          <t>A 12062-2023</t>
        </is>
      </c>
      <c r="B319" s="1" t="n">
        <v>44996</v>
      </c>
      <c r="C319" s="1" t="n">
        <v>46034</v>
      </c>
      <c r="D319" t="inlineStr">
        <is>
          <t>JÄMTLANDS LÄN</t>
        </is>
      </c>
      <c r="E319" t="inlineStr">
        <is>
          <t>BRÄCKE</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HYPERLINK("https://klasma.github.io/Logging_2305/artfynd/A 12062-2023 artfynd.xlsx", "A 12062-2023")</f>
        <v/>
      </c>
      <c r="T319">
        <f>HYPERLINK("https://klasma.github.io/Logging_2305/kartor/A 12062-2023 karta.png", "A 12062-2023")</f>
        <v/>
      </c>
      <c r="V319">
        <f>HYPERLINK("https://klasma.github.io/Logging_2305/klagomål/A 12062-2023 FSC-klagomål.docx", "A 12062-2023")</f>
        <v/>
      </c>
      <c r="W319">
        <f>HYPERLINK("https://klasma.github.io/Logging_2305/klagomålsmail/A 12062-2023 FSC-klagomål mail.docx", "A 12062-2023")</f>
        <v/>
      </c>
      <c r="X319">
        <f>HYPERLINK("https://klasma.github.io/Logging_2305/tillsyn/A 12062-2023 tillsynsbegäran.docx", "A 12062-2023")</f>
        <v/>
      </c>
      <c r="Y319">
        <f>HYPERLINK("https://klasma.github.io/Logging_2305/tillsynsmail/A 12062-2023 tillsynsbegäran mail.docx", "A 12062-2023")</f>
        <v/>
      </c>
    </row>
    <row r="320" ht="15" customHeight="1">
      <c r="A320" t="inlineStr">
        <is>
          <t>A 11614-2024</t>
        </is>
      </c>
      <c r="B320" s="1" t="n">
        <v>45373.42134259259</v>
      </c>
      <c r="C320" s="1" t="n">
        <v>46034</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20768-2024</t>
        </is>
      </c>
      <c r="B321" s="1" t="n">
        <v>45436.94594907408</v>
      </c>
      <c r="C321" s="1" t="n">
        <v>46034</v>
      </c>
      <c r="D321" t="inlineStr">
        <is>
          <t>JÄMTLANDS LÄN</t>
        </is>
      </c>
      <c r="E321" t="inlineStr">
        <is>
          <t>BRÄCKE</t>
        </is>
      </c>
      <c r="F321" t="inlineStr">
        <is>
          <t>SCA</t>
        </is>
      </c>
      <c r="G321" t="n">
        <v>12.6</v>
      </c>
      <c r="H321" t="n">
        <v>1</v>
      </c>
      <c r="I321" t="n">
        <v>0</v>
      </c>
      <c r="J321" t="n">
        <v>0</v>
      </c>
      <c r="K321" t="n">
        <v>1</v>
      </c>
      <c r="L321" t="n">
        <v>0</v>
      </c>
      <c r="M321" t="n">
        <v>0</v>
      </c>
      <c r="N321" t="n">
        <v>0</v>
      </c>
      <c r="O321" t="n">
        <v>1</v>
      </c>
      <c r="P321" t="n">
        <v>1</v>
      </c>
      <c r="Q321" t="n">
        <v>1</v>
      </c>
      <c r="R321" s="2" t="inlineStr">
        <is>
          <t>Doftticka</t>
        </is>
      </c>
      <c r="S321">
        <f>HYPERLINK("https://klasma.github.io/Logging_2305/artfynd/A 20768-2024 artfynd.xlsx", "A 20768-2024")</f>
        <v/>
      </c>
      <c r="T321">
        <f>HYPERLINK("https://klasma.github.io/Logging_2305/kartor/A 20768-2024 karta.png", "A 20768-2024")</f>
        <v/>
      </c>
      <c r="V321">
        <f>HYPERLINK("https://klasma.github.io/Logging_2305/klagomål/A 20768-2024 FSC-klagomål.docx", "A 20768-2024")</f>
        <v/>
      </c>
      <c r="W321">
        <f>HYPERLINK("https://klasma.github.io/Logging_2305/klagomålsmail/A 20768-2024 FSC-klagomål mail.docx", "A 20768-2024")</f>
        <v/>
      </c>
      <c r="X321">
        <f>HYPERLINK("https://klasma.github.io/Logging_2305/tillsyn/A 20768-2024 tillsynsbegäran.docx", "A 20768-2024")</f>
        <v/>
      </c>
      <c r="Y321">
        <f>HYPERLINK("https://klasma.github.io/Logging_2305/tillsynsmail/A 20768-2024 tillsynsbegäran mail.docx", "A 20768-2024")</f>
        <v/>
      </c>
    </row>
    <row r="322" ht="15" customHeight="1">
      <c r="A322" t="inlineStr">
        <is>
          <t>A 50513-2023</t>
        </is>
      </c>
      <c r="B322" s="1" t="n">
        <v>45216</v>
      </c>
      <c r="C322" s="1" t="n">
        <v>46034</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49325-2023</t>
        </is>
      </c>
      <c r="B323" s="1" t="n">
        <v>45210</v>
      </c>
      <c r="C323" s="1" t="n">
        <v>46034</v>
      </c>
      <c r="D323" t="inlineStr">
        <is>
          <t>JÄMTLANDS LÄN</t>
        </is>
      </c>
      <c r="E323" t="inlineStr">
        <is>
          <t>BRÄCKE</t>
        </is>
      </c>
      <c r="F323" t="inlineStr">
        <is>
          <t>SCA</t>
        </is>
      </c>
      <c r="G323" t="n">
        <v>7</v>
      </c>
      <c r="H323" t="n">
        <v>1</v>
      </c>
      <c r="I323" t="n">
        <v>0</v>
      </c>
      <c r="J323" t="n">
        <v>0</v>
      </c>
      <c r="K323" t="n">
        <v>1</v>
      </c>
      <c r="L323" t="n">
        <v>0</v>
      </c>
      <c r="M323" t="n">
        <v>0</v>
      </c>
      <c r="N323" t="n">
        <v>0</v>
      </c>
      <c r="O323" t="n">
        <v>1</v>
      </c>
      <c r="P323" t="n">
        <v>1</v>
      </c>
      <c r="Q323" t="n">
        <v>1</v>
      </c>
      <c r="R323" s="2" t="inlineStr">
        <is>
          <t>Doftticka</t>
        </is>
      </c>
      <c r="S323">
        <f>HYPERLINK("https://klasma.github.io/Logging_2305/artfynd/A 49325-2023 artfynd.xlsx", "A 49325-2023")</f>
        <v/>
      </c>
      <c r="T323">
        <f>HYPERLINK("https://klasma.github.io/Logging_2305/kartor/A 49325-2023 karta.png", "A 49325-2023")</f>
        <v/>
      </c>
      <c r="V323">
        <f>HYPERLINK("https://klasma.github.io/Logging_2305/klagomål/A 49325-2023 FSC-klagomål.docx", "A 49325-2023")</f>
        <v/>
      </c>
      <c r="W323">
        <f>HYPERLINK("https://klasma.github.io/Logging_2305/klagomålsmail/A 49325-2023 FSC-klagomål mail.docx", "A 49325-2023")</f>
        <v/>
      </c>
      <c r="X323">
        <f>HYPERLINK("https://klasma.github.io/Logging_2305/tillsyn/A 49325-2023 tillsynsbegäran.docx", "A 49325-2023")</f>
        <v/>
      </c>
      <c r="Y323">
        <f>HYPERLINK("https://klasma.github.io/Logging_2305/tillsynsmail/A 49325-2023 tillsynsbegäran mail.docx", "A 49325-2023")</f>
        <v/>
      </c>
    </row>
    <row r="324" ht="15" customHeight="1">
      <c r="A324" t="inlineStr">
        <is>
          <t>A 11553-2024</t>
        </is>
      </c>
      <c r="B324" s="1" t="n">
        <v>45372.95811342593</v>
      </c>
      <c r="C324" s="1" t="n">
        <v>46034</v>
      </c>
      <c r="D324" t="inlineStr">
        <is>
          <t>JÄMTLANDS LÄN</t>
        </is>
      </c>
      <c r="E324" t="inlineStr">
        <is>
          <t>BRÄCKE</t>
        </is>
      </c>
      <c r="F324" t="inlineStr">
        <is>
          <t>Naturvårdsverket</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11553-2024 artfynd.xlsx", "A 11553-2024")</f>
        <v/>
      </c>
      <c r="T324">
        <f>HYPERLINK("https://klasma.github.io/Logging_2305/kartor/A 11553-2024 karta.png", "A 11553-2024")</f>
        <v/>
      </c>
      <c r="V324">
        <f>HYPERLINK("https://klasma.github.io/Logging_2305/klagomål/A 11553-2024 FSC-klagomål.docx", "A 11553-2024")</f>
        <v/>
      </c>
      <c r="W324">
        <f>HYPERLINK("https://klasma.github.io/Logging_2305/klagomålsmail/A 11553-2024 FSC-klagomål mail.docx", "A 11553-2024")</f>
        <v/>
      </c>
      <c r="X324">
        <f>HYPERLINK("https://klasma.github.io/Logging_2305/tillsyn/A 11553-2024 tillsynsbegäran.docx", "A 11553-2024")</f>
        <v/>
      </c>
      <c r="Y324">
        <f>HYPERLINK("https://klasma.github.io/Logging_2305/tillsynsmail/A 11553-2024 tillsynsbegäran mail.docx", "A 11553-2024")</f>
        <v/>
      </c>
    </row>
    <row r="325" ht="15" customHeight="1">
      <c r="A325" t="inlineStr">
        <is>
          <t>A 2466-2025</t>
        </is>
      </c>
      <c r="B325" s="1" t="n">
        <v>45674.46958333333</v>
      </c>
      <c r="C325" s="1" t="n">
        <v>46034</v>
      </c>
      <c r="D325" t="inlineStr">
        <is>
          <t>JÄMTLANDS LÄN</t>
        </is>
      </c>
      <c r="E325" t="inlineStr">
        <is>
          <t>BRÄCKE</t>
        </is>
      </c>
      <c r="F325" t="inlineStr">
        <is>
          <t>SCA</t>
        </is>
      </c>
      <c r="G325" t="n">
        <v>2.4</v>
      </c>
      <c r="H325" t="n">
        <v>0</v>
      </c>
      <c r="I325" t="n">
        <v>0</v>
      </c>
      <c r="J325" t="n">
        <v>1</v>
      </c>
      <c r="K325" t="n">
        <v>0</v>
      </c>
      <c r="L325" t="n">
        <v>0</v>
      </c>
      <c r="M325" t="n">
        <v>0</v>
      </c>
      <c r="N325" t="n">
        <v>0</v>
      </c>
      <c r="O325" t="n">
        <v>1</v>
      </c>
      <c r="P325" t="n">
        <v>0</v>
      </c>
      <c r="Q325" t="n">
        <v>1</v>
      </c>
      <c r="R325" s="2" t="inlineStr">
        <is>
          <t>Lunglav</t>
        </is>
      </c>
      <c r="S325">
        <f>HYPERLINK("https://klasma.github.io/Logging_2305/artfynd/A 2466-2025 artfynd.xlsx", "A 2466-2025")</f>
        <v/>
      </c>
      <c r="T325">
        <f>HYPERLINK("https://klasma.github.io/Logging_2305/kartor/A 2466-2025 karta.png", "A 2466-2025")</f>
        <v/>
      </c>
      <c r="V325">
        <f>HYPERLINK("https://klasma.github.io/Logging_2305/klagomål/A 2466-2025 FSC-klagomål.docx", "A 2466-2025")</f>
        <v/>
      </c>
      <c r="W325">
        <f>HYPERLINK("https://klasma.github.io/Logging_2305/klagomålsmail/A 2466-2025 FSC-klagomål mail.docx", "A 2466-2025")</f>
        <v/>
      </c>
      <c r="X325">
        <f>HYPERLINK("https://klasma.github.io/Logging_2305/tillsyn/A 2466-2025 tillsynsbegäran.docx", "A 2466-2025")</f>
        <v/>
      </c>
      <c r="Y325">
        <f>HYPERLINK("https://klasma.github.io/Logging_2305/tillsynsmail/A 2466-2025 tillsynsbegäran mail.docx", "A 2466-2025")</f>
        <v/>
      </c>
    </row>
    <row r="326" ht="15" customHeight="1">
      <c r="A326" t="inlineStr">
        <is>
          <t>A 2882-2025</t>
        </is>
      </c>
      <c r="B326" s="1" t="n">
        <v>45677.69878472222</v>
      </c>
      <c r="C326" s="1" t="n">
        <v>46034</v>
      </c>
      <c r="D326" t="inlineStr">
        <is>
          <t>JÄMTLANDS LÄN</t>
        </is>
      </c>
      <c r="E326" t="inlineStr">
        <is>
          <t>BRÄCKE</t>
        </is>
      </c>
      <c r="F326" t="inlineStr">
        <is>
          <t>SCA</t>
        </is>
      </c>
      <c r="G326" t="n">
        <v>2.7</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2882-2025 artfynd.xlsx", "A 2882-2025")</f>
        <v/>
      </c>
      <c r="T326">
        <f>HYPERLINK("https://klasma.github.io/Logging_2305/kartor/A 2882-2025 karta.png", "A 2882-2025")</f>
        <v/>
      </c>
      <c r="V326">
        <f>HYPERLINK("https://klasma.github.io/Logging_2305/klagomål/A 2882-2025 FSC-klagomål.docx", "A 2882-2025")</f>
        <v/>
      </c>
      <c r="W326">
        <f>HYPERLINK("https://klasma.github.io/Logging_2305/klagomålsmail/A 2882-2025 FSC-klagomål mail.docx", "A 2882-2025")</f>
        <v/>
      </c>
      <c r="X326">
        <f>HYPERLINK("https://klasma.github.io/Logging_2305/tillsyn/A 2882-2025 tillsynsbegäran.docx", "A 2882-2025")</f>
        <v/>
      </c>
      <c r="Y326">
        <f>HYPERLINK("https://klasma.github.io/Logging_2305/tillsynsmail/A 2882-2025 tillsynsbegäran mail.docx", "A 2882-2025")</f>
        <v/>
      </c>
    </row>
    <row r="327" ht="15" customHeight="1">
      <c r="A327" t="inlineStr">
        <is>
          <t>A 235-2022</t>
        </is>
      </c>
      <c r="B327" s="1" t="n">
        <v>44564</v>
      </c>
      <c r="C327" s="1" t="n">
        <v>46034</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Harticka</t>
        </is>
      </c>
      <c r="S327">
        <f>HYPERLINK("https://klasma.github.io/Logging_2305/artfynd/A 235-2022 artfynd.xlsx", "A 235-2022")</f>
        <v/>
      </c>
      <c r="T327">
        <f>HYPERLINK("https://klasma.github.io/Logging_2305/kartor/A 235-2022 karta.png", "A 235-2022")</f>
        <v/>
      </c>
      <c r="V327">
        <f>HYPERLINK("https://klasma.github.io/Logging_2305/klagomål/A 235-2022 FSC-klagomål.docx", "A 235-2022")</f>
        <v/>
      </c>
      <c r="W327">
        <f>HYPERLINK("https://klasma.github.io/Logging_2305/klagomålsmail/A 235-2022 FSC-klagomål mail.docx", "A 235-2022")</f>
        <v/>
      </c>
      <c r="X327">
        <f>HYPERLINK("https://klasma.github.io/Logging_2305/tillsyn/A 235-2022 tillsynsbegäran.docx", "A 235-2022")</f>
        <v/>
      </c>
      <c r="Y327">
        <f>HYPERLINK("https://klasma.github.io/Logging_2305/tillsynsmail/A 235-2022 tillsynsbegäran mail.docx", "A 235-2022")</f>
        <v/>
      </c>
    </row>
    <row r="328" ht="15" customHeight="1">
      <c r="A328" t="inlineStr">
        <is>
          <t>A 698-2025</t>
        </is>
      </c>
      <c r="B328" s="1" t="n">
        <v>45665.34416666667</v>
      </c>
      <c r="C328" s="1" t="n">
        <v>46034</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14374-2024</t>
        </is>
      </c>
      <c r="B329" s="1" t="n">
        <v>45393</v>
      </c>
      <c r="C329" s="1" t="n">
        <v>46034</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48064-2023</t>
        </is>
      </c>
      <c r="B330" s="1" t="n">
        <v>45204</v>
      </c>
      <c r="C330" s="1" t="n">
        <v>46034</v>
      </c>
      <c r="D330" t="inlineStr">
        <is>
          <t>JÄMTLANDS LÄN</t>
        </is>
      </c>
      <c r="E330" t="inlineStr">
        <is>
          <t>BRÄCKE</t>
        </is>
      </c>
      <c r="G330" t="n">
        <v>2.3</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48064-2023 artfynd.xlsx", "A 48064-2023")</f>
        <v/>
      </c>
      <c r="T330">
        <f>HYPERLINK("https://klasma.github.io/Logging_2305/kartor/A 48064-2023 karta.png", "A 48064-2023")</f>
        <v/>
      </c>
      <c r="V330">
        <f>HYPERLINK("https://klasma.github.io/Logging_2305/klagomål/A 48064-2023 FSC-klagomål.docx", "A 48064-2023")</f>
        <v/>
      </c>
      <c r="W330">
        <f>HYPERLINK("https://klasma.github.io/Logging_2305/klagomålsmail/A 48064-2023 FSC-klagomål mail.docx", "A 48064-2023")</f>
        <v/>
      </c>
      <c r="X330">
        <f>HYPERLINK("https://klasma.github.io/Logging_2305/tillsyn/A 48064-2023 tillsynsbegäran.docx", "A 48064-2023")</f>
        <v/>
      </c>
      <c r="Y330">
        <f>HYPERLINK("https://klasma.github.io/Logging_2305/tillsynsmail/A 48064-2023 tillsynsbegäran mail.docx", "A 48064-2023")</f>
        <v/>
      </c>
      <c r="Z330">
        <f>HYPERLINK("https://klasma.github.io/Logging_2305/fåglar/A 48064-2023 prioriterade fågelarter.docx", "A 48064-2023")</f>
        <v/>
      </c>
    </row>
    <row r="331" ht="15" customHeight="1">
      <c r="A331" t="inlineStr">
        <is>
          <t>A 4851-2025</t>
        </is>
      </c>
      <c r="B331" s="1" t="n">
        <v>45688.67340277778</v>
      </c>
      <c r="C331" s="1" t="n">
        <v>46034</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16366-2023</t>
        </is>
      </c>
      <c r="B332" s="1" t="n">
        <v>45028</v>
      </c>
      <c r="C332" s="1" t="n">
        <v>46034</v>
      </c>
      <c r="D332" t="inlineStr">
        <is>
          <t>JÄMTLANDS LÄN</t>
        </is>
      </c>
      <c r="E332" t="inlineStr">
        <is>
          <t>BRÄCKE</t>
        </is>
      </c>
      <c r="G332" t="n">
        <v>9.1</v>
      </c>
      <c r="H332" t="n">
        <v>0</v>
      </c>
      <c r="I332" t="n">
        <v>0</v>
      </c>
      <c r="J332" t="n">
        <v>1</v>
      </c>
      <c r="K332" t="n">
        <v>0</v>
      </c>
      <c r="L332" t="n">
        <v>0</v>
      </c>
      <c r="M332" t="n">
        <v>0</v>
      </c>
      <c r="N332" t="n">
        <v>0</v>
      </c>
      <c r="O332" t="n">
        <v>1</v>
      </c>
      <c r="P332" t="n">
        <v>0</v>
      </c>
      <c r="Q332" t="n">
        <v>1</v>
      </c>
      <c r="R332" s="2" t="inlineStr">
        <is>
          <t>Lunglav</t>
        </is>
      </c>
      <c r="S332">
        <f>HYPERLINK("https://klasma.github.io/Logging_2305/artfynd/A 16366-2023 artfynd.xlsx", "A 16366-2023")</f>
        <v/>
      </c>
      <c r="T332">
        <f>HYPERLINK("https://klasma.github.io/Logging_2305/kartor/A 16366-2023 karta.png", "A 16366-2023")</f>
        <v/>
      </c>
      <c r="V332">
        <f>HYPERLINK("https://klasma.github.io/Logging_2305/klagomål/A 16366-2023 FSC-klagomål.docx", "A 16366-2023")</f>
        <v/>
      </c>
      <c r="W332">
        <f>HYPERLINK("https://klasma.github.io/Logging_2305/klagomålsmail/A 16366-2023 FSC-klagomål mail.docx", "A 16366-2023")</f>
        <v/>
      </c>
      <c r="X332">
        <f>HYPERLINK("https://klasma.github.io/Logging_2305/tillsyn/A 16366-2023 tillsynsbegäran.docx", "A 16366-2023")</f>
        <v/>
      </c>
      <c r="Y332">
        <f>HYPERLINK("https://klasma.github.io/Logging_2305/tillsynsmail/A 16366-2023 tillsynsbegäran mail.docx", "A 16366-2023")</f>
        <v/>
      </c>
    </row>
    <row r="333" ht="15" customHeight="1">
      <c r="A333" t="inlineStr">
        <is>
          <t>A 24552-2022</t>
        </is>
      </c>
      <c r="B333" s="1" t="n">
        <v>44726</v>
      </c>
      <c r="C333" s="1" t="n">
        <v>46034</v>
      </c>
      <c r="D333" t="inlineStr">
        <is>
          <t>JÄMTLANDS LÄN</t>
        </is>
      </c>
      <c r="E333" t="inlineStr">
        <is>
          <t>BRÄCKE</t>
        </is>
      </c>
      <c r="G333" t="n">
        <v>2.6</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HYPERLINK("https://klasma.github.io/Logging_2305/artfynd/A 24552-2022 artfynd.xlsx", "A 24552-2022")</f>
        <v/>
      </c>
      <c r="T333">
        <f>HYPERLINK("https://klasma.github.io/Logging_2305/kartor/A 24552-2022 karta.png", "A 24552-2022")</f>
        <v/>
      </c>
      <c r="V333">
        <f>HYPERLINK("https://klasma.github.io/Logging_2305/klagomål/A 24552-2022 FSC-klagomål.docx", "A 24552-2022")</f>
        <v/>
      </c>
      <c r="W333">
        <f>HYPERLINK("https://klasma.github.io/Logging_2305/klagomålsmail/A 24552-2022 FSC-klagomål mail.docx", "A 24552-2022")</f>
        <v/>
      </c>
      <c r="X333">
        <f>HYPERLINK("https://klasma.github.io/Logging_2305/tillsyn/A 24552-2022 tillsynsbegäran.docx", "A 24552-2022")</f>
        <v/>
      </c>
      <c r="Y333">
        <f>HYPERLINK("https://klasma.github.io/Logging_2305/tillsynsmail/A 24552-2022 tillsynsbegäran mail.docx", "A 24552-2022")</f>
        <v/>
      </c>
    </row>
    <row r="334" ht="15" customHeight="1">
      <c r="A334" t="inlineStr">
        <is>
          <t>A 30336-2024</t>
        </is>
      </c>
      <c r="B334" s="1" t="n">
        <v>45490.95415509259</v>
      </c>
      <c r="C334" s="1" t="n">
        <v>46034</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33479-2024</t>
        </is>
      </c>
      <c r="B335" s="1" t="n">
        <v>45519.60824074074</v>
      </c>
      <c r="C335" s="1" t="n">
        <v>46034</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46034</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46034</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46034</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46034</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46034</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46034</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46034</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46034</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46034</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46034</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46034</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39701-2022</t>
        </is>
      </c>
      <c r="B347" s="1" t="n">
        <v>44818</v>
      </c>
      <c r="C347" s="1" t="n">
        <v>46034</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46034</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46034</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46034</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46034</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46034</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46034</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52022-2021</t>
        </is>
      </c>
      <c r="B354" s="1" t="n">
        <v>44463</v>
      </c>
      <c r="C354" s="1" t="n">
        <v>46034</v>
      </c>
      <c r="D354" t="inlineStr">
        <is>
          <t>JÄMTLANDS LÄN</t>
        </is>
      </c>
      <c r="E354" t="inlineStr">
        <is>
          <t>BRÄCKE</t>
        </is>
      </c>
      <c r="G354" t="n">
        <v>8.4</v>
      </c>
      <c r="H354" t="n">
        <v>0</v>
      </c>
      <c r="I354" t="n">
        <v>0</v>
      </c>
      <c r="J354" t="n">
        <v>0</v>
      </c>
      <c r="K354" t="n">
        <v>0</v>
      </c>
      <c r="L354" t="n">
        <v>0</v>
      </c>
      <c r="M354" t="n">
        <v>0</v>
      </c>
      <c r="N354" t="n">
        <v>0</v>
      </c>
      <c r="O354" t="n">
        <v>0</v>
      </c>
      <c r="P354" t="n">
        <v>0</v>
      </c>
      <c r="Q354" t="n">
        <v>0</v>
      </c>
      <c r="R354" s="2" t="inlineStr"/>
    </row>
    <row r="355" ht="15" customHeight="1">
      <c r="A355" t="inlineStr">
        <is>
          <t>A 59322-2021</t>
        </is>
      </c>
      <c r="B355" s="1" t="n">
        <v>44490.94116898148</v>
      </c>
      <c r="C355" s="1" t="n">
        <v>46034</v>
      </c>
      <c r="D355" t="inlineStr">
        <is>
          <t>JÄMTLANDS LÄN</t>
        </is>
      </c>
      <c r="E355" t="inlineStr">
        <is>
          <t>BRÄCKE</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18006-2021</t>
        </is>
      </c>
      <c r="B356" s="1" t="n">
        <v>44301</v>
      </c>
      <c r="C356" s="1" t="n">
        <v>46034</v>
      </c>
      <c r="D356" t="inlineStr">
        <is>
          <t>JÄMTLANDS LÄN</t>
        </is>
      </c>
      <c r="E356" t="inlineStr">
        <is>
          <t>BRÄCKE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1027-2021</t>
        </is>
      </c>
      <c r="B357" s="1" t="n">
        <v>44207</v>
      </c>
      <c r="C357" s="1" t="n">
        <v>46034</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5380-2022</t>
        </is>
      </c>
      <c r="B358" s="1" t="n">
        <v>44594</v>
      </c>
      <c r="C358" s="1" t="n">
        <v>46034</v>
      </c>
      <c r="D358" t="inlineStr">
        <is>
          <t>JÄMTLANDS LÄN</t>
        </is>
      </c>
      <c r="E358" t="inlineStr">
        <is>
          <t>BRÄCKE</t>
        </is>
      </c>
      <c r="F358" t="inlineStr">
        <is>
          <t>SCA</t>
        </is>
      </c>
      <c r="G358" t="n">
        <v>18.3</v>
      </c>
      <c r="H358" t="n">
        <v>0</v>
      </c>
      <c r="I358" t="n">
        <v>0</v>
      </c>
      <c r="J358" t="n">
        <v>0</v>
      </c>
      <c r="K358" t="n">
        <v>0</v>
      </c>
      <c r="L358" t="n">
        <v>0</v>
      </c>
      <c r="M358" t="n">
        <v>0</v>
      </c>
      <c r="N358" t="n">
        <v>0</v>
      </c>
      <c r="O358" t="n">
        <v>0</v>
      </c>
      <c r="P358" t="n">
        <v>0</v>
      </c>
      <c r="Q358" t="n">
        <v>0</v>
      </c>
      <c r="R358" s="2" t="inlineStr"/>
      <c r="U358">
        <f>HYPERLINK("https://klasma.github.io/Logging_2305/knärot/A 5380-2022 karta knärot.png", "A 5380-2022")</f>
        <v/>
      </c>
      <c r="V358">
        <f>HYPERLINK("https://klasma.github.io/Logging_2305/klagomål/A 5380-2022 FSC-klagomål.docx", "A 5380-2022")</f>
        <v/>
      </c>
      <c r="W358">
        <f>HYPERLINK("https://klasma.github.io/Logging_2305/klagomålsmail/A 5380-2022 FSC-klagomål mail.docx", "A 5380-2022")</f>
        <v/>
      </c>
      <c r="X358">
        <f>HYPERLINK("https://klasma.github.io/Logging_2305/tillsyn/A 5380-2022 tillsynsbegäran.docx", "A 5380-2022")</f>
        <v/>
      </c>
      <c r="Y358">
        <f>HYPERLINK("https://klasma.github.io/Logging_2305/tillsynsmail/A 5380-2022 tillsynsbegäran mail.docx", "A 5380-2022")</f>
        <v/>
      </c>
    </row>
    <row r="359" ht="15" customHeight="1">
      <c r="A359" t="inlineStr">
        <is>
          <t>A 63590-2021</t>
        </is>
      </c>
      <c r="B359" s="1" t="n">
        <v>44508.92332175926</v>
      </c>
      <c r="C359" s="1" t="n">
        <v>46034</v>
      </c>
      <c r="D359" t="inlineStr">
        <is>
          <t>JÄMTLANDS LÄN</t>
        </is>
      </c>
      <c r="E359" t="inlineStr">
        <is>
          <t>BRÄCKE</t>
        </is>
      </c>
      <c r="G359" t="n">
        <v>9.1</v>
      </c>
      <c r="H359" t="n">
        <v>0</v>
      </c>
      <c r="I359" t="n">
        <v>0</v>
      </c>
      <c r="J359" t="n">
        <v>0</v>
      </c>
      <c r="K359" t="n">
        <v>0</v>
      </c>
      <c r="L359" t="n">
        <v>0</v>
      </c>
      <c r="M359" t="n">
        <v>0</v>
      </c>
      <c r="N359" t="n">
        <v>0</v>
      </c>
      <c r="O359" t="n">
        <v>0</v>
      </c>
      <c r="P359" t="n">
        <v>0</v>
      </c>
      <c r="Q359" t="n">
        <v>0</v>
      </c>
      <c r="R359" s="2" t="inlineStr"/>
    </row>
    <row r="360" ht="15" customHeight="1">
      <c r="A360" t="inlineStr">
        <is>
          <t>A 43421-2022</t>
        </is>
      </c>
      <c r="B360" s="1" t="n">
        <v>44834</v>
      </c>
      <c r="C360" s="1" t="n">
        <v>46034</v>
      </c>
      <c r="D360" t="inlineStr">
        <is>
          <t>JÄMTLANDS LÄN</t>
        </is>
      </c>
      <c r="E360" t="inlineStr">
        <is>
          <t>BRÄCKE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41474-2021</t>
        </is>
      </c>
      <c r="B361" s="1" t="n">
        <v>44424</v>
      </c>
      <c r="C361" s="1" t="n">
        <v>46034</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30810-2022</t>
        </is>
      </c>
      <c r="B362" s="1" t="n">
        <v>44764.94164351852</v>
      </c>
      <c r="C362" s="1" t="n">
        <v>46034</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46034</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27261-2021</t>
        </is>
      </c>
      <c r="B364" s="1" t="n">
        <v>44350.93945601852</v>
      </c>
      <c r="C364" s="1" t="n">
        <v>46034</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37232-2022</t>
        </is>
      </c>
      <c r="B365" s="1" t="n">
        <v>44806</v>
      </c>
      <c r="C365" s="1" t="n">
        <v>46034</v>
      </c>
      <c r="D365" t="inlineStr">
        <is>
          <t>JÄMTLANDS LÄN</t>
        </is>
      </c>
      <c r="E365" t="inlineStr">
        <is>
          <t>BRÄCKE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46034</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46034</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49858-2022</t>
        </is>
      </c>
      <c r="B368" s="1" t="n">
        <v>44862</v>
      </c>
      <c r="C368" s="1" t="n">
        <v>46034</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41175-2022</t>
        </is>
      </c>
      <c r="B369" s="1" t="n">
        <v>44825.94803240741</v>
      </c>
      <c r="C369" s="1" t="n">
        <v>46034</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46034</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69155-2021</t>
        </is>
      </c>
      <c r="B371" s="1" t="n">
        <v>44530.94708333333</v>
      </c>
      <c r="C371" s="1" t="n">
        <v>46034</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49838-2022</t>
        </is>
      </c>
      <c r="B372" s="1" t="n">
        <v>44862.92952546296</v>
      </c>
      <c r="C372" s="1" t="n">
        <v>46034</v>
      </c>
      <c r="D372" t="inlineStr">
        <is>
          <t>JÄMTLANDS LÄN</t>
        </is>
      </c>
      <c r="E372" t="inlineStr">
        <is>
          <t>BRÄCKE</t>
        </is>
      </c>
      <c r="G372" t="n">
        <v>1.1</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46034</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33993-2022</t>
        </is>
      </c>
      <c r="B374" s="1" t="n">
        <v>44790</v>
      </c>
      <c r="C374" s="1" t="n">
        <v>46034</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54668-2022</t>
        </is>
      </c>
      <c r="B375" s="1" t="n">
        <v>44883</v>
      </c>
      <c r="C375" s="1" t="n">
        <v>46034</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49839-2022</t>
        </is>
      </c>
      <c r="B376" s="1" t="n">
        <v>44862.92956018518</v>
      </c>
      <c r="C376" s="1" t="n">
        <v>46034</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38593-2021</t>
        </is>
      </c>
      <c r="B377" s="1" t="n">
        <v>44407</v>
      </c>
      <c r="C377" s="1" t="n">
        <v>46034</v>
      </c>
      <c r="D377" t="inlineStr">
        <is>
          <t>JÄMTLANDS LÄN</t>
        </is>
      </c>
      <c r="E377" t="inlineStr">
        <is>
          <t>BRÄCKE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46034</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46034</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46034</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46034</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46034</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46034</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46034</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46034</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46034</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46034</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46034</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46034</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46034</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46034</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46034</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46034</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46034</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46034</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46034</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46034</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46034</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46034</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46034</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46034</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46034</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46034</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46034</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46034</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46034</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46034</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46034</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46034</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46034</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46034</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46034</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46034</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40278-2022</t>
        </is>
      </c>
      <c r="B414" s="1" t="n">
        <v>44820</v>
      </c>
      <c r="C414" s="1" t="n">
        <v>46034</v>
      </c>
      <c r="D414" t="inlineStr">
        <is>
          <t>JÄMTLANDS LÄN</t>
        </is>
      </c>
      <c r="E414" t="inlineStr">
        <is>
          <t>BRÄCKE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46034</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46034</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46034</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46034</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30490-2022</t>
        </is>
      </c>
      <c r="B419" s="1" t="n">
        <v>44761</v>
      </c>
      <c r="C419" s="1" t="n">
        <v>46034</v>
      </c>
      <c r="D419" t="inlineStr">
        <is>
          <t>JÄMTLANDS LÄN</t>
        </is>
      </c>
      <c r="E419" t="inlineStr">
        <is>
          <t>BRÄCKE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21654-2022</t>
        </is>
      </c>
      <c r="B420" s="1" t="n">
        <v>44706.94207175926</v>
      </c>
      <c r="C420" s="1" t="n">
        <v>46034</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21656-2022</t>
        </is>
      </c>
      <c r="B421" s="1" t="n">
        <v>44706.9421875</v>
      </c>
      <c r="C421" s="1" t="n">
        <v>46034</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26750-2022</t>
        </is>
      </c>
      <c r="B422" s="1" t="n">
        <v>44739.94125</v>
      </c>
      <c r="C422" s="1" t="n">
        <v>46034</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46034</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16117-2021</t>
        </is>
      </c>
      <c r="B424" s="1" t="n">
        <v>44291</v>
      </c>
      <c r="C424" s="1" t="n">
        <v>46034</v>
      </c>
      <c r="D424" t="inlineStr">
        <is>
          <t>JÄMTLANDS LÄN</t>
        </is>
      </c>
      <c r="E424" t="inlineStr">
        <is>
          <t>BRÄCKE</t>
        </is>
      </c>
      <c r="G424" t="n">
        <v>3.6</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46034</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46034</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46034</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62953-2021</t>
        </is>
      </c>
      <c r="B428" s="1" t="n">
        <v>44504</v>
      </c>
      <c r="C428" s="1" t="n">
        <v>46034</v>
      </c>
      <c r="D428" t="inlineStr">
        <is>
          <t>JÄMTLANDS LÄN</t>
        </is>
      </c>
      <c r="E428" t="inlineStr">
        <is>
          <t>BRÄCKE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31978-2022</t>
        </is>
      </c>
      <c r="B429" s="1" t="n">
        <v>44777.95574074074</v>
      </c>
      <c r="C429" s="1" t="n">
        <v>46034</v>
      </c>
      <c r="D429" t="inlineStr">
        <is>
          <t>JÄMTLANDS LÄN</t>
        </is>
      </c>
      <c r="E429" t="inlineStr">
        <is>
          <t>BRÄCKE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46034</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46034</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46034</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46034</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46034</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46034</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46034</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18221-2022</t>
        </is>
      </c>
      <c r="B437" s="1" t="n">
        <v>44685</v>
      </c>
      <c r="C437" s="1" t="n">
        <v>46034</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46034</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46034</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46034</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46034</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46034</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70807-2021</t>
        </is>
      </c>
      <c r="B443" s="1" t="n">
        <v>44537</v>
      </c>
      <c r="C443" s="1" t="n">
        <v>46034</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63346-2021</t>
        </is>
      </c>
      <c r="B444" s="1" t="n">
        <v>44508.47607638889</v>
      </c>
      <c r="C444" s="1" t="n">
        <v>46034</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46034</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46034</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46034</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46034</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20069-2022</t>
        </is>
      </c>
      <c r="B449" s="1" t="n">
        <v>44697.94190972222</v>
      </c>
      <c r="C449" s="1" t="n">
        <v>46034</v>
      </c>
      <c r="D449" t="inlineStr">
        <is>
          <t>JÄMTLANDS LÄN</t>
        </is>
      </c>
      <c r="E449" t="inlineStr">
        <is>
          <t>BRÄCKE</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46034</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46024-2022</t>
        </is>
      </c>
      <c r="B451" s="1" t="n">
        <v>44846.92635416667</v>
      </c>
      <c r="C451" s="1" t="n">
        <v>46034</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46034</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46034</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4542-2022</t>
        </is>
      </c>
      <c r="B454" s="1" t="n">
        <v>44590</v>
      </c>
      <c r="C454" s="1" t="n">
        <v>46034</v>
      </c>
      <c r="D454" t="inlineStr">
        <is>
          <t>JÄMTLANDS LÄN</t>
        </is>
      </c>
      <c r="E454" t="inlineStr">
        <is>
          <t>BRÄCKE</t>
        </is>
      </c>
      <c r="G454" t="n">
        <v>18.5</v>
      </c>
      <c r="H454" t="n">
        <v>0</v>
      </c>
      <c r="I454" t="n">
        <v>0</v>
      </c>
      <c r="J454" t="n">
        <v>0</v>
      </c>
      <c r="K454" t="n">
        <v>0</v>
      </c>
      <c r="L454" t="n">
        <v>0</v>
      </c>
      <c r="M454" t="n">
        <v>0</v>
      </c>
      <c r="N454" t="n">
        <v>0</v>
      </c>
      <c r="O454" t="n">
        <v>0</v>
      </c>
      <c r="P454" t="n">
        <v>0</v>
      </c>
      <c r="Q454" t="n">
        <v>0</v>
      </c>
      <c r="R454" s="2" t="inlineStr"/>
    </row>
    <row r="455" ht="15" customHeight="1">
      <c r="A455" t="inlineStr">
        <is>
          <t>A 10536-2022</t>
        </is>
      </c>
      <c r="B455" s="1" t="n">
        <v>44623.92185185185</v>
      </c>
      <c r="C455" s="1" t="n">
        <v>46034</v>
      </c>
      <c r="D455" t="inlineStr">
        <is>
          <t>JÄMTLANDS LÄN</t>
        </is>
      </c>
      <c r="E455" t="inlineStr">
        <is>
          <t>BRÄCKE</t>
        </is>
      </c>
      <c r="G455" t="n">
        <v>3.1</v>
      </c>
      <c r="H455" t="n">
        <v>0</v>
      </c>
      <c r="I455" t="n">
        <v>0</v>
      </c>
      <c r="J455" t="n">
        <v>0</v>
      </c>
      <c r="K455" t="n">
        <v>0</v>
      </c>
      <c r="L455" t="n">
        <v>0</v>
      </c>
      <c r="M455" t="n">
        <v>0</v>
      </c>
      <c r="N455" t="n">
        <v>0</v>
      </c>
      <c r="O455" t="n">
        <v>0</v>
      </c>
      <c r="P455" t="n">
        <v>0</v>
      </c>
      <c r="Q455" t="n">
        <v>0</v>
      </c>
      <c r="R455" s="2" t="inlineStr"/>
    </row>
    <row r="456" ht="15" customHeight="1">
      <c r="A456" t="inlineStr">
        <is>
          <t>A 30483-2022</t>
        </is>
      </c>
      <c r="B456" s="1" t="n">
        <v>44761.94037037037</v>
      </c>
      <c r="C456" s="1" t="n">
        <v>46034</v>
      </c>
      <c r="D456" t="inlineStr">
        <is>
          <t>JÄMTLANDS LÄN</t>
        </is>
      </c>
      <c r="E456" t="inlineStr">
        <is>
          <t>BRÄCKE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27258-2021</t>
        </is>
      </c>
      <c r="B457" s="1" t="n">
        <v>44350.93927083333</v>
      </c>
      <c r="C457" s="1" t="n">
        <v>46034</v>
      </c>
      <c r="D457" t="inlineStr">
        <is>
          <t>JÄMTLANDS LÄN</t>
        </is>
      </c>
      <c r="E457" t="inlineStr">
        <is>
          <t>BRÄCKE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56648-2021</t>
        </is>
      </c>
      <c r="B458" s="1" t="n">
        <v>44480.92122685185</v>
      </c>
      <c r="C458" s="1" t="n">
        <v>46034</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37828-2022</t>
        </is>
      </c>
      <c r="B459" s="1" t="n">
        <v>44810.9428587963</v>
      </c>
      <c r="C459" s="1" t="n">
        <v>46034</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37829-2022</t>
        </is>
      </c>
      <c r="B460" s="1" t="n">
        <v>44810.94292824074</v>
      </c>
      <c r="C460" s="1" t="n">
        <v>46034</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63579-2021</t>
        </is>
      </c>
      <c r="B461" s="1" t="n">
        <v>44508</v>
      </c>
      <c r="C461" s="1" t="n">
        <v>46034</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46793-2021</t>
        </is>
      </c>
      <c r="B462" s="1" t="n">
        <v>44445</v>
      </c>
      <c r="C462" s="1" t="n">
        <v>46034</v>
      </c>
      <c r="D462" t="inlineStr">
        <is>
          <t>JÄMTLANDS LÄN</t>
        </is>
      </c>
      <c r="E462" t="inlineStr">
        <is>
          <t>BRÄCKE</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52022-2022</t>
        </is>
      </c>
      <c r="B463" s="1" t="n">
        <v>44872.95662037037</v>
      </c>
      <c r="C463" s="1" t="n">
        <v>46034</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46034</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41825-2024</t>
        </is>
      </c>
      <c r="B465" s="1" t="n">
        <v>45561.39943287037</v>
      </c>
      <c r="C465" s="1" t="n">
        <v>46034</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37375-2021</t>
        </is>
      </c>
      <c r="B466" s="1" t="n">
        <v>44397</v>
      </c>
      <c r="C466" s="1" t="n">
        <v>46034</v>
      </c>
      <c r="D466" t="inlineStr">
        <is>
          <t>JÄMTLANDS LÄN</t>
        </is>
      </c>
      <c r="E466" t="inlineStr">
        <is>
          <t>BRÄCKE</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22121-2024</t>
        </is>
      </c>
      <c r="B467" s="1" t="n">
        <v>45443.95271990741</v>
      </c>
      <c r="C467" s="1" t="n">
        <v>46034</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49032-2024</t>
        </is>
      </c>
      <c r="B468" s="1" t="n">
        <v>45594.53152777778</v>
      </c>
      <c r="C468" s="1" t="n">
        <v>46034</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9553-2024</t>
        </is>
      </c>
      <c r="B469" s="1" t="n">
        <v>45360.03491898148</v>
      </c>
      <c r="C469" s="1" t="n">
        <v>46034</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31342-2021</t>
        </is>
      </c>
      <c r="B470" s="1" t="n">
        <v>44368.93855324074</v>
      </c>
      <c r="C470" s="1" t="n">
        <v>46034</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32101-2021</t>
        </is>
      </c>
      <c r="B471" s="1" t="n">
        <v>44370.94097222222</v>
      </c>
      <c r="C471" s="1" t="n">
        <v>46034</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58086-2024</t>
        </is>
      </c>
      <c r="B472" s="1" t="n">
        <v>45632.34436342592</v>
      </c>
      <c r="C472" s="1" t="n">
        <v>46034</v>
      </c>
      <c r="D472" t="inlineStr">
        <is>
          <t>JÄMTLANDS LÄN</t>
        </is>
      </c>
      <c r="E472" t="inlineStr">
        <is>
          <t>BRÄCKE</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55663-2023</t>
        </is>
      </c>
      <c r="B473" s="1" t="n">
        <v>45238.96738425926</v>
      </c>
      <c r="C473" s="1" t="n">
        <v>46034</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9707-2025</t>
        </is>
      </c>
      <c r="B474" s="1" t="n">
        <v>45716.38592592593</v>
      </c>
      <c r="C474" s="1" t="n">
        <v>46034</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49727-2023</t>
        </is>
      </c>
      <c r="B475" s="1" t="n">
        <v>45208</v>
      </c>
      <c r="C475" s="1" t="n">
        <v>46034</v>
      </c>
      <c r="D475" t="inlineStr">
        <is>
          <t>JÄMTLANDS LÄN</t>
        </is>
      </c>
      <c r="E475" t="inlineStr">
        <is>
          <t>BRÄCKE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58758-2023</t>
        </is>
      </c>
      <c r="B476" s="1" t="n">
        <v>45251.93006944445</v>
      </c>
      <c r="C476" s="1" t="n">
        <v>46034</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46034</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13244-2023</t>
        </is>
      </c>
      <c r="B478" s="1" t="n">
        <v>45002</v>
      </c>
      <c r="C478" s="1" t="n">
        <v>46034</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72025-2021</t>
        </is>
      </c>
      <c r="B479" s="1" t="n">
        <v>44540</v>
      </c>
      <c r="C479" s="1" t="n">
        <v>46034</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46034</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56491-2024</t>
        </is>
      </c>
      <c r="B481" s="1" t="n">
        <v>45625.48987268518</v>
      </c>
      <c r="C481" s="1" t="n">
        <v>46034</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19667-2025</t>
        </is>
      </c>
      <c r="B482" s="1" t="n">
        <v>45770.69820601852</v>
      </c>
      <c r="C482" s="1" t="n">
        <v>46034</v>
      </c>
      <c r="D482" t="inlineStr">
        <is>
          <t>JÄMTLANDS LÄN</t>
        </is>
      </c>
      <c r="E482" t="inlineStr">
        <is>
          <t>BRÄCKE</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46034</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46034</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46034</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46034</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46034</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23771-2023</t>
        </is>
      </c>
      <c r="B488" s="1" t="n">
        <v>45077</v>
      </c>
      <c r="C488" s="1" t="n">
        <v>46034</v>
      </c>
      <c r="D488" t="inlineStr">
        <is>
          <t>JÄMTLANDS LÄN</t>
        </is>
      </c>
      <c r="E488" t="inlineStr">
        <is>
          <t>BRÄCKE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46034</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40693-2024</t>
        </is>
      </c>
      <c r="B490" s="1" t="n">
        <v>45558.40670138889</v>
      </c>
      <c r="C490" s="1" t="n">
        <v>46034</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29835-2022</t>
        </is>
      </c>
      <c r="B491" s="1" t="n">
        <v>44755.94592592592</v>
      </c>
      <c r="C491" s="1" t="n">
        <v>46034</v>
      </c>
      <c r="D491" t="inlineStr">
        <is>
          <t>JÄMTLANDS LÄN</t>
        </is>
      </c>
      <c r="E491" t="inlineStr">
        <is>
          <t>BRÄCKE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46034</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46034</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57942-2023</t>
        </is>
      </c>
      <c r="B494" s="1" t="n">
        <v>45244</v>
      </c>
      <c r="C494" s="1" t="n">
        <v>46034</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46034</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33033-2023</t>
        </is>
      </c>
      <c r="B496" s="1" t="n">
        <v>45125.95037037037</v>
      </c>
      <c r="C496" s="1" t="n">
        <v>46034</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44082-2024</t>
        </is>
      </c>
      <c r="B497" s="1" t="n">
        <v>45572.61549768518</v>
      </c>
      <c r="C497" s="1" t="n">
        <v>46034</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48425-2023</t>
        </is>
      </c>
      <c r="B498" s="1" t="n">
        <v>45205</v>
      </c>
      <c r="C498" s="1" t="n">
        <v>46034</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8853-2025</t>
        </is>
      </c>
      <c r="B499" s="1" t="n">
        <v>45713.34482638889</v>
      </c>
      <c r="C499" s="1" t="n">
        <v>46034</v>
      </c>
      <c r="D499" t="inlineStr">
        <is>
          <t>JÄMTLANDS LÄN</t>
        </is>
      </c>
      <c r="E499" t="inlineStr">
        <is>
          <t>BRÄCKE</t>
        </is>
      </c>
      <c r="F499" t="inlineStr">
        <is>
          <t>SCA</t>
        </is>
      </c>
      <c r="G499" t="n">
        <v>15.7</v>
      </c>
      <c r="H499" t="n">
        <v>0</v>
      </c>
      <c r="I499" t="n">
        <v>0</v>
      </c>
      <c r="J499" t="n">
        <v>0</v>
      </c>
      <c r="K499" t="n">
        <v>0</v>
      </c>
      <c r="L499" t="n">
        <v>0</v>
      </c>
      <c r="M499" t="n">
        <v>0</v>
      </c>
      <c r="N499" t="n">
        <v>0</v>
      </c>
      <c r="O499" t="n">
        <v>0</v>
      </c>
      <c r="P499" t="n">
        <v>0</v>
      </c>
      <c r="Q499" t="n">
        <v>0</v>
      </c>
      <c r="R499" s="2" t="inlineStr"/>
    </row>
    <row r="500" ht="15" customHeight="1">
      <c r="A500" t="inlineStr">
        <is>
          <t>A 12900-2023</t>
        </is>
      </c>
      <c r="B500" s="1" t="n">
        <v>45001</v>
      </c>
      <c r="C500" s="1" t="n">
        <v>46034</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21551-2025</t>
        </is>
      </c>
      <c r="B501" s="1" t="n">
        <v>45782.67771990741</v>
      </c>
      <c r="C501" s="1" t="n">
        <v>46034</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41831-2024</t>
        </is>
      </c>
      <c r="B502" s="1" t="n">
        <v>45561.40703703704</v>
      </c>
      <c r="C502" s="1" t="n">
        <v>46034</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21549-2025</t>
        </is>
      </c>
      <c r="B503" s="1" t="n">
        <v>45782.67743055556</v>
      </c>
      <c r="C503" s="1" t="n">
        <v>46034</v>
      </c>
      <c r="D503" t="inlineStr">
        <is>
          <t>JÄMTLANDS LÄN</t>
        </is>
      </c>
      <c r="E503" t="inlineStr">
        <is>
          <t>BRÄCKE</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34647-2024</t>
        </is>
      </c>
      <c r="B504" s="1" t="n">
        <v>45526.47844907407</v>
      </c>
      <c r="C504" s="1" t="n">
        <v>46034</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21305-2025</t>
        </is>
      </c>
      <c r="B505" s="1" t="n">
        <v>45781.40665509259</v>
      </c>
      <c r="C505" s="1" t="n">
        <v>46034</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55221-2024</t>
        </is>
      </c>
      <c r="B506" s="1" t="n">
        <v>45621.57369212963</v>
      </c>
      <c r="C506" s="1" t="n">
        <v>46034</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22164-2025</t>
        </is>
      </c>
      <c r="B507" s="1" t="n">
        <v>45785.59428240741</v>
      </c>
      <c r="C507" s="1" t="n">
        <v>46034</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21961-2025</t>
        </is>
      </c>
      <c r="B508" s="1" t="n">
        <v>45784.61517361111</v>
      </c>
      <c r="C508" s="1" t="n">
        <v>46034</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1347-2025</t>
        </is>
      </c>
      <c r="B509" s="1" t="n">
        <v>45667.61490740741</v>
      </c>
      <c r="C509" s="1" t="n">
        <v>46034</v>
      </c>
      <c r="D509" t="inlineStr">
        <is>
          <t>JÄMTLANDS LÄN</t>
        </is>
      </c>
      <c r="E509" t="inlineStr">
        <is>
          <t>BRÄCKE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22936-2024</t>
        </is>
      </c>
      <c r="B510" s="1" t="n">
        <v>45448.94478009259</v>
      </c>
      <c r="C510" s="1" t="n">
        <v>46034</v>
      </c>
      <c r="D510" t="inlineStr">
        <is>
          <t>JÄMTLANDS LÄN</t>
        </is>
      </c>
      <c r="E510" t="inlineStr">
        <is>
          <t>BRÄCKE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48482-2023</t>
        </is>
      </c>
      <c r="B511" s="1" t="n">
        <v>45206.95846064815</v>
      </c>
      <c r="C511" s="1" t="n">
        <v>46034</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22167-2025</t>
        </is>
      </c>
      <c r="B512" s="1" t="n">
        <v>45785.59498842592</v>
      </c>
      <c r="C512" s="1" t="n">
        <v>46034</v>
      </c>
      <c r="D512" t="inlineStr">
        <is>
          <t>JÄMTLANDS LÄN</t>
        </is>
      </c>
      <c r="E512" t="inlineStr">
        <is>
          <t>BRÄCKE</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51204-2025</t>
        </is>
      </c>
      <c r="B513" s="1" t="n">
        <v>45947.63607638889</v>
      </c>
      <c r="C513" s="1" t="n">
        <v>46034</v>
      </c>
      <c r="D513" t="inlineStr">
        <is>
          <t>JÄMTLANDS LÄN</t>
        </is>
      </c>
      <c r="E513" t="inlineStr">
        <is>
          <t>BRÄCKE</t>
        </is>
      </c>
      <c r="G513" t="n">
        <v>7.5</v>
      </c>
      <c r="H513" t="n">
        <v>0</v>
      </c>
      <c r="I513" t="n">
        <v>0</v>
      </c>
      <c r="J513" t="n">
        <v>0</v>
      </c>
      <c r="K513" t="n">
        <v>0</v>
      </c>
      <c r="L513" t="n">
        <v>0</v>
      </c>
      <c r="M513" t="n">
        <v>0</v>
      </c>
      <c r="N513" t="n">
        <v>0</v>
      </c>
      <c r="O513" t="n">
        <v>0</v>
      </c>
      <c r="P513" t="n">
        <v>0</v>
      </c>
      <c r="Q513" t="n">
        <v>0</v>
      </c>
      <c r="R513" s="2" t="inlineStr"/>
    </row>
    <row r="514" ht="15" customHeight="1">
      <c r="A514" t="inlineStr">
        <is>
          <t>A 51205-2025</t>
        </is>
      </c>
      <c r="B514" s="1" t="n">
        <v>45947.63615740741</v>
      </c>
      <c r="C514" s="1" t="n">
        <v>46034</v>
      </c>
      <c r="D514" t="inlineStr">
        <is>
          <t>JÄMTLANDS LÄN</t>
        </is>
      </c>
      <c r="E514" t="inlineStr">
        <is>
          <t>BRÄCKE</t>
        </is>
      </c>
      <c r="G514" t="n">
        <v>2.2</v>
      </c>
      <c r="H514" t="n">
        <v>0</v>
      </c>
      <c r="I514" t="n">
        <v>0</v>
      </c>
      <c r="J514" t="n">
        <v>0</v>
      </c>
      <c r="K514" t="n">
        <v>0</v>
      </c>
      <c r="L514" t="n">
        <v>0</v>
      </c>
      <c r="M514" t="n">
        <v>0</v>
      </c>
      <c r="N514" t="n">
        <v>0</v>
      </c>
      <c r="O514" t="n">
        <v>0</v>
      </c>
      <c r="P514" t="n">
        <v>0</v>
      </c>
      <c r="Q514" t="n">
        <v>0</v>
      </c>
      <c r="R514" s="2" t="inlineStr"/>
    </row>
    <row r="515" ht="15" customHeight="1">
      <c r="A515" t="inlineStr">
        <is>
          <t>A 38775-2025</t>
        </is>
      </c>
      <c r="B515" s="1" t="n">
        <v>45887.42667824074</v>
      </c>
      <c r="C515" s="1" t="n">
        <v>46034</v>
      </c>
      <c r="D515" t="inlineStr">
        <is>
          <t>JÄMTLANDS LÄN</t>
        </is>
      </c>
      <c r="E515" t="inlineStr">
        <is>
          <t>BRÄCKE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22000-2025</t>
        </is>
      </c>
      <c r="B516" s="1" t="n">
        <v>45784.69851851852</v>
      </c>
      <c r="C516" s="1" t="n">
        <v>46034</v>
      </c>
      <c r="D516" t="inlineStr">
        <is>
          <t>JÄMTLANDS LÄN</t>
        </is>
      </c>
      <c r="E516" t="inlineStr">
        <is>
          <t>BRÄCKE</t>
        </is>
      </c>
      <c r="F516" t="inlineStr">
        <is>
          <t>SCA</t>
        </is>
      </c>
      <c r="G516" t="n">
        <v>5.9</v>
      </c>
      <c r="H516" t="n">
        <v>0</v>
      </c>
      <c r="I516" t="n">
        <v>0</v>
      </c>
      <c r="J516" t="n">
        <v>0</v>
      </c>
      <c r="K516" t="n">
        <v>0</v>
      </c>
      <c r="L516" t="n">
        <v>0</v>
      </c>
      <c r="M516" t="n">
        <v>0</v>
      </c>
      <c r="N516" t="n">
        <v>0</v>
      </c>
      <c r="O516" t="n">
        <v>0</v>
      </c>
      <c r="P516" t="n">
        <v>0</v>
      </c>
      <c r="Q516" t="n">
        <v>0</v>
      </c>
      <c r="R516" s="2" t="inlineStr"/>
    </row>
    <row r="517" ht="15" customHeight="1">
      <c r="A517" t="inlineStr">
        <is>
          <t>A 50722-2025</t>
        </is>
      </c>
      <c r="B517" s="1" t="n">
        <v>45946.34673611111</v>
      </c>
      <c r="C517" s="1" t="n">
        <v>46034</v>
      </c>
      <c r="D517" t="inlineStr">
        <is>
          <t>JÄMTLANDS LÄN</t>
        </is>
      </c>
      <c r="E517" t="inlineStr">
        <is>
          <t>BRÄCKE</t>
        </is>
      </c>
      <c r="F517" t="inlineStr">
        <is>
          <t>SCA</t>
        </is>
      </c>
      <c r="G517" t="n">
        <v>22.7</v>
      </c>
      <c r="H517" t="n">
        <v>0</v>
      </c>
      <c r="I517" t="n">
        <v>0</v>
      </c>
      <c r="J517" t="n">
        <v>0</v>
      </c>
      <c r="K517" t="n">
        <v>0</v>
      </c>
      <c r="L517" t="n">
        <v>0</v>
      </c>
      <c r="M517" t="n">
        <v>0</v>
      </c>
      <c r="N517" t="n">
        <v>0</v>
      </c>
      <c r="O517" t="n">
        <v>0</v>
      </c>
      <c r="P517" t="n">
        <v>0</v>
      </c>
      <c r="Q517" t="n">
        <v>0</v>
      </c>
      <c r="R517" s="2" t="inlineStr"/>
    </row>
    <row r="518" ht="15" customHeight="1">
      <c r="A518" t="inlineStr">
        <is>
          <t>A 6291-2025</t>
        </is>
      </c>
      <c r="B518" s="1" t="n">
        <v>45698.65653935185</v>
      </c>
      <c r="C518" s="1" t="n">
        <v>46034</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10486-2025</t>
        </is>
      </c>
      <c r="B519" s="1" t="n">
        <v>45721.34410879629</v>
      </c>
      <c r="C519" s="1" t="n">
        <v>46034</v>
      </c>
      <c r="D519" t="inlineStr">
        <is>
          <t>JÄMTLANDS LÄN</t>
        </is>
      </c>
      <c r="E519" t="inlineStr">
        <is>
          <t>BRÄCKE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22652-2025</t>
        </is>
      </c>
      <c r="B520" s="1" t="n">
        <v>45789.46920138889</v>
      </c>
      <c r="C520" s="1" t="n">
        <v>46034</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4904-2025</t>
        </is>
      </c>
      <c r="B521" s="1" t="n">
        <v>45688.68020833333</v>
      </c>
      <c r="C521" s="1" t="n">
        <v>46034</v>
      </c>
      <c r="D521" t="inlineStr">
        <is>
          <t>JÄMTLANDS LÄN</t>
        </is>
      </c>
      <c r="E521" t="inlineStr">
        <is>
          <t>BRÄCKE</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22772-2025</t>
        </is>
      </c>
      <c r="B522" s="1" t="n">
        <v>45789.63618055556</v>
      </c>
      <c r="C522" s="1" t="n">
        <v>46034</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7027-2022</t>
        </is>
      </c>
      <c r="B523" s="1" t="n">
        <v>44603.46644675926</v>
      </c>
      <c r="C523" s="1" t="n">
        <v>46034</v>
      </c>
      <c r="D523" t="inlineStr">
        <is>
          <t>JÄMTLANDS LÄN</t>
        </is>
      </c>
      <c r="E523" t="inlineStr">
        <is>
          <t>BRÄCKE</t>
        </is>
      </c>
      <c r="G523" t="n">
        <v>3.7</v>
      </c>
      <c r="H523" t="n">
        <v>0</v>
      </c>
      <c r="I523" t="n">
        <v>0</v>
      </c>
      <c r="J523" t="n">
        <v>0</v>
      </c>
      <c r="K523" t="n">
        <v>0</v>
      </c>
      <c r="L523" t="n">
        <v>0</v>
      </c>
      <c r="M523" t="n">
        <v>0</v>
      </c>
      <c r="N523" t="n">
        <v>0</v>
      </c>
      <c r="O523" t="n">
        <v>0</v>
      </c>
      <c r="P523" t="n">
        <v>0</v>
      </c>
      <c r="Q523" t="n">
        <v>0</v>
      </c>
      <c r="R523" s="2" t="inlineStr"/>
    </row>
    <row r="524" ht="15" customHeight="1">
      <c r="A524" t="inlineStr">
        <is>
          <t>A 38842-2025</t>
        </is>
      </c>
      <c r="B524" s="1" t="n">
        <v>45887.54003472222</v>
      </c>
      <c r="C524" s="1" t="n">
        <v>46034</v>
      </c>
      <c r="D524" t="inlineStr">
        <is>
          <t>JÄMTLANDS LÄN</t>
        </is>
      </c>
      <c r="E524" t="inlineStr">
        <is>
          <t>BRÄCKE</t>
        </is>
      </c>
      <c r="G524" t="n">
        <v>6.3</v>
      </c>
      <c r="H524" t="n">
        <v>0</v>
      </c>
      <c r="I524" t="n">
        <v>0</v>
      </c>
      <c r="J524" t="n">
        <v>0</v>
      </c>
      <c r="K524" t="n">
        <v>0</v>
      </c>
      <c r="L524" t="n">
        <v>0</v>
      </c>
      <c r="M524" t="n">
        <v>0</v>
      </c>
      <c r="N524" t="n">
        <v>0</v>
      </c>
      <c r="O524" t="n">
        <v>0</v>
      </c>
      <c r="P524" t="n">
        <v>0</v>
      </c>
      <c r="Q524" t="n">
        <v>0</v>
      </c>
      <c r="R524" s="2" t="inlineStr"/>
    </row>
    <row r="525" ht="15" customHeight="1">
      <c r="A525" t="inlineStr">
        <is>
          <t>A 50591-2024</t>
        </is>
      </c>
      <c r="B525" s="1" t="n">
        <v>45601.6190625</v>
      </c>
      <c r="C525" s="1" t="n">
        <v>46034</v>
      </c>
      <c r="D525" t="inlineStr">
        <is>
          <t>JÄMTLANDS LÄN</t>
        </is>
      </c>
      <c r="E525" t="inlineStr">
        <is>
          <t>BRÄCKE</t>
        </is>
      </c>
      <c r="G525" t="n">
        <v>17</v>
      </c>
      <c r="H525" t="n">
        <v>0</v>
      </c>
      <c r="I525" t="n">
        <v>0</v>
      </c>
      <c r="J525" t="n">
        <v>0</v>
      </c>
      <c r="K525" t="n">
        <v>0</v>
      </c>
      <c r="L525" t="n">
        <v>0</v>
      </c>
      <c r="M525" t="n">
        <v>0</v>
      </c>
      <c r="N525" t="n">
        <v>0</v>
      </c>
      <c r="O525" t="n">
        <v>0</v>
      </c>
      <c r="P525" t="n">
        <v>0</v>
      </c>
      <c r="Q525" t="n">
        <v>0</v>
      </c>
      <c r="R525" s="2" t="inlineStr"/>
    </row>
    <row r="526" ht="15" customHeight="1">
      <c r="A526" t="inlineStr">
        <is>
          <t>A 22313-2025</t>
        </is>
      </c>
      <c r="B526" s="1" t="n">
        <v>45786.38583333333</v>
      </c>
      <c r="C526" s="1" t="n">
        <v>46034</v>
      </c>
      <c r="D526" t="inlineStr">
        <is>
          <t>JÄMTLANDS LÄN</t>
        </is>
      </c>
      <c r="E526" t="inlineStr">
        <is>
          <t>BRÄCKE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38811-2025</t>
        </is>
      </c>
      <c r="B527" s="1" t="n">
        <v>45887.48994212963</v>
      </c>
      <c r="C527" s="1" t="n">
        <v>46034</v>
      </c>
      <c r="D527" t="inlineStr">
        <is>
          <t>JÄMTLANDS LÄN</t>
        </is>
      </c>
      <c r="E527" t="inlineStr">
        <is>
          <t>BRÄCKE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38812-2025</t>
        </is>
      </c>
      <c r="B528" s="1" t="n">
        <v>45887.49016203704</v>
      </c>
      <c r="C528" s="1" t="n">
        <v>46034</v>
      </c>
      <c r="D528" t="inlineStr">
        <is>
          <t>JÄMTLANDS LÄN</t>
        </is>
      </c>
      <c r="E528" t="inlineStr">
        <is>
          <t>BRÄCKE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38835-2025</t>
        </is>
      </c>
      <c r="B529" s="1" t="n">
        <v>45887.53195601852</v>
      </c>
      <c r="C529" s="1" t="n">
        <v>46034</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40313-2021</t>
        </is>
      </c>
      <c r="B530" s="1" t="n">
        <v>44419.50186342592</v>
      </c>
      <c r="C530" s="1" t="n">
        <v>46034</v>
      </c>
      <c r="D530" t="inlineStr">
        <is>
          <t>JÄMTLANDS LÄN</t>
        </is>
      </c>
      <c r="E530" t="inlineStr">
        <is>
          <t>BRÄCKE</t>
        </is>
      </c>
      <c r="G530" t="n">
        <v>5.7</v>
      </c>
      <c r="H530" t="n">
        <v>0</v>
      </c>
      <c r="I530" t="n">
        <v>0</v>
      </c>
      <c r="J530" t="n">
        <v>0</v>
      </c>
      <c r="K530" t="n">
        <v>0</v>
      </c>
      <c r="L530" t="n">
        <v>0</v>
      </c>
      <c r="M530" t="n">
        <v>0</v>
      </c>
      <c r="N530" t="n">
        <v>0</v>
      </c>
      <c r="O530" t="n">
        <v>0</v>
      </c>
      <c r="P530" t="n">
        <v>0</v>
      </c>
      <c r="Q530" t="n">
        <v>0</v>
      </c>
      <c r="R530" s="2" t="inlineStr"/>
    </row>
    <row r="531" ht="15" customHeight="1">
      <c r="A531" t="inlineStr">
        <is>
          <t>A 4491-2024</t>
        </is>
      </c>
      <c r="B531" s="1" t="n">
        <v>45327</v>
      </c>
      <c r="C531" s="1" t="n">
        <v>46034</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58740-2023</t>
        </is>
      </c>
      <c r="B532" s="1" t="n">
        <v>45251.92890046296</v>
      </c>
      <c r="C532" s="1" t="n">
        <v>46034</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14664-2024</t>
        </is>
      </c>
      <c r="B533" s="1" t="n">
        <v>45397.41673611111</v>
      </c>
      <c r="C533" s="1" t="n">
        <v>46034</v>
      </c>
      <c r="D533" t="inlineStr">
        <is>
          <t>JÄMTLANDS LÄN</t>
        </is>
      </c>
      <c r="E533" t="inlineStr">
        <is>
          <t>BRÄCKE</t>
        </is>
      </c>
      <c r="G533" t="n">
        <v>4.5</v>
      </c>
      <c r="H533" t="n">
        <v>0</v>
      </c>
      <c r="I533" t="n">
        <v>0</v>
      </c>
      <c r="J533" t="n">
        <v>0</v>
      </c>
      <c r="K533" t="n">
        <v>0</v>
      </c>
      <c r="L533" t="n">
        <v>0</v>
      </c>
      <c r="M533" t="n">
        <v>0</v>
      </c>
      <c r="N533" t="n">
        <v>0</v>
      </c>
      <c r="O533" t="n">
        <v>0</v>
      </c>
      <c r="P533" t="n">
        <v>0</v>
      </c>
      <c r="Q533" t="n">
        <v>0</v>
      </c>
      <c r="R533" s="2" t="inlineStr"/>
    </row>
    <row r="534" ht="15" customHeight="1">
      <c r="A534" t="inlineStr">
        <is>
          <t>A 12452-2025</t>
        </is>
      </c>
      <c r="B534" s="1" t="n">
        <v>45730.51483796296</v>
      </c>
      <c r="C534" s="1" t="n">
        <v>46034</v>
      </c>
      <c r="D534" t="inlineStr">
        <is>
          <t>JÄMTLANDS LÄN</t>
        </is>
      </c>
      <c r="E534" t="inlineStr">
        <is>
          <t>BRÄCKE</t>
        </is>
      </c>
      <c r="G534" t="n">
        <v>2.5</v>
      </c>
      <c r="H534" t="n">
        <v>0</v>
      </c>
      <c r="I534" t="n">
        <v>0</v>
      </c>
      <c r="J534" t="n">
        <v>0</v>
      </c>
      <c r="K534" t="n">
        <v>0</v>
      </c>
      <c r="L534" t="n">
        <v>0</v>
      </c>
      <c r="M534" t="n">
        <v>0</v>
      </c>
      <c r="N534" t="n">
        <v>0</v>
      </c>
      <c r="O534" t="n">
        <v>0</v>
      </c>
      <c r="P534" t="n">
        <v>0</v>
      </c>
      <c r="Q534" t="n">
        <v>0</v>
      </c>
      <c r="R534" s="2" t="inlineStr"/>
    </row>
    <row r="535" ht="15" customHeight="1">
      <c r="A535" t="inlineStr">
        <is>
          <t>A 22792-2025</t>
        </is>
      </c>
      <c r="B535" s="1" t="n">
        <v>45789.65681712963</v>
      </c>
      <c r="C535" s="1" t="n">
        <v>46034</v>
      </c>
      <c r="D535" t="inlineStr">
        <is>
          <t>JÄMTLANDS LÄN</t>
        </is>
      </c>
      <c r="E535" t="inlineStr">
        <is>
          <t>BRÄCKE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22816-2025</t>
        </is>
      </c>
      <c r="B536" s="1" t="n">
        <v>45789.69841435185</v>
      </c>
      <c r="C536" s="1" t="n">
        <v>46034</v>
      </c>
      <c r="D536" t="inlineStr">
        <is>
          <t>JÄMTLANDS LÄN</t>
        </is>
      </c>
      <c r="E536" t="inlineStr">
        <is>
          <t>BRÄCKE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53278-2022</t>
        </is>
      </c>
      <c r="B537" s="1" t="n">
        <v>44876.94785879629</v>
      </c>
      <c r="C537" s="1" t="n">
        <v>46034</v>
      </c>
      <c r="D537" t="inlineStr">
        <is>
          <t>JÄMTLANDS LÄN</t>
        </is>
      </c>
      <c r="E537" t="inlineStr">
        <is>
          <t>BRÄCKE</t>
        </is>
      </c>
      <c r="G537" t="n">
        <v>2</v>
      </c>
      <c r="H537" t="n">
        <v>0</v>
      </c>
      <c r="I537" t="n">
        <v>0</v>
      </c>
      <c r="J537" t="n">
        <v>0</v>
      </c>
      <c r="K537" t="n">
        <v>0</v>
      </c>
      <c r="L537" t="n">
        <v>0</v>
      </c>
      <c r="M537" t="n">
        <v>0</v>
      </c>
      <c r="N537" t="n">
        <v>0</v>
      </c>
      <c r="O537" t="n">
        <v>0</v>
      </c>
      <c r="P537" t="n">
        <v>0</v>
      </c>
      <c r="Q537" t="n">
        <v>0</v>
      </c>
      <c r="R537" s="2" t="inlineStr"/>
    </row>
    <row r="538" ht="15" customHeight="1">
      <c r="A538" t="inlineStr">
        <is>
          <t>A 38834-2025</t>
        </is>
      </c>
      <c r="B538" s="1" t="n">
        <v>45887.53174768519</v>
      </c>
      <c r="C538" s="1" t="n">
        <v>46034</v>
      </c>
      <c r="D538" t="inlineStr">
        <is>
          <t>JÄMTLANDS LÄN</t>
        </is>
      </c>
      <c r="E538" t="inlineStr">
        <is>
          <t>BRÄCKE</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22670-2025</t>
        </is>
      </c>
      <c r="B539" s="1" t="n">
        <v>45789.49024305555</v>
      </c>
      <c r="C539" s="1" t="n">
        <v>46034</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23363-2025</t>
        </is>
      </c>
      <c r="B540" s="1" t="n">
        <v>45791.67775462963</v>
      </c>
      <c r="C540" s="1" t="n">
        <v>46034</v>
      </c>
      <c r="D540" t="inlineStr">
        <is>
          <t>JÄMTLANDS LÄN</t>
        </is>
      </c>
      <c r="E540" t="inlineStr">
        <is>
          <t>BRÄCKE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22940-2025</t>
        </is>
      </c>
      <c r="B541" s="1" t="n">
        <v>45790.46918981482</v>
      </c>
      <c r="C541" s="1" t="n">
        <v>46034</v>
      </c>
      <c r="D541" t="inlineStr">
        <is>
          <t>JÄMTLANDS LÄN</t>
        </is>
      </c>
      <c r="E541" t="inlineStr">
        <is>
          <t>BRÄCKE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23211-2025</t>
        </is>
      </c>
      <c r="B542" s="1" t="n">
        <v>45791.46956018519</v>
      </c>
      <c r="C542" s="1" t="n">
        <v>46034</v>
      </c>
      <c r="D542" t="inlineStr">
        <is>
          <t>JÄMTLANDS LÄN</t>
        </is>
      </c>
      <c r="E542" t="inlineStr">
        <is>
          <t>BRÄCKE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22958-2025</t>
        </is>
      </c>
      <c r="B543" s="1" t="n">
        <v>45790.53184027778</v>
      </c>
      <c r="C543" s="1" t="n">
        <v>46034</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22957-2025</t>
        </is>
      </c>
      <c r="B544" s="1" t="n">
        <v>45790.53179398148</v>
      </c>
      <c r="C544" s="1" t="n">
        <v>46034</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35501-2022</t>
        </is>
      </c>
      <c r="B545" s="1" t="n">
        <v>44798.94827546296</v>
      </c>
      <c r="C545" s="1" t="n">
        <v>46034</v>
      </c>
      <c r="D545" t="inlineStr">
        <is>
          <t>JÄMTLANDS LÄN</t>
        </is>
      </c>
      <c r="E545" t="inlineStr">
        <is>
          <t>BRÄCKE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12864-2024</t>
        </is>
      </c>
      <c r="B546" s="1" t="n">
        <v>45384.9415625</v>
      </c>
      <c r="C546" s="1" t="n">
        <v>46034</v>
      </c>
      <c r="D546" t="inlineStr">
        <is>
          <t>JÄMTLANDS LÄN</t>
        </is>
      </c>
      <c r="E546" t="inlineStr">
        <is>
          <t>BRÄCKE</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12891-2024</t>
        </is>
      </c>
      <c r="B547" s="1" t="n">
        <v>45385</v>
      </c>
      <c r="C547" s="1" t="n">
        <v>46034</v>
      </c>
      <c r="D547" t="inlineStr">
        <is>
          <t>JÄMTLANDS LÄN</t>
        </is>
      </c>
      <c r="E547" t="inlineStr">
        <is>
          <t>BRÄCKE</t>
        </is>
      </c>
      <c r="F547" t="inlineStr">
        <is>
          <t>Kyrkan</t>
        </is>
      </c>
      <c r="G547" t="n">
        <v>0.4</v>
      </c>
      <c r="H547" t="n">
        <v>0</v>
      </c>
      <c r="I547" t="n">
        <v>0</v>
      </c>
      <c r="J547" t="n">
        <v>0</v>
      </c>
      <c r="K547" t="n">
        <v>0</v>
      </c>
      <c r="L547" t="n">
        <v>0</v>
      </c>
      <c r="M547" t="n">
        <v>0</v>
      </c>
      <c r="N547" t="n">
        <v>0</v>
      </c>
      <c r="O547" t="n">
        <v>0</v>
      </c>
      <c r="P547" t="n">
        <v>0</v>
      </c>
      <c r="Q547" t="n">
        <v>0</v>
      </c>
      <c r="R547" s="2" t="inlineStr"/>
    </row>
    <row r="548" ht="15" customHeight="1">
      <c r="A548" t="inlineStr">
        <is>
          <t>A 51612-2025</t>
        </is>
      </c>
      <c r="B548" s="1" t="n">
        <v>45951.39751157408</v>
      </c>
      <c r="C548" s="1" t="n">
        <v>46034</v>
      </c>
      <c r="D548" t="inlineStr">
        <is>
          <t>JÄMTLANDS LÄN</t>
        </is>
      </c>
      <c r="E548" t="inlineStr">
        <is>
          <t>BRÄCKE</t>
        </is>
      </c>
      <c r="G548" t="n">
        <v>6.6</v>
      </c>
      <c r="H548" t="n">
        <v>0</v>
      </c>
      <c r="I548" t="n">
        <v>0</v>
      </c>
      <c r="J548" t="n">
        <v>0</v>
      </c>
      <c r="K548" t="n">
        <v>0</v>
      </c>
      <c r="L548" t="n">
        <v>0</v>
      </c>
      <c r="M548" t="n">
        <v>0</v>
      </c>
      <c r="N548" t="n">
        <v>0</v>
      </c>
      <c r="O548" t="n">
        <v>0</v>
      </c>
      <c r="P548" t="n">
        <v>0</v>
      </c>
      <c r="Q548" t="n">
        <v>0</v>
      </c>
      <c r="R548" s="2" t="inlineStr"/>
    </row>
    <row r="549" ht="15" customHeight="1">
      <c r="A549" t="inlineStr">
        <is>
          <t>A 51616-2025</t>
        </is>
      </c>
      <c r="B549" s="1" t="n">
        <v>45951.40637731482</v>
      </c>
      <c r="C549" s="1" t="n">
        <v>46034</v>
      </c>
      <c r="D549" t="inlineStr">
        <is>
          <t>JÄMTLANDS LÄN</t>
        </is>
      </c>
      <c r="E549" t="inlineStr">
        <is>
          <t>BRÄCKE</t>
        </is>
      </c>
      <c r="G549" t="n">
        <v>18.9</v>
      </c>
      <c r="H549" t="n">
        <v>0</v>
      </c>
      <c r="I549" t="n">
        <v>0</v>
      </c>
      <c r="J549" t="n">
        <v>0</v>
      </c>
      <c r="K549" t="n">
        <v>0</v>
      </c>
      <c r="L549" t="n">
        <v>0</v>
      </c>
      <c r="M549" t="n">
        <v>0</v>
      </c>
      <c r="N549" t="n">
        <v>0</v>
      </c>
      <c r="O549" t="n">
        <v>0</v>
      </c>
      <c r="P549" t="n">
        <v>0</v>
      </c>
      <c r="Q549" t="n">
        <v>0</v>
      </c>
      <c r="R549" s="2" t="inlineStr"/>
    </row>
    <row r="550" ht="15" customHeight="1">
      <c r="A550" t="inlineStr">
        <is>
          <t>A 23344-2025</t>
        </is>
      </c>
      <c r="B550" s="1" t="n">
        <v>45791.65712962963</v>
      </c>
      <c r="C550" s="1" t="n">
        <v>46034</v>
      </c>
      <c r="D550" t="inlineStr">
        <is>
          <t>JÄMTLANDS LÄN</t>
        </is>
      </c>
      <c r="E550" t="inlineStr">
        <is>
          <t>BRÄCKE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59417-2023</t>
        </is>
      </c>
      <c r="B551" s="1" t="n">
        <v>45253</v>
      </c>
      <c r="C551" s="1" t="n">
        <v>46034</v>
      </c>
      <c r="D551" t="inlineStr">
        <is>
          <t>JÄMTLANDS LÄN</t>
        </is>
      </c>
      <c r="E551" t="inlineStr">
        <is>
          <t>BRÄCKE</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51574-2025</t>
        </is>
      </c>
      <c r="B552" s="1" t="n">
        <v>45951.34423611111</v>
      </c>
      <c r="C552" s="1" t="n">
        <v>46034</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54243-2022</t>
        </is>
      </c>
      <c r="B553" s="1" t="n">
        <v>44881</v>
      </c>
      <c r="C553" s="1" t="n">
        <v>46034</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31471-2023</t>
        </is>
      </c>
      <c r="B554" s="1" t="n">
        <v>45104</v>
      </c>
      <c r="C554" s="1" t="n">
        <v>46034</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14492-2024</t>
        </is>
      </c>
      <c r="B555" s="1" t="n">
        <v>45394.58215277778</v>
      </c>
      <c r="C555" s="1" t="n">
        <v>46034</v>
      </c>
      <c r="D555" t="inlineStr">
        <is>
          <t>JÄMTLANDS LÄN</t>
        </is>
      </c>
      <c r="E555" t="inlineStr">
        <is>
          <t>BRÄCKE</t>
        </is>
      </c>
      <c r="G555" t="n">
        <v>16.6</v>
      </c>
      <c r="H555" t="n">
        <v>0</v>
      </c>
      <c r="I555" t="n">
        <v>0</v>
      </c>
      <c r="J555" t="n">
        <v>0</v>
      </c>
      <c r="K555" t="n">
        <v>0</v>
      </c>
      <c r="L555" t="n">
        <v>0</v>
      </c>
      <c r="M555" t="n">
        <v>0</v>
      </c>
      <c r="N555" t="n">
        <v>0</v>
      </c>
      <c r="O555" t="n">
        <v>0</v>
      </c>
      <c r="P555" t="n">
        <v>0</v>
      </c>
      <c r="Q555" t="n">
        <v>0</v>
      </c>
      <c r="R555" s="2" t="inlineStr"/>
    </row>
    <row r="556" ht="15" customHeight="1">
      <c r="A556" t="inlineStr">
        <is>
          <t>A 52249-2023</t>
        </is>
      </c>
      <c r="B556" s="1" t="n">
        <v>45217</v>
      </c>
      <c r="C556" s="1" t="n">
        <v>46034</v>
      </c>
      <c r="D556" t="inlineStr">
        <is>
          <t>JÄMTLANDS LÄN</t>
        </is>
      </c>
      <c r="E556" t="inlineStr">
        <is>
          <t>BRÄCKE</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23491-2025</t>
        </is>
      </c>
      <c r="B557" s="1" t="n">
        <v>45792.46924768519</v>
      </c>
      <c r="C557" s="1" t="n">
        <v>46034</v>
      </c>
      <c r="D557" t="inlineStr">
        <is>
          <t>JÄMTLANDS LÄN</t>
        </is>
      </c>
      <c r="E557" t="inlineStr">
        <is>
          <t>BRÄCKE</t>
        </is>
      </c>
      <c r="F557" t="inlineStr">
        <is>
          <t>SCA</t>
        </is>
      </c>
      <c r="G557" t="n">
        <v>11.8</v>
      </c>
      <c r="H557" t="n">
        <v>0</v>
      </c>
      <c r="I557" t="n">
        <v>0</v>
      </c>
      <c r="J557" t="n">
        <v>0</v>
      </c>
      <c r="K557" t="n">
        <v>0</v>
      </c>
      <c r="L557" t="n">
        <v>0</v>
      </c>
      <c r="M557" t="n">
        <v>0</v>
      </c>
      <c r="N557" t="n">
        <v>0</v>
      </c>
      <c r="O557" t="n">
        <v>0</v>
      </c>
      <c r="P557" t="n">
        <v>0</v>
      </c>
      <c r="Q557" t="n">
        <v>0</v>
      </c>
      <c r="R557" s="2" t="inlineStr"/>
    </row>
    <row r="558" ht="15" customHeight="1">
      <c r="A558" t="inlineStr">
        <is>
          <t>A 39273-2025</t>
        </is>
      </c>
      <c r="B558" s="1" t="n">
        <v>45889.38655092593</v>
      </c>
      <c r="C558" s="1" t="n">
        <v>46034</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59542-2025</t>
        </is>
      </c>
      <c r="B559" s="1" t="n">
        <v>45990.34454861111</v>
      </c>
      <c r="C559" s="1" t="n">
        <v>46034</v>
      </c>
      <c r="D559" t="inlineStr">
        <is>
          <t>JÄMTLANDS LÄN</t>
        </is>
      </c>
      <c r="E559" t="inlineStr">
        <is>
          <t>BRÄCKE</t>
        </is>
      </c>
      <c r="F559" t="inlineStr">
        <is>
          <t>SCA</t>
        </is>
      </c>
      <c r="G559" t="n">
        <v>9.9</v>
      </c>
      <c r="H559" t="n">
        <v>0</v>
      </c>
      <c r="I559" t="n">
        <v>0</v>
      </c>
      <c r="J559" t="n">
        <v>0</v>
      </c>
      <c r="K559" t="n">
        <v>0</v>
      </c>
      <c r="L559" t="n">
        <v>0</v>
      </c>
      <c r="M559" t="n">
        <v>0</v>
      </c>
      <c r="N559" t="n">
        <v>0</v>
      </c>
      <c r="O559" t="n">
        <v>0</v>
      </c>
      <c r="P559" t="n">
        <v>0</v>
      </c>
      <c r="Q559" t="n">
        <v>0</v>
      </c>
      <c r="R559" s="2" t="inlineStr"/>
    </row>
    <row r="560" ht="15" customHeight="1">
      <c r="A560" t="inlineStr">
        <is>
          <t>A 23320-2025</t>
        </is>
      </c>
      <c r="B560" s="1" t="n">
        <v>45791.61528935185</v>
      </c>
      <c r="C560" s="1" t="n">
        <v>46034</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17973-2025</t>
        </is>
      </c>
      <c r="B561" s="1" t="n">
        <v>45761.36490740741</v>
      </c>
      <c r="C561" s="1" t="n">
        <v>46034</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17977-2025</t>
        </is>
      </c>
      <c r="B562" s="1" t="n">
        <v>45761.36550925926</v>
      </c>
      <c r="C562" s="1" t="n">
        <v>46034</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23298-2025</t>
        </is>
      </c>
      <c r="B563" s="1" t="n">
        <v>45791.59456018519</v>
      </c>
      <c r="C563" s="1" t="n">
        <v>46034</v>
      </c>
      <c r="D563" t="inlineStr">
        <is>
          <t>JÄMTLANDS LÄN</t>
        </is>
      </c>
      <c r="E563" t="inlineStr">
        <is>
          <t>BRÄCKE</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39385-2025</t>
        </is>
      </c>
      <c r="B564" s="1" t="n">
        <v>45889.61550925926</v>
      </c>
      <c r="C564" s="1" t="n">
        <v>46034</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11093-2022</t>
        </is>
      </c>
      <c r="B565" s="1" t="n">
        <v>44628</v>
      </c>
      <c r="C565" s="1" t="n">
        <v>46034</v>
      </c>
      <c r="D565" t="inlineStr">
        <is>
          <t>JÄMTLANDS LÄN</t>
        </is>
      </c>
      <c r="E565" t="inlineStr">
        <is>
          <t>BRÄCKE</t>
        </is>
      </c>
      <c r="G565" t="n">
        <v>16.4</v>
      </c>
      <c r="H565" t="n">
        <v>0</v>
      </c>
      <c r="I565" t="n">
        <v>0</v>
      </c>
      <c r="J565" t="n">
        <v>0</v>
      </c>
      <c r="K565" t="n">
        <v>0</v>
      </c>
      <c r="L565" t="n">
        <v>0</v>
      </c>
      <c r="M565" t="n">
        <v>0</v>
      </c>
      <c r="N565" t="n">
        <v>0</v>
      </c>
      <c r="O565" t="n">
        <v>0</v>
      </c>
      <c r="P565" t="n">
        <v>0</v>
      </c>
      <c r="Q565" t="n">
        <v>0</v>
      </c>
      <c r="R565" s="2" t="inlineStr"/>
    </row>
    <row r="566" ht="15" customHeight="1">
      <c r="A566" t="inlineStr">
        <is>
          <t>A 14373-2024</t>
        </is>
      </c>
      <c r="B566" s="1" t="n">
        <v>45393</v>
      </c>
      <c r="C566" s="1" t="n">
        <v>46034</v>
      </c>
      <c r="D566" t="inlineStr">
        <is>
          <t>JÄMTLANDS LÄN</t>
        </is>
      </c>
      <c r="E566" t="inlineStr">
        <is>
          <t>BRÄCKE</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39344-2025</t>
        </is>
      </c>
      <c r="B567" s="1" t="n">
        <v>45889.53175925926</v>
      </c>
      <c r="C567" s="1" t="n">
        <v>46034</v>
      </c>
      <c r="D567" t="inlineStr">
        <is>
          <t>JÄMTLANDS LÄN</t>
        </is>
      </c>
      <c r="E567" t="inlineStr">
        <is>
          <t>BRÄCKE</t>
        </is>
      </c>
      <c r="F567" t="inlineStr">
        <is>
          <t>SCA</t>
        </is>
      </c>
      <c r="G567" t="n">
        <v>9.6</v>
      </c>
      <c r="H567" t="n">
        <v>0</v>
      </c>
      <c r="I567" t="n">
        <v>0</v>
      </c>
      <c r="J567" t="n">
        <v>0</v>
      </c>
      <c r="K567" t="n">
        <v>0</v>
      </c>
      <c r="L567" t="n">
        <v>0</v>
      </c>
      <c r="M567" t="n">
        <v>0</v>
      </c>
      <c r="N567" t="n">
        <v>0</v>
      </c>
      <c r="O567" t="n">
        <v>0</v>
      </c>
      <c r="P567" t="n">
        <v>0</v>
      </c>
      <c r="Q567" t="n">
        <v>0</v>
      </c>
      <c r="R567" s="2" t="inlineStr"/>
    </row>
    <row r="568" ht="15" customHeight="1">
      <c r="A568" t="inlineStr">
        <is>
          <t>A 39355-2025</t>
        </is>
      </c>
      <c r="B568" s="1" t="n">
        <v>45889.55252314815</v>
      </c>
      <c r="C568" s="1" t="n">
        <v>46034</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39377-2025</t>
        </is>
      </c>
      <c r="B569" s="1" t="n">
        <v>45889.59434027778</v>
      </c>
      <c r="C569" s="1" t="n">
        <v>46034</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1914-2025</t>
        </is>
      </c>
      <c r="B570" s="1" t="n">
        <v>45671.65984953703</v>
      </c>
      <c r="C570" s="1" t="n">
        <v>46034</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49085-2023</t>
        </is>
      </c>
      <c r="B571" s="1" t="n">
        <v>45204</v>
      </c>
      <c r="C571" s="1" t="n">
        <v>46034</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46034</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39086-2025</t>
        </is>
      </c>
      <c r="B573" s="1" t="n">
        <v>45888.49046296296</v>
      </c>
      <c r="C573" s="1" t="n">
        <v>46034</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46034</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23583-2025</t>
        </is>
      </c>
      <c r="B575" s="1" t="n">
        <v>45792.63043981481</v>
      </c>
      <c r="C575" s="1" t="n">
        <v>46034</v>
      </c>
      <c r="D575" t="inlineStr">
        <is>
          <t>JÄMTLANDS LÄN</t>
        </is>
      </c>
      <c r="E575" t="inlineStr">
        <is>
          <t>BRÄCKE</t>
        </is>
      </c>
      <c r="G575" t="n">
        <v>3</v>
      </c>
      <c r="H575" t="n">
        <v>0</v>
      </c>
      <c r="I575" t="n">
        <v>0</v>
      </c>
      <c r="J575" t="n">
        <v>0</v>
      </c>
      <c r="K575" t="n">
        <v>0</v>
      </c>
      <c r="L575" t="n">
        <v>0</v>
      </c>
      <c r="M575" t="n">
        <v>0</v>
      </c>
      <c r="N575" t="n">
        <v>0</v>
      </c>
      <c r="O575" t="n">
        <v>0</v>
      </c>
      <c r="P575" t="n">
        <v>0</v>
      </c>
      <c r="Q575" t="n">
        <v>0</v>
      </c>
      <c r="R575" s="2" t="inlineStr"/>
    </row>
    <row r="576" ht="15" customHeight="1">
      <c r="A576" t="inlineStr">
        <is>
          <t>A 39272-2025</t>
        </is>
      </c>
      <c r="B576" s="1" t="n">
        <v>45889.38640046296</v>
      </c>
      <c r="C576" s="1" t="n">
        <v>46034</v>
      </c>
      <c r="D576" t="inlineStr">
        <is>
          <t>JÄMTLANDS LÄN</t>
        </is>
      </c>
      <c r="E576" t="inlineStr">
        <is>
          <t>BRÄCKE</t>
        </is>
      </c>
      <c r="F576" t="inlineStr">
        <is>
          <t>SCA</t>
        </is>
      </c>
      <c r="G576" t="n">
        <v>13.1</v>
      </c>
      <c r="H576" t="n">
        <v>0</v>
      </c>
      <c r="I576" t="n">
        <v>0</v>
      </c>
      <c r="J576" t="n">
        <v>0</v>
      </c>
      <c r="K576" t="n">
        <v>0</v>
      </c>
      <c r="L576" t="n">
        <v>0</v>
      </c>
      <c r="M576" t="n">
        <v>0</v>
      </c>
      <c r="N576" t="n">
        <v>0</v>
      </c>
      <c r="O576" t="n">
        <v>0</v>
      </c>
      <c r="P576" t="n">
        <v>0</v>
      </c>
      <c r="Q576" t="n">
        <v>0</v>
      </c>
      <c r="R576" s="2" t="inlineStr"/>
    </row>
    <row r="577" ht="15" customHeight="1">
      <c r="A577" t="inlineStr">
        <is>
          <t>A 39100-2025</t>
        </is>
      </c>
      <c r="B577" s="1" t="n">
        <v>45888.5108912037</v>
      </c>
      <c r="C577" s="1" t="n">
        <v>46034</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23842-2025</t>
        </is>
      </c>
      <c r="B578" s="1" t="n">
        <v>45793.61534722222</v>
      </c>
      <c r="C578" s="1" t="n">
        <v>46034</v>
      </c>
      <c r="D578" t="inlineStr">
        <is>
          <t>JÄMTLANDS LÄN</t>
        </is>
      </c>
      <c r="E578" t="inlineStr">
        <is>
          <t>BRÄCKE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39088-2025</t>
        </is>
      </c>
      <c r="B579" s="1" t="n">
        <v>45888.49105324074</v>
      </c>
      <c r="C579" s="1" t="n">
        <v>46034</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39117-2025</t>
        </is>
      </c>
      <c r="B580" s="1" t="n">
        <v>45888.55275462963</v>
      </c>
      <c r="C580" s="1" t="n">
        <v>46034</v>
      </c>
      <c r="D580" t="inlineStr">
        <is>
          <t>JÄMTLANDS LÄN</t>
        </is>
      </c>
      <c r="E580" t="inlineStr">
        <is>
          <t>BRÄCKE</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39052-2025</t>
        </is>
      </c>
      <c r="B581" s="1" t="n">
        <v>45888.44829861111</v>
      </c>
      <c r="C581" s="1" t="n">
        <v>46034</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39087-2025</t>
        </is>
      </c>
      <c r="B582" s="1" t="n">
        <v>45888.49076388889</v>
      </c>
      <c r="C582" s="1" t="n">
        <v>46034</v>
      </c>
      <c r="D582" t="inlineStr">
        <is>
          <t>JÄMTLANDS LÄN</t>
        </is>
      </c>
      <c r="E582" t="inlineStr">
        <is>
          <t>BRÄCKE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47550-2024</t>
        </is>
      </c>
      <c r="B583" s="1" t="n">
        <v>45587.66041666667</v>
      </c>
      <c r="C583" s="1" t="n">
        <v>46034</v>
      </c>
      <c r="D583" t="inlineStr">
        <is>
          <t>JÄMTLANDS LÄN</t>
        </is>
      </c>
      <c r="E583" t="inlineStr">
        <is>
          <t>BRÄCKE</t>
        </is>
      </c>
      <c r="G583" t="n">
        <v>5.3</v>
      </c>
      <c r="H583" t="n">
        <v>0</v>
      </c>
      <c r="I583" t="n">
        <v>0</v>
      </c>
      <c r="J583" t="n">
        <v>0</v>
      </c>
      <c r="K583" t="n">
        <v>0</v>
      </c>
      <c r="L583" t="n">
        <v>0</v>
      </c>
      <c r="M583" t="n">
        <v>0</v>
      </c>
      <c r="N583" t="n">
        <v>0</v>
      </c>
      <c r="O583" t="n">
        <v>0</v>
      </c>
      <c r="P583" t="n">
        <v>0</v>
      </c>
      <c r="Q583" t="n">
        <v>0</v>
      </c>
      <c r="R583" s="2" t="inlineStr"/>
    </row>
    <row r="584" ht="15" customHeight="1">
      <c r="A584" t="inlineStr">
        <is>
          <t>A 37959-2024</t>
        </is>
      </c>
      <c r="B584" s="1" t="n">
        <v>45544.53870370371</v>
      </c>
      <c r="C584" s="1" t="n">
        <v>46034</v>
      </c>
      <c r="D584" t="inlineStr">
        <is>
          <t>JÄMTLANDS LÄN</t>
        </is>
      </c>
      <c r="E584" t="inlineStr">
        <is>
          <t>BRÄCKE</t>
        </is>
      </c>
      <c r="G584" t="n">
        <v>6.5</v>
      </c>
      <c r="H584" t="n">
        <v>0</v>
      </c>
      <c r="I584" t="n">
        <v>0</v>
      </c>
      <c r="J584" t="n">
        <v>0</v>
      </c>
      <c r="K584" t="n">
        <v>0</v>
      </c>
      <c r="L584" t="n">
        <v>0</v>
      </c>
      <c r="M584" t="n">
        <v>0</v>
      </c>
      <c r="N584" t="n">
        <v>0</v>
      </c>
      <c r="O584" t="n">
        <v>0</v>
      </c>
      <c r="P584" t="n">
        <v>0</v>
      </c>
      <c r="Q584" t="n">
        <v>0</v>
      </c>
      <c r="R584" s="2" t="inlineStr"/>
    </row>
    <row r="585" ht="15" customHeight="1">
      <c r="A585" t="inlineStr">
        <is>
          <t>A 23458-2025</t>
        </is>
      </c>
      <c r="B585" s="1" t="n">
        <v>45792.42756944444</v>
      </c>
      <c r="C585" s="1" t="n">
        <v>46034</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39680-2025</t>
        </is>
      </c>
      <c r="B586" s="1" t="n">
        <v>45890.65677083333</v>
      </c>
      <c r="C586" s="1" t="n">
        <v>46034</v>
      </c>
      <c r="D586" t="inlineStr">
        <is>
          <t>JÄMTLANDS LÄN</t>
        </is>
      </c>
      <c r="E586" t="inlineStr">
        <is>
          <t>BRÄCKE</t>
        </is>
      </c>
      <c r="G586" t="n">
        <v>3.3</v>
      </c>
      <c r="H586" t="n">
        <v>0</v>
      </c>
      <c r="I586" t="n">
        <v>0</v>
      </c>
      <c r="J586" t="n">
        <v>0</v>
      </c>
      <c r="K586" t="n">
        <v>0</v>
      </c>
      <c r="L586" t="n">
        <v>0</v>
      </c>
      <c r="M586" t="n">
        <v>0</v>
      </c>
      <c r="N586" t="n">
        <v>0</v>
      </c>
      <c r="O586" t="n">
        <v>0</v>
      </c>
      <c r="P586" t="n">
        <v>0</v>
      </c>
      <c r="Q586" t="n">
        <v>0</v>
      </c>
      <c r="R586" s="2" t="inlineStr"/>
    </row>
    <row r="587" ht="15" customHeight="1">
      <c r="A587" t="inlineStr">
        <is>
          <t>A 39506-2025</t>
        </is>
      </c>
      <c r="B587" s="1" t="n">
        <v>45890.40703703704</v>
      </c>
      <c r="C587" s="1" t="n">
        <v>46034</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15261-2025</t>
        </is>
      </c>
      <c r="B588" s="1" t="n">
        <v>45744</v>
      </c>
      <c r="C588" s="1" t="n">
        <v>46034</v>
      </c>
      <c r="D588" t="inlineStr">
        <is>
          <t>JÄMTLANDS LÄN</t>
        </is>
      </c>
      <c r="E588" t="inlineStr">
        <is>
          <t>BRÄCKE</t>
        </is>
      </c>
      <c r="F588" t="inlineStr">
        <is>
          <t>SCA</t>
        </is>
      </c>
      <c r="G588" t="n">
        <v>9</v>
      </c>
      <c r="H588" t="n">
        <v>0</v>
      </c>
      <c r="I588" t="n">
        <v>0</v>
      </c>
      <c r="J588" t="n">
        <v>0</v>
      </c>
      <c r="K588" t="n">
        <v>0</v>
      </c>
      <c r="L588" t="n">
        <v>0</v>
      </c>
      <c r="M588" t="n">
        <v>0</v>
      </c>
      <c r="N588" t="n">
        <v>0</v>
      </c>
      <c r="O588" t="n">
        <v>0</v>
      </c>
      <c r="P588" t="n">
        <v>0</v>
      </c>
      <c r="Q588" t="n">
        <v>0</v>
      </c>
      <c r="R588" s="2" t="inlineStr"/>
    </row>
    <row r="589" ht="15" customHeight="1">
      <c r="A589" t="inlineStr">
        <is>
          <t>A 53578-2024</t>
        </is>
      </c>
      <c r="B589" s="1" t="n">
        <v>45614</v>
      </c>
      <c r="C589" s="1" t="n">
        <v>46034</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39505-2025</t>
        </is>
      </c>
      <c r="B590" s="1" t="n">
        <v>45890.40689814815</v>
      </c>
      <c r="C590" s="1" t="n">
        <v>46034</v>
      </c>
      <c r="D590" t="inlineStr">
        <is>
          <t>JÄMTLANDS LÄN</t>
        </is>
      </c>
      <c r="E590" t="inlineStr">
        <is>
          <t>BRÄCKE</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23767-2023</t>
        </is>
      </c>
      <c r="B591" s="1" t="n">
        <v>45077</v>
      </c>
      <c r="C591" s="1" t="n">
        <v>46034</v>
      </c>
      <c r="D591" t="inlineStr">
        <is>
          <t>JÄMTLANDS LÄN</t>
        </is>
      </c>
      <c r="E591" t="inlineStr">
        <is>
          <t>BRÄCKE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23773-2023</t>
        </is>
      </c>
      <c r="B592" s="1" t="n">
        <v>45077.94631944445</v>
      </c>
      <c r="C592" s="1" t="n">
        <v>46034</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39532-2025</t>
        </is>
      </c>
      <c r="B593" s="1" t="n">
        <v>45890.44847222222</v>
      </c>
      <c r="C593" s="1" t="n">
        <v>46034</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27460-2024</t>
        </is>
      </c>
      <c r="B594" s="1" t="n">
        <v>45474.44785879629</v>
      </c>
      <c r="C594" s="1" t="n">
        <v>46034</v>
      </c>
      <c r="D594" t="inlineStr">
        <is>
          <t>JÄMTLANDS LÄN</t>
        </is>
      </c>
      <c r="E594" t="inlineStr">
        <is>
          <t>BRÄCKE</t>
        </is>
      </c>
      <c r="G594" t="n">
        <v>11.5</v>
      </c>
      <c r="H594" t="n">
        <v>0</v>
      </c>
      <c r="I594" t="n">
        <v>0</v>
      </c>
      <c r="J594" t="n">
        <v>0</v>
      </c>
      <c r="K594" t="n">
        <v>0</v>
      </c>
      <c r="L594" t="n">
        <v>0</v>
      </c>
      <c r="M594" t="n">
        <v>0</v>
      </c>
      <c r="N594" t="n">
        <v>0</v>
      </c>
      <c r="O594" t="n">
        <v>0</v>
      </c>
      <c r="P594" t="n">
        <v>0</v>
      </c>
      <c r="Q594" t="n">
        <v>0</v>
      </c>
      <c r="R594" s="2" t="inlineStr"/>
    </row>
    <row r="595" ht="15" customHeight="1">
      <c r="A595" t="inlineStr">
        <is>
          <t>A 39487-2025</t>
        </is>
      </c>
      <c r="B595" s="1" t="n">
        <v>45890.3650462963</v>
      </c>
      <c r="C595" s="1" t="n">
        <v>46034</v>
      </c>
      <c r="D595" t="inlineStr">
        <is>
          <t>JÄMTLANDS LÄN</t>
        </is>
      </c>
      <c r="E595" t="inlineStr">
        <is>
          <t>BRÄCKE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27455-2024</t>
        </is>
      </c>
      <c r="B596" s="1" t="n">
        <v>45474.43834490741</v>
      </c>
      <c r="C596" s="1" t="n">
        <v>46034</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8891-2025</t>
        </is>
      </c>
      <c r="B597" s="1" t="n">
        <v>45713.39917824074</v>
      </c>
      <c r="C597" s="1" t="n">
        <v>46034</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9824-2025</t>
        </is>
      </c>
      <c r="B598" s="1" t="n">
        <v>45716</v>
      </c>
      <c r="C598" s="1" t="n">
        <v>46034</v>
      </c>
      <c r="D598" t="inlineStr">
        <is>
          <t>JÄMTLANDS LÄN</t>
        </is>
      </c>
      <c r="E598" t="inlineStr">
        <is>
          <t>BRÄCKE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32671-2024</t>
        </is>
      </c>
      <c r="B599" s="1" t="n">
        <v>45514.59587962963</v>
      </c>
      <c r="C599" s="1" t="n">
        <v>46034</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13762-2024</t>
        </is>
      </c>
      <c r="B600" s="1" t="n">
        <v>45390</v>
      </c>
      <c r="C600" s="1" t="n">
        <v>46034</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11545-2025</t>
        </is>
      </c>
      <c r="B601" s="1" t="n">
        <v>45727</v>
      </c>
      <c r="C601" s="1" t="n">
        <v>46034</v>
      </c>
      <c r="D601" t="inlineStr">
        <is>
          <t>JÄMTLANDS LÄN</t>
        </is>
      </c>
      <c r="E601" t="inlineStr">
        <is>
          <t>BRÄCKE</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39933-2025</t>
        </is>
      </c>
      <c r="B602" s="1" t="n">
        <v>45891.71150462963</v>
      </c>
      <c r="C602" s="1" t="n">
        <v>46034</v>
      </c>
      <c r="D602" t="inlineStr">
        <is>
          <t>JÄMTLANDS LÄN</t>
        </is>
      </c>
      <c r="E602" t="inlineStr">
        <is>
          <t>BRÄCKE</t>
        </is>
      </c>
      <c r="G602" t="n">
        <v>15.1</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46034</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46034</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24154-2025</t>
        </is>
      </c>
      <c r="B605" s="1" t="n">
        <v>45796.65685185185</v>
      </c>
      <c r="C605" s="1" t="n">
        <v>46034</v>
      </c>
      <c r="D605" t="inlineStr">
        <is>
          <t>JÄMTLANDS LÄN</t>
        </is>
      </c>
      <c r="E605" t="inlineStr">
        <is>
          <t>BRÄCKE</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39535-2025</t>
        </is>
      </c>
      <c r="B606" s="1" t="n">
        <v>45890.44881944444</v>
      </c>
      <c r="C606" s="1" t="n">
        <v>46034</v>
      </c>
      <c r="D606" t="inlineStr">
        <is>
          <t>JÄMTLANDS LÄN</t>
        </is>
      </c>
      <c r="E606" t="inlineStr">
        <is>
          <t>BRÄCKE</t>
        </is>
      </c>
      <c r="G606" t="n">
        <v>6.4</v>
      </c>
      <c r="H606" t="n">
        <v>0</v>
      </c>
      <c r="I606" t="n">
        <v>0</v>
      </c>
      <c r="J606" t="n">
        <v>0</v>
      </c>
      <c r="K606" t="n">
        <v>0</v>
      </c>
      <c r="L606" t="n">
        <v>0</v>
      </c>
      <c r="M606" t="n">
        <v>0</v>
      </c>
      <c r="N606" t="n">
        <v>0</v>
      </c>
      <c r="O606" t="n">
        <v>0</v>
      </c>
      <c r="P606" t="n">
        <v>0</v>
      </c>
      <c r="Q606" t="n">
        <v>0</v>
      </c>
      <c r="R606" s="2" t="inlineStr"/>
    </row>
    <row r="607" ht="15" customHeight="1">
      <c r="A607" t="inlineStr">
        <is>
          <t>A 39745-2025</t>
        </is>
      </c>
      <c r="B607" s="1" t="n">
        <v>45891.38579861111</v>
      </c>
      <c r="C607" s="1" t="n">
        <v>46034</v>
      </c>
      <c r="D607" t="inlineStr">
        <is>
          <t>JÄMTLANDS LÄN</t>
        </is>
      </c>
      <c r="E607" t="inlineStr">
        <is>
          <t>BRÄCKE</t>
        </is>
      </c>
      <c r="G607" t="n">
        <v>3.4</v>
      </c>
      <c r="H607" t="n">
        <v>0</v>
      </c>
      <c r="I607" t="n">
        <v>0</v>
      </c>
      <c r="J607" t="n">
        <v>0</v>
      </c>
      <c r="K607" t="n">
        <v>0</v>
      </c>
      <c r="L607" t="n">
        <v>0</v>
      </c>
      <c r="M607" t="n">
        <v>0</v>
      </c>
      <c r="N607" t="n">
        <v>0</v>
      </c>
      <c r="O607" t="n">
        <v>0</v>
      </c>
      <c r="P607" t="n">
        <v>0</v>
      </c>
      <c r="Q607" t="n">
        <v>0</v>
      </c>
      <c r="R607" s="2" t="inlineStr"/>
    </row>
    <row r="608" ht="15" customHeight="1">
      <c r="A608" t="inlineStr">
        <is>
          <t>A 39901-2025</t>
        </is>
      </c>
      <c r="B608" s="1" t="n">
        <v>45891.63577546296</v>
      </c>
      <c r="C608" s="1" t="n">
        <v>46034</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11309-2025</t>
        </is>
      </c>
      <c r="B609" s="1" t="n">
        <v>45726</v>
      </c>
      <c r="C609" s="1" t="n">
        <v>46034</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23723-2025</t>
        </is>
      </c>
      <c r="B610" s="1" t="n">
        <v>45793</v>
      </c>
      <c r="C610" s="1" t="n">
        <v>46034</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51614-2025</t>
        </is>
      </c>
      <c r="B611" s="1" t="n">
        <v>45951.40204861111</v>
      </c>
      <c r="C611" s="1" t="n">
        <v>46034</v>
      </c>
      <c r="D611" t="inlineStr">
        <is>
          <t>JÄMTLANDS LÄN</t>
        </is>
      </c>
      <c r="E611" t="inlineStr">
        <is>
          <t>BRÄCKE</t>
        </is>
      </c>
      <c r="G611" t="n">
        <v>6</v>
      </c>
      <c r="H611" t="n">
        <v>0</v>
      </c>
      <c r="I611" t="n">
        <v>0</v>
      </c>
      <c r="J611" t="n">
        <v>0</v>
      </c>
      <c r="K611" t="n">
        <v>0</v>
      </c>
      <c r="L611" t="n">
        <v>0</v>
      </c>
      <c r="M611" t="n">
        <v>0</v>
      </c>
      <c r="N611" t="n">
        <v>0</v>
      </c>
      <c r="O611" t="n">
        <v>0</v>
      </c>
      <c r="P611" t="n">
        <v>0</v>
      </c>
      <c r="Q611" t="n">
        <v>0</v>
      </c>
      <c r="R611" s="2" t="inlineStr"/>
    </row>
    <row r="612" ht="15" customHeight="1">
      <c r="A612" t="inlineStr">
        <is>
          <t>A 29873-2024</t>
        </is>
      </c>
      <c r="B612" s="1" t="n">
        <v>45485.94542824074</v>
      </c>
      <c r="C612" s="1" t="n">
        <v>46034</v>
      </c>
      <c r="D612" t="inlineStr">
        <is>
          <t>JÄMTLANDS LÄN</t>
        </is>
      </c>
      <c r="E612" t="inlineStr">
        <is>
          <t>BRÄCKE</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46034</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9434-2025</t>
        </is>
      </c>
      <c r="B614" s="1" t="n">
        <v>45715.41209490741</v>
      </c>
      <c r="C614" s="1" t="n">
        <v>46034</v>
      </c>
      <c r="D614" t="inlineStr">
        <is>
          <t>JÄMTLANDS LÄN</t>
        </is>
      </c>
      <c r="E614" t="inlineStr">
        <is>
          <t>BRÄCKE</t>
        </is>
      </c>
      <c r="G614" t="n">
        <v>8.9</v>
      </c>
      <c r="H614" t="n">
        <v>0</v>
      </c>
      <c r="I614" t="n">
        <v>0</v>
      </c>
      <c r="J614" t="n">
        <v>0</v>
      </c>
      <c r="K614" t="n">
        <v>0</v>
      </c>
      <c r="L614" t="n">
        <v>0</v>
      </c>
      <c r="M614" t="n">
        <v>0</v>
      </c>
      <c r="N614" t="n">
        <v>0</v>
      </c>
      <c r="O614" t="n">
        <v>0</v>
      </c>
      <c r="P614" t="n">
        <v>0</v>
      </c>
      <c r="Q614" t="n">
        <v>0</v>
      </c>
      <c r="R614" s="2" t="inlineStr"/>
    </row>
    <row r="615" ht="15" customHeight="1">
      <c r="A615" t="inlineStr">
        <is>
          <t>A 24236-2025</t>
        </is>
      </c>
      <c r="B615" s="1" t="n">
        <v>45797.38586805556</v>
      </c>
      <c r="C615" s="1" t="n">
        <v>46034</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40411-2025</t>
        </is>
      </c>
      <c r="B616" s="1" t="n">
        <v>45895.57373842593</v>
      </c>
      <c r="C616" s="1" t="n">
        <v>46034</v>
      </c>
      <c r="D616" t="inlineStr">
        <is>
          <t>JÄMTLANDS LÄN</t>
        </is>
      </c>
      <c r="E616" t="inlineStr">
        <is>
          <t>BRÄCKE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23539-2025</t>
        </is>
      </c>
      <c r="B617" s="1" t="n">
        <v>45792</v>
      </c>
      <c r="C617" s="1" t="n">
        <v>46034</v>
      </c>
      <c r="D617" t="inlineStr">
        <is>
          <t>JÄMTLANDS LÄN</t>
        </is>
      </c>
      <c r="E617" t="inlineStr">
        <is>
          <t>BRÄCKE</t>
        </is>
      </c>
      <c r="G617" t="n">
        <v>14.9</v>
      </c>
      <c r="H617" t="n">
        <v>0</v>
      </c>
      <c r="I617" t="n">
        <v>0</v>
      </c>
      <c r="J617" t="n">
        <v>0</v>
      </c>
      <c r="K617" t="n">
        <v>0</v>
      </c>
      <c r="L617" t="n">
        <v>0</v>
      </c>
      <c r="M617" t="n">
        <v>0</v>
      </c>
      <c r="N617" t="n">
        <v>0</v>
      </c>
      <c r="O617" t="n">
        <v>0</v>
      </c>
      <c r="P617" t="n">
        <v>0</v>
      </c>
      <c r="Q617" t="n">
        <v>0</v>
      </c>
      <c r="R617" s="2" t="inlineStr"/>
    </row>
    <row r="618" ht="15" customHeight="1">
      <c r="A618" t="inlineStr">
        <is>
          <t>A 1174-2025</t>
        </is>
      </c>
      <c r="B618" s="1" t="n">
        <v>45667.34418981482</v>
      </c>
      <c r="C618" s="1" t="n">
        <v>46034</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24043-2025</t>
        </is>
      </c>
      <c r="B619" s="1" t="n">
        <v>45796.49002314815</v>
      </c>
      <c r="C619" s="1" t="n">
        <v>46034</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30719-2022</t>
        </is>
      </c>
      <c r="B620" s="1" t="n">
        <v>44763.94347222222</v>
      </c>
      <c r="C620" s="1" t="n">
        <v>46034</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24077-2025</t>
        </is>
      </c>
      <c r="B621" s="1" t="n">
        <v>45796.55240740741</v>
      </c>
      <c r="C621" s="1" t="n">
        <v>46034</v>
      </c>
      <c r="D621" t="inlineStr">
        <is>
          <t>JÄMTLANDS LÄN</t>
        </is>
      </c>
      <c r="E621" t="inlineStr">
        <is>
          <t>BRÄCKE</t>
        </is>
      </c>
      <c r="G621" t="n">
        <v>5.9</v>
      </c>
      <c r="H621" t="n">
        <v>0</v>
      </c>
      <c r="I621" t="n">
        <v>0</v>
      </c>
      <c r="J621" t="n">
        <v>0</v>
      </c>
      <c r="K621" t="n">
        <v>0</v>
      </c>
      <c r="L621" t="n">
        <v>0</v>
      </c>
      <c r="M621" t="n">
        <v>0</v>
      </c>
      <c r="N621" t="n">
        <v>0</v>
      </c>
      <c r="O621" t="n">
        <v>0</v>
      </c>
      <c r="P621" t="n">
        <v>0</v>
      </c>
      <c r="Q621" t="n">
        <v>0</v>
      </c>
      <c r="R621" s="2" t="inlineStr"/>
    </row>
    <row r="622" ht="15" customHeight="1">
      <c r="A622" t="inlineStr">
        <is>
          <t>A 23303-2025</t>
        </is>
      </c>
      <c r="B622" s="1" t="n">
        <v>45791</v>
      </c>
      <c r="C622" s="1" t="n">
        <v>46034</v>
      </c>
      <c r="D622" t="inlineStr">
        <is>
          <t>JÄMTLANDS LÄN</t>
        </is>
      </c>
      <c r="E622" t="inlineStr">
        <is>
          <t>BRÄCKE</t>
        </is>
      </c>
      <c r="G622" t="n">
        <v>22.2</v>
      </c>
      <c r="H622" t="n">
        <v>0</v>
      </c>
      <c r="I622" t="n">
        <v>0</v>
      </c>
      <c r="J622" t="n">
        <v>0</v>
      </c>
      <c r="K622" t="n">
        <v>0</v>
      </c>
      <c r="L622" t="n">
        <v>0</v>
      </c>
      <c r="M622" t="n">
        <v>0</v>
      </c>
      <c r="N622" t="n">
        <v>0</v>
      </c>
      <c r="O622" t="n">
        <v>0</v>
      </c>
      <c r="P622" t="n">
        <v>0</v>
      </c>
      <c r="Q622" t="n">
        <v>0</v>
      </c>
      <c r="R622" s="2" t="inlineStr"/>
    </row>
    <row r="623" ht="15" customHeight="1">
      <c r="A623" t="inlineStr">
        <is>
          <t>A 15144-2024</t>
        </is>
      </c>
      <c r="B623" s="1" t="n">
        <v>45399.94340277778</v>
      </c>
      <c r="C623" s="1" t="n">
        <v>46034</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61079-2024</t>
        </is>
      </c>
      <c r="B624" s="1" t="n">
        <v>45645.51072916666</v>
      </c>
      <c r="C624" s="1" t="n">
        <v>46034</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24427-2025</t>
        </is>
      </c>
      <c r="B625" s="1" t="n">
        <v>45797.69851851852</v>
      </c>
      <c r="C625" s="1" t="n">
        <v>46034</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55662-2023</t>
        </is>
      </c>
      <c r="B626" s="1" t="n">
        <v>45238.96730324074</v>
      </c>
      <c r="C626" s="1" t="n">
        <v>46034</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9387-2025</t>
        </is>
      </c>
      <c r="B627" s="1" t="n">
        <v>45715.34461805555</v>
      </c>
      <c r="C627" s="1" t="n">
        <v>46034</v>
      </c>
      <c r="D627" t="inlineStr">
        <is>
          <t>JÄMTLANDS LÄN</t>
        </is>
      </c>
      <c r="E627" t="inlineStr">
        <is>
          <t>BRÄCKE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24647-2025</t>
        </is>
      </c>
      <c r="B628" s="1" t="n">
        <v>45798.63575231482</v>
      </c>
      <c r="C628" s="1" t="n">
        <v>46034</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33870-2023</t>
        </is>
      </c>
      <c r="B629" s="1" t="n">
        <v>45133.95326388889</v>
      </c>
      <c r="C629" s="1" t="n">
        <v>46034</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24550-2025</t>
        </is>
      </c>
      <c r="B630" s="1" t="n">
        <v>45798.44836805556</v>
      </c>
      <c r="C630" s="1" t="n">
        <v>46034</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17097-2025</t>
        </is>
      </c>
      <c r="B631" s="1" t="n">
        <v>45755</v>
      </c>
      <c r="C631" s="1" t="n">
        <v>46034</v>
      </c>
      <c r="D631" t="inlineStr">
        <is>
          <t>JÄMTLANDS LÄN</t>
        </is>
      </c>
      <c r="E631" t="inlineStr">
        <is>
          <t>BRÄCKE</t>
        </is>
      </c>
      <c r="F631" t="inlineStr">
        <is>
          <t>SCA</t>
        </is>
      </c>
      <c r="G631" t="n">
        <v>29.9</v>
      </c>
      <c r="H631" t="n">
        <v>0</v>
      </c>
      <c r="I631" t="n">
        <v>0</v>
      </c>
      <c r="J631" t="n">
        <v>0</v>
      </c>
      <c r="K631" t="n">
        <v>0</v>
      </c>
      <c r="L631" t="n">
        <v>0</v>
      </c>
      <c r="M631" t="n">
        <v>0</v>
      </c>
      <c r="N631" t="n">
        <v>0</v>
      </c>
      <c r="O631" t="n">
        <v>0</v>
      </c>
      <c r="P631" t="n">
        <v>0</v>
      </c>
      <c r="Q631" t="n">
        <v>0</v>
      </c>
      <c r="R631" s="2" t="inlineStr"/>
    </row>
    <row r="632" ht="15" customHeight="1">
      <c r="A632" t="inlineStr">
        <is>
          <t>A 24456-2025</t>
        </is>
      </c>
      <c r="B632" s="1" t="n">
        <v>45798.34450231482</v>
      </c>
      <c r="C632" s="1" t="n">
        <v>46034</v>
      </c>
      <c r="D632" t="inlineStr">
        <is>
          <t>JÄMTLANDS LÄN</t>
        </is>
      </c>
      <c r="E632" t="inlineStr">
        <is>
          <t>BRÄCKE</t>
        </is>
      </c>
      <c r="F632" t="inlineStr">
        <is>
          <t>SCA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24502-2025</t>
        </is>
      </c>
      <c r="B633" s="1" t="n">
        <v>45798.39761574074</v>
      </c>
      <c r="C633" s="1" t="n">
        <v>46034</v>
      </c>
      <c r="D633" t="inlineStr">
        <is>
          <t>JÄMTLANDS LÄN</t>
        </is>
      </c>
      <c r="E633" t="inlineStr">
        <is>
          <t>BRÄCKE</t>
        </is>
      </c>
      <c r="G633" t="n">
        <v>2.2</v>
      </c>
      <c r="H633" t="n">
        <v>0</v>
      </c>
      <c r="I633" t="n">
        <v>0</v>
      </c>
      <c r="J633" t="n">
        <v>0</v>
      </c>
      <c r="K633" t="n">
        <v>0</v>
      </c>
      <c r="L633" t="n">
        <v>0</v>
      </c>
      <c r="M633" t="n">
        <v>0</v>
      </c>
      <c r="N633" t="n">
        <v>0</v>
      </c>
      <c r="O633" t="n">
        <v>0</v>
      </c>
      <c r="P633" t="n">
        <v>0</v>
      </c>
      <c r="Q633" t="n">
        <v>0</v>
      </c>
      <c r="R633" s="2" t="inlineStr"/>
    </row>
    <row r="634" ht="15" customHeight="1">
      <c r="A634" t="inlineStr">
        <is>
          <t>A 59976-2025</t>
        </is>
      </c>
      <c r="B634" s="1" t="n">
        <v>45993.51091435185</v>
      </c>
      <c r="C634" s="1" t="n">
        <v>46034</v>
      </c>
      <c r="D634" t="inlineStr">
        <is>
          <t>JÄMTLANDS LÄN</t>
        </is>
      </c>
      <c r="E634" t="inlineStr">
        <is>
          <t>BRÄCKE</t>
        </is>
      </c>
      <c r="F634" t="inlineStr">
        <is>
          <t>SCA</t>
        </is>
      </c>
      <c r="G634" t="n">
        <v>9</v>
      </c>
      <c r="H634" t="n">
        <v>0</v>
      </c>
      <c r="I634" t="n">
        <v>0</v>
      </c>
      <c r="J634" t="n">
        <v>0</v>
      </c>
      <c r="K634" t="n">
        <v>0</v>
      </c>
      <c r="L634" t="n">
        <v>0</v>
      </c>
      <c r="M634" t="n">
        <v>0</v>
      </c>
      <c r="N634" t="n">
        <v>0</v>
      </c>
      <c r="O634" t="n">
        <v>0</v>
      </c>
      <c r="P634" t="n">
        <v>0</v>
      </c>
      <c r="Q634" t="n">
        <v>0</v>
      </c>
      <c r="R634" s="2" t="inlineStr"/>
    </row>
    <row r="635" ht="15" customHeight="1">
      <c r="A635" t="inlineStr">
        <is>
          <t>A 18066-2025</t>
        </is>
      </c>
      <c r="B635" s="1" t="n">
        <v>45761.49002314815</v>
      </c>
      <c r="C635" s="1" t="n">
        <v>46034</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24437-2025</t>
        </is>
      </c>
      <c r="B636" s="1" t="n">
        <v>45797.79256944444</v>
      </c>
      <c r="C636" s="1" t="n">
        <v>46034</v>
      </c>
      <c r="D636" t="inlineStr">
        <is>
          <t>JÄMTLANDS LÄN</t>
        </is>
      </c>
      <c r="E636" t="inlineStr">
        <is>
          <t>BRÄCKE</t>
        </is>
      </c>
      <c r="G636" t="n">
        <v>5</v>
      </c>
      <c r="H636" t="n">
        <v>0</v>
      </c>
      <c r="I636" t="n">
        <v>0</v>
      </c>
      <c r="J636" t="n">
        <v>0</v>
      </c>
      <c r="K636" t="n">
        <v>0</v>
      </c>
      <c r="L636" t="n">
        <v>0</v>
      </c>
      <c r="M636" t="n">
        <v>0</v>
      </c>
      <c r="N636" t="n">
        <v>0</v>
      </c>
      <c r="O636" t="n">
        <v>0</v>
      </c>
      <c r="P636" t="n">
        <v>0</v>
      </c>
      <c r="Q636" t="n">
        <v>0</v>
      </c>
      <c r="R636" s="2" t="inlineStr"/>
    </row>
    <row r="637" ht="15" customHeight="1">
      <c r="A637" t="inlineStr">
        <is>
          <t>A 45304-2022</t>
        </is>
      </c>
      <c r="B637" s="1" t="n">
        <v>44841</v>
      </c>
      <c r="C637" s="1" t="n">
        <v>46034</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24604-2025</t>
        </is>
      </c>
      <c r="B638" s="1" t="n">
        <v>45798.5734375</v>
      </c>
      <c r="C638" s="1" t="n">
        <v>46034</v>
      </c>
      <c r="D638" t="inlineStr">
        <is>
          <t>JÄMTLANDS LÄN</t>
        </is>
      </c>
      <c r="E638" t="inlineStr">
        <is>
          <t>BRÄCKE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40334-2025</t>
        </is>
      </c>
      <c r="B639" s="1" t="n">
        <v>45895</v>
      </c>
      <c r="C639" s="1" t="n">
        <v>46034</v>
      </c>
      <c r="D639" t="inlineStr">
        <is>
          <t>JÄMTLANDS LÄN</t>
        </is>
      </c>
      <c r="E639" t="inlineStr">
        <is>
          <t>BRÄCKE</t>
        </is>
      </c>
      <c r="G639" t="n">
        <v>5.4</v>
      </c>
      <c r="H639" t="n">
        <v>0</v>
      </c>
      <c r="I639" t="n">
        <v>0</v>
      </c>
      <c r="J639" t="n">
        <v>0</v>
      </c>
      <c r="K639" t="n">
        <v>0</v>
      </c>
      <c r="L639" t="n">
        <v>0</v>
      </c>
      <c r="M639" t="n">
        <v>0</v>
      </c>
      <c r="N639" t="n">
        <v>0</v>
      </c>
      <c r="O639" t="n">
        <v>0</v>
      </c>
      <c r="P639" t="n">
        <v>0</v>
      </c>
      <c r="Q639" t="n">
        <v>0</v>
      </c>
      <c r="R639" s="2" t="inlineStr"/>
    </row>
    <row r="640" ht="15" customHeight="1">
      <c r="A640" t="inlineStr">
        <is>
          <t>A 40903-2025</t>
        </is>
      </c>
      <c r="B640" s="1" t="n">
        <v>45897.61609953704</v>
      </c>
      <c r="C640" s="1" t="n">
        <v>46034</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40749-2025</t>
        </is>
      </c>
      <c r="B641" s="1" t="n">
        <v>45897.38248842592</v>
      </c>
      <c r="C641" s="1" t="n">
        <v>46034</v>
      </c>
      <c r="D641" t="inlineStr">
        <is>
          <t>JÄMTLANDS LÄN</t>
        </is>
      </c>
      <c r="E641" t="inlineStr">
        <is>
          <t>BRÄCKE</t>
        </is>
      </c>
      <c r="G641" t="n">
        <v>4.1</v>
      </c>
      <c r="H641" t="n">
        <v>0</v>
      </c>
      <c r="I641" t="n">
        <v>0</v>
      </c>
      <c r="J641" t="n">
        <v>0</v>
      </c>
      <c r="K641" t="n">
        <v>0</v>
      </c>
      <c r="L641" t="n">
        <v>0</v>
      </c>
      <c r="M641" t="n">
        <v>0</v>
      </c>
      <c r="N641" t="n">
        <v>0</v>
      </c>
      <c r="O641" t="n">
        <v>0</v>
      </c>
      <c r="P641" t="n">
        <v>0</v>
      </c>
      <c r="Q641" t="n">
        <v>0</v>
      </c>
      <c r="R641" s="2" t="inlineStr"/>
    </row>
    <row r="642" ht="15" customHeight="1">
      <c r="A642" t="inlineStr">
        <is>
          <t>A 40607-2025</t>
        </is>
      </c>
      <c r="B642" s="1" t="n">
        <v>45896</v>
      </c>
      <c r="C642" s="1" t="n">
        <v>46034</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40793-2025</t>
        </is>
      </c>
      <c r="B643" s="1" t="n">
        <v>45897.44868055556</v>
      </c>
      <c r="C643" s="1" t="n">
        <v>46034</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40834-2025</t>
        </is>
      </c>
      <c r="B644" s="1" t="n">
        <v>45897.51135416667</v>
      </c>
      <c r="C644" s="1" t="n">
        <v>46034</v>
      </c>
      <c r="D644" t="inlineStr">
        <is>
          <t>JÄMTLANDS LÄN</t>
        </is>
      </c>
      <c r="E644" t="inlineStr">
        <is>
          <t>BRÄCKE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40843-2025</t>
        </is>
      </c>
      <c r="B645" s="1" t="n">
        <v>45897.5321412037</v>
      </c>
      <c r="C645" s="1" t="n">
        <v>46034</v>
      </c>
      <c r="D645" t="inlineStr">
        <is>
          <t>JÄMTLANDS LÄN</t>
        </is>
      </c>
      <c r="E645" t="inlineStr">
        <is>
          <t>BRÄCKE</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40871-2025</t>
        </is>
      </c>
      <c r="B646" s="1" t="n">
        <v>45897.57418981481</v>
      </c>
      <c r="C646" s="1" t="n">
        <v>46034</v>
      </c>
      <c r="D646" t="inlineStr">
        <is>
          <t>JÄMTLANDS LÄN</t>
        </is>
      </c>
      <c r="E646" t="inlineStr">
        <is>
          <t>BRÄCKE</t>
        </is>
      </c>
      <c r="G646" t="n">
        <v>2.9</v>
      </c>
      <c r="H646" t="n">
        <v>0</v>
      </c>
      <c r="I646" t="n">
        <v>0</v>
      </c>
      <c r="J646" t="n">
        <v>0</v>
      </c>
      <c r="K646" t="n">
        <v>0</v>
      </c>
      <c r="L646" t="n">
        <v>0</v>
      </c>
      <c r="M646" t="n">
        <v>0</v>
      </c>
      <c r="N646" t="n">
        <v>0</v>
      </c>
      <c r="O646" t="n">
        <v>0</v>
      </c>
      <c r="P646" t="n">
        <v>0</v>
      </c>
      <c r="Q646" t="n">
        <v>0</v>
      </c>
      <c r="R646" s="2" t="inlineStr"/>
    </row>
    <row r="647" ht="15" customHeight="1">
      <c r="A647" t="inlineStr">
        <is>
          <t>A 24850-2025</t>
        </is>
      </c>
      <c r="B647" s="1" t="n">
        <v>45799.46958333333</v>
      </c>
      <c r="C647" s="1" t="n">
        <v>46034</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40757-2025</t>
        </is>
      </c>
      <c r="B648" s="1" t="n">
        <v>45897.39034722222</v>
      </c>
      <c r="C648" s="1" t="n">
        <v>46034</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39996-2024</t>
        </is>
      </c>
      <c r="B649" s="1" t="n">
        <v>45553.63585648148</v>
      </c>
      <c r="C649" s="1" t="n">
        <v>46034</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24436-2025</t>
        </is>
      </c>
      <c r="B650" s="1" t="n">
        <v>45797.7922337963</v>
      </c>
      <c r="C650" s="1" t="n">
        <v>46034</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18600-2024</t>
        </is>
      </c>
      <c r="B651" s="1" t="n">
        <v>45425.92462962963</v>
      </c>
      <c r="C651" s="1" t="n">
        <v>46034</v>
      </c>
      <c r="D651" t="inlineStr">
        <is>
          <t>JÄMTLANDS LÄN</t>
        </is>
      </c>
      <c r="E651" t="inlineStr">
        <is>
          <t>BRÄCKE</t>
        </is>
      </c>
      <c r="G651" t="n">
        <v>0.9</v>
      </c>
      <c r="H651" t="n">
        <v>0</v>
      </c>
      <c r="I651" t="n">
        <v>0</v>
      </c>
      <c r="J651" t="n">
        <v>0</v>
      </c>
      <c r="K651" t="n">
        <v>0</v>
      </c>
      <c r="L651" t="n">
        <v>0</v>
      </c>
      <c r="M651" t="n">
        <v>0</v>
      </c>
      <c r="N651" t="n">
        <v>0</v>
      </c>
      <c r="O651" t="n">
        <v>0</v>
      </c>
      <c r="P651" t="n">
        <v>0</v>
      </c>
      <c r="Q651" t="n">
        <v>0</v>
      </c>
      <c r="R651" s="2" t="inlineStr"/>
    </row>
    <row r="652" ht="15" customHeight="1">
      <c r="A652" t="inlineStr">
        <is>
          <t>A 24433-2025</t>
        </is>
      </c>
      <c r="B652" s="1" t="n">
        <v>45797.75547453704</v>
      </c>
      <c r="C652" s="1" t="n">
        <v>46034</v>
      </c>
      <c r="D652" t="inlineStr">
        <is>
          <t>JÄMTLANDS LÄN</t>
        </is>
      </c>
      <c r="E652" t="inlineStr">
        <is>
          <t>BRÄCKE</t>
        </is>
      </c>
      <c r="G652" t="n">
        <v>8.6</v>
      </c>
      <c r="H652" t="n">
        <v>0</v>
      </c>
      <c r="I652" t="n">
        <v>0</v>
      </c>
      <c r="J652" t="n">
        <v>0</v>
      </c>
      <c r="K652" t="n">
        <v>0</v>
      </c>
      <c r="L652" t="n">
        <v>0</v>
      </c>
      <c r="M652" t="n">
        <v>0</v>
      </c>
      <c r="N652" t="n">
        <v>0</v>
      </c>
      <c r="O652" t="n">
        <v>0</v>
      </c>
      <c r="P652" t="n">
        <v>0</v>
      </c>
      <c r="Q652" t="n">
        <v>0</v>
      </c>
      <c r="R652" s="2" t="inlineStr"/>
    </row>
    <row r="653" ht="15" customHeight="1">
      <c r="A653" t="inlineStr">
        <is>
          <t>A 40868-2025</t>
        </is>
      </c>
      <c r="B653" s="1" t="n">
        <v>45897.57365740741</v>
      </c>
      <c r="C653" s="1" t="n">
        <v>46034</v>
      </c>
      <c r="D653" t="inlineStr">
        <is>
          <t>JÄMTLANDS LÄN</t>
        </is>
      </c>
      <c r="E653" t="inlineStr">
        <is>
          <t>BRÄCKE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40869-2025</t>
        </is>
      </c>
      <c r="B654" s="1" t="n">
        <v>45897.57383101852</v>
      </c>
      <c r="C654" s="1" t="n">
        <v>46034</v>
      </c>
      <c r="D654" t="inlineStr">
        <is>
          <t>JÄMTLANDS LÄN</t>
        </is>
      </c>
      <c r="E654" t="inlineStr">
        <is>
          <t>BRÄCKE</t>
        </is>
      </c>
      <c r="G654" t="n">
        <v>4.8</v>
      </c>
      <c r="H654" t="n">
        <v>0</v>
      </c>
      <c r="I654" t="n">
        <v>0</v>
      </c>
      <c r="J654" t="n">
        <v>0</v>
      </c>
      <c r="K654" t="n">
        <v>0</v>
      </c>
      <c r="L654" t="n">
        <v>0</v>
      </c>
      <c r="M654" t="n">
        <v>0</v>
      </c>
      <c r="N654" t="n">
        <v>0</v>
      </c>
      <c r="O654" t="n">
        <v>0</v>
      </c>
      <c r="P654" t="n">
        <v>0</v>
      </c>
      <c r="Q654" t="n">
        <v>0</v>
      </c>
      <c r="R654" s="2" t="inlineStr"/>
    </row>
    <row r="655" ht="15" customHeight="1">
      <c r="A655" t="inlineStr">
        <is>
          <t>A 24636-2025</t>
        </is>
      </c>
      <c r="B655" s="1" t="n">
        <v>45798.61528935185</v>
      </c>
      <c r="C655" s="1" t="n">
        <v>46034</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40748-2025</t>
        </is>
      </c>
      <c r="B656" s="1" t="n">
        <v>45897.38009259259</v>
      </c>
      <c r="C656" s="1" t="n">
        <v>46034</v>
      </c>
      <c r="D656" t="inlineStr">
        <is>
          <t>JÄMTLANDS LÄN</t>
        </is>
      </c>
      <c r="E656" t="inlineStr">
        <is>
          <t>BRÄCKE</t>
        </is>
      </c>
      <c r="G656" t="n">
        <v>2</v>
      </c>
      <c r="H656" t="n">
        <v>0</v>
      </c>
      <c r="I656" t="n">
        <v>0</v>
      </c>
      <c r="J656" t="n">
        <v>0</v>
      </c>
      <c r="K656" t="n">
        <v>0</v>
      </c>
      <c r="L656" t="n">
        <v>0</v>
      </c>
      <c r="M656" t="n">
        <v>0</v>
      </c>
      <c r="N656" t="n">
        <v>0</v>
      </c>
      <c r="O656" t="n">
        <v>0</v>
      </c>
      <c r="P656" t="n">
        <v>0</v>
      </c>
      <c r="Q656" t="n">
        <v>0</v>
      </c>
      <c r="R656" s="2" t="inlineStr"/>
    </row>
    <row r="657" ht="15" customHeight="1">
      <c r="A657" t="inlineStr">
        <is>
          <t>A 40832-2025</t>
        </is>
      </c>
      <c r="B657" s="1" t="n">
        <v>45897.51096064815</v>
      </c>
      <c r="C657" s="1" t="n">
        <v>46034</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40809-2025</t>
        </is>
      </c>
      <c r="B658" s="1" t="n">
        <v>45897.46936342592</v>
      </c>
      <c r="C658" s="1" t="n">
        <v>46034</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58741-2023</t>
        </is>
      </c>
      <c r="B659" s="1" t="n">
        <v>45251.92894675926</v>
      </c>
      <c r="C659" s="1" t="n">
        <v>46034</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37173-2024</t>
        </is>
      </c>
      <c r="B660" s="1" t="n">
        <v>45539.63597222222</v>
      </c>
      <c r="C660" s="1" t="n">
        <v>46034</v>
      </c>
      <c r="D660" t="inlineStr">
        <is>
          <t>JÄMTLANDS LÄN</t>
        </is>
      </c>
      <c r="E660" t="inlineStr">
        <is>
          <t>BRÄCKE</t>
        </is>
      </c>
      <c r="G660" t="n">
        <v>3.8</v>
      </c>
      <c r="H660" t="n">
        <v>0</v>
      </c>
      <c r="I660" t="n">
        <v>0</v>
      </c>
      <c r="J660" t="n">
        <v>0</v>
      </c>
      <c r="K660" t="n">
        <v>0</v>
      </c>
      <c r="L660" t="n">
        <v>0</v>
      </c>
      <c r="M660" t="n">
        <v>0</v>
      </c>
      <c r="N660" t="n">
        <v>0</v>
      </c>
      <c r="O660" t="n">
        <v>0</v>
      </c>
      <c r="P660" t="n">
        <v>0</v>
      </c>
      <c r="Q660" t="n">
        <v>0</v>
      </c>
      <c r="R660" s="2" t="inlineStr"/>
    </row>
    <row r="661" ht="15" customHeight="1">
      <c r="A661" t="inlineStr">
        <is>
          <t>A 40959-2025</t>
        </is>
      </c>
      <c r="B661" s="1" t="n">
        <v>45897.67890046296</v>
      </c>
      <c r="C661" s="1" t="n">
        <v>46034</v>
      </c>
      <c r="D661" t="inlineStr">
        <is>
          <t>JÄMTLANDS LÄN</t>
        </is>
      </c>
      <c r="E661" t="inlineStr">
        <is>
          <t>BRÄCKE</t>
        </is>
      </c>
      <c r="F661" t="inlineStr">
        <is>
          <t>Naturvårdsverket</t>
        </is>
      </c>
      <c r="G661" t="n">
        <v>12.6</v>
      </c>
      <c r="H661" t="n">
        <v>0</v>
      </c>
      <c r="I661" t="n">
        <v>0</v>
      </c>
      <c r="J661" t="n">
        <v>0</v>
      </c>
      <c r="K661" t="n">
        <v>0</v>
      </c>
      <c r="L661" t="n">
        <v>0</v>
      </c>
      <c r="M661" t="n">
        <v>0</v>
      </c>
      <c r="N661" t="n">
        <v>0</v>
      </c>
      <c r="O661" t="n">
        <v>0</v>
      </c>
      <c r="P661" t="n">
        <v>0</v>
      </c>
      <c r="Q661" t="n">
        <v>0</v>
      </c>
      <c r="R661" s="2" t="inlineStr"/>
    </row>
    <row r="662" ht="15" customHeight="1">
      <c r="A662" t="inlineStr">
        <is>
          <t>A 52227-2024</t>
        </is>
      </c>
      <c r="B662" s="1" t="n">
        <v>45608.60768518518</v>
      </c>
      <c r="C662" s="1" t="n">
        <v>46034</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2065-2024</t>
        </is>
      </c>
      <c r="B663" s="1" t="n">
        <v>45308.97871527778</v>
      </c>
      <c r="C663" s="1" t="n">
        <v>46034</v>
      </c>
      <c r="D663" t="inlineStr">
        <is>
          <t>JÄMTLANDS LÄN</t>
        </is>
      </c>
      <c r="E663" t="inlineStr">
        <is>
          <t>BRÄCKE</t>
        </is>
      </c>
      <c r="F663" t="inlineStr">
        <is>
          <t>SCA</t>
        </is>
      </c>
      <c r="G663" t="n">
        <v>6</v>
      </c>
      <c r="H663" t="n">
        <v>0</v>
      </c>
      <c r="I663" t="n">
        <v>0</v>
      </c>
      <c r="J663" t="n">
        <v>0</v>
      </c>
      <c r="K663" t="n">
        <v>0</v>
      </c>
      <c r="L663" t="n">
        <v>0</v>
      </c>
      <c r="M663" t="n">
        <v>0</v>
      </c>
      <c r="N663" t="n">
        <v>0</v>
      </c>
      <c r="O663" t="n">
        <v>0</v>
      </c>
      <c r="P663" t="n">
        <v>0</v>
      </c>
      <c r="Q663" t="n">
        <v>0</v>
      </c>
      <c r="R663" s="2" t="inlineStr"/>
    </row>
    <row r="664" ht="15" customHeight="1">
      <c r="A664" t="inlineStr">
        <is>
          <t>A 59774-2024</t>
        </is>
      </c>
      <c r="B664" s="1" t="n">
        <v>45639.56954861111</v>
      </c>
      <c r="C664" s="1" t="n">
        <v>46034</v>
      </c>
      <c r="D664" t="inlineStr">
        <is>
          <t>JÄMTLANDS LÄN</t>
        </is>
      </c>
      <c r="E664" t="inlineStr">
        <is>
          <t>BRÄCKE</t>
        </is>
      </c>
      <c r="G664" t="n">
        <v>2.4</v>
      </c>
      <c r="H664" t="n">
        <v>0</v>
      </c>
      <c r="I664" t="n">
        <v>0</v>
      </c>
      <c r="J664" t="n">
        <v>0</v>
      </c>
      <c r="K664" t="n">
        <v>0</v>
      </c>
      <c r="L664" t="n">
        <v>0</v>
      </c>
      <c r="M664" t="n">
        <v>0</v>
      </c>
      <c r="N664" t="n">
        <v>0</v>
      </c>
      <c r="O664" t="n">
        <v>0</v>
      </c>
      <c r="P664" t="n">
        <v>0</v>
      </c>
      <c r="Q664" t="n">
        <v>0</v>
      </c>
      <c r="R664" s="2" t="inlineStr"/>
    </row>
    <row r="665" ht="15" customHeight="1">
      <c r="A665" t="inlineStr">
        <is>
          <t>A 24784-2025</t>
        </is>
      </c>
      <c r="B665" s="1" t="n">
        <v>45799.42741898148</v>
      </c>
      <c r="C665" s="1" t="n">
        <v>46034</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51452-2025</t>
        </is>
      </c>
      <c r="B666" s="1" t="n">
        <v>45950.59430555555</v>
      </c>
      <c r="C666" s="1" t="n">
        <v>46034</v>
      </c>
      <c r="D666" t="inlineStr">
        <is>
          <t>JÄMTLANDS LÄN</t>
        </is>
      </c>
      <c r="E666" t="inlineStr">
        <is>
          <t>BRÄCKE</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40908-2025</t>
        </is>
      </c>
      <c r="B667" s="1" t="n">
        <v>45897.61657407408</v>
      </c>
      <c r="C667" s="1" t="n">
        <v>46034</v>
      </c>
      <c r="D667" t="inlineStr">
        <is>
          <t>JÄMTLANDS LÄN</t>
        </is>
      </c>
      <c r="E667" t="inlineStr">
        <is>
          <t>BRÄCKE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59547-2025</t>
        </is>
      </c>
      <c r="B668" s="1" t="n">
        <v>45990.34509259259</v>
      </c>
      <c r="C668" s="1" t="n">
        <v>46034</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40900-2025</t>
        </is>
      </c>
      <c r="B669" s="1" t="n">
        <v>45897.61546296296</v>
      </c>
      <c r="C669" s="1" t="n">
        <v>46034</v>
      </c>
      <c r="D669" t="inlineStr">
        <is>
          <t>JÄMTLANDS LÄN</t>
        </is>
      </c>
      <c r="E669" t="inlineStr">
        <is>
          <t>BRÄCKE</t>
        </is>
      </c>
      <c r="G669" t="n">
        <v>4.8</v>
      </c>
      <c r="H669" t="n">
        <v>0</v>
      </c>
      <c r="I669" t="n">
        <v>0</v>
      </c>
      <c r="J669" t="n">
        <v>0</v>
      </c>
      <c r="K669" t="n">
        <v>0</v>
      </c>
      <c r="L669" t="n">
        <v>0</v>
      </c>
      <c r="M669" t="n">
        <v>0</v>
      </c>
      <c r="N669" t="n">
        <v>0</v>
      </c>
      <c r="O669" t="n">
        <v>0</v>
      </c>
      <c r="P669" t="n">
        <v>0</v>
      </c>
      <c r="Q669" t="n">
        <v>0</v>
      </c>
      <c r="R669" s="2" t="inlineStr"/>
    </row>
    <row r="670" ht="15" customHeight="1">
      <c r="A670" t="inlineStr">
        <is>
          <t>A 28766-2024</t>
        </is>
      </c>
      <c r="B670" s="1" t="n">
        <v>45478</v>
      </c>
      <c r="C670" s="1" t="n">
        <v>46034</v>
      </c>
      <c r="D670" t="inlineStr">
        <is>
          <t>JÄMTLANDS LÄN</t>
        </is>
      </c>
      <c r="E670" t="inlineStr">
        <is>
          <t>BRÄCKE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13668-2024</t>
        </is>
      </c>
      <c r="B671" s="1" t="n">
        <v>45387</v>
      </c>
      <c r="C671" s="1" t="n">
        <v>46034</v>
      </c>
      <c r="D671" t="inlineStr">
        <is>
          <t>JÄMTLANDS LÄN</t>
        </is>
      </c>
      <c r="E671" t="inlineStr">
        <is>
          <t>BRÄCKE</t>
        </is>
      </c>
      <c r="G671" t="n">
        <v>8.1</v>
      </c>
      <c r="H671" t="n">
        <v>0</v>
      </c>
      <c r="I671" t="n">
        <v>0</v>
      </c>
      <c r="J671" t="n">
        <v>0</v>
      </c>
      <c r="K671" t="n">
        <v>0</v>
      </c>
      <c r="L671" t="n">
        <v>0</v>
      </c>
      <c r="M671" t="n">
        <v>0</v>
      </c>
      <c r="N671" t="n">
        <v>0</v>
      </c>
      <c r="O671" t="n">
        <v>0</v>
      </c>
      <c r="P671" t="n">
        <v>0</v>
      </c>
      <c r="Q671" t="n">
        <v>0</v>
      </c>
      <c r="R671" s="2" t="inlineStr"/>
    </row>
    <row r="672" ht="15" customHeight="1">
      <c r="A672" t="inlineStr">
        <is>
          <t>A 41297-2025</t>
        </is>
      </c>
      <c r="B672" s="1" t="n">
        <v>45898.66872685185</v>
      </c>
      <c r="C672" s="1" t="n">
        <v>46034</v>
      </c>
      <c r="D672" t="inlineStr">
        <is>
          <t>JÄMTLANDS LÄN</t>
        </is>
      </c>
      <c r="E672" t="inlineStr">
        <is>
          <t>BRÄCKE</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41196-2025</t>
        </is>
      </c>
      <c r="B673" s="1" t="n">
        <v>45898.57332175926</v>
      </c>
      <c r="C673" s="1" t="n">
        <v>46034</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41026-2025</t>
        </is>
      </c>
      <c r="B674" s="1" t="n">
        <v>45898.36888888889</v>
      </c>
      <c r="C674" s="1" t="n">
        <v>46034</v>
      </c>
      <c r="D674" t="inlineStr">
        <is>
          <t>JÄMTLANDS LÄN</t>
        </is>
      </c>
      <c r="E674" t="inlineStr">
        <is>
          <t>BRÄCKE</t>
        </is>
      </c>
      <c r="F674" t="inlineStr">
        <is>
          <t>Övriga Aktiebolag</t>
        </is>
      </c>
      <c r="G674" t="n">
        <v>10.3</v>
      </c>
      <c r="H674" t="n">
        <v>0</v>
      </c>
      <c r="I674" t="n">
        <v>0</v>
      </c>
      <c r="J674" t="n">
        <v>0</v>
      </c>
      <c r="K674" t="n">
        <v>0</v>
      </c>
      <c r="L674" t="n">
        <v>0</v>
      </c>
      <c r="M674" t="n">
        <v>0</v>
      </c>
      <c r="N674" t="n">
        <v>0</v>
      </c>
      <c r="O674" t="n">
        <v>0</v>
      </c>
      <c r="P674" t="n">
        <v>0</v>
      </c>
      <c r="Q674" t="n">
        <v>0</v>
      </c>
      <c r="R674" s="2" t="inlineStr"/>
    </row>
    <row r="675" ht="15" customHeight="1">
      <c r="A675" t="inlineStr">
        <is>
          <t>A 51620-2025</t>
        </is>
      </c>
      <c r="B675" s="1" t="n">
        <v>45951.4128125</v>
      </c>
      <c r="C675" s="1" t="n">
        <v>46034</v>
      </c>
      <c r="D675" t="inlineStr">
        <is>
          <t>JÄMTLANDS LÄN</t>
        </is>
      </c>
      <c r="E675" t="inlineStr">
        <is>
          <t>BRÄCKE</t>
        </is>
      </c>
      <c r="G675" t="n">
        <v>0.7</v>
      </c>
      <c r="H675" t="n">
        <v>0</v>
      </c>
      <c r="I675" t="n">
        <v>0</v>
      </c>
      <c r="J675" t="n">
        <v>0</v>
      </c>
      <c r="K675" t="n">
        <v>0</v>
      </c>
      <c r="L675" t="n">
        <v>0</v>
      </c>
      <c r="M675" t="n">
        <v>0</v>
      </c>
      <c r="N675" t="n">
        <v>0</v>
      </c>
      <c r="O675" t="n">
        <v>0</v>
      </c>
      <c r="P675" t="n">
        <v>0</v>
      </c>
      <c r="Q675" t="n">
        <v>0</v>
      </c>
      <c r="R675" s="2" t="inlineStr"/>
    </row>
    <row r="676" ht="15" customHeight="1">
      <c r="A676" t="inlineStr">
        <is>
          <t>A 51623-2025</t>
        </is>
      </c>
      <c r="B676" s="1" t="n">
        <v>45951.41578703704</v>
      </c>
      <c r="C676" s="1" t="n">
        <v>46034</v>
      </c>
      <c r="D676" t="inlineStr">
        <is>
          <t>JÄMTLANDS LÄN</t>
        </is>
      </c>
      <c r="E676" t="inlineStr">
        <is>
          <t>BRÄCKE</t>
        </is>
      </c>
      <c r="G676" t="n">
        <v>5.9</v>
      </c>
      <c r="H676" t="n">
        <v>0</v>
      </c>
      <c r="I676" t="n">
        <v>0</v>
      </c>
      <c r="J676" t="n">
        <v>0</v>
      </c>
      <c r="K676" t="n">
        <v>0</v>
      </c>
      <c r="L676" t="n">
        <v>0</v>
      </c>
      <c r="M676" t="n">
        <v>0</v>
      </c>
      <c r="N676" t="n">
        <v>0</v>
      </c>
      <c r="O676" t="n">
        <v>0</v>
      </c>
      <c r="P676" t="n">
        <v>0</v>
      </c>
      <c r="Q676" t="n">
        <v>0</v>
      </c>
      <c r="R676" s="2" t="inlineStr"/>
    </row>
    <row r="677" ht="15" customHeight="1">
      <c r="A677" t="inlineStr">
        <is>
          <t>A 41600-2025</t>
        </is>
      </c>
      <c r="B677" s="1" t="n">
        <v>45901.65686342592</v>
      </c>
      <c r="C677" s="1" t="n">
        <v>46034</v>
      </c>
      <c r="D677" t="inlineStr">
        <is>
          <t>JÄMTLANDS LÄN</t>
        </is>
      </c>
      <c r="E677" t="inlineStr">
        <is>
          <t>BRÄCKE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41367-2025</t>
        </is>
      </c>
      <c r="B678" s="1" t="n">
        <v>45900.55118055556</v>
      </c>
      <c r="C678" s="1" t="n">
        <v>46034</v>
      </c>
      <c r="D678" t="inlineStr">
        <is>
          <t>JÄMTLANDS LÄN</t>
        </is>
      </c>
      <c r="E678" t="inlineStr">
        <is>
          <t>BRÄCKE</t>
        </is>
      </c>
      <c r="G678" t="n">
        <v>2</v>
      </c>
      <c r="H678" t="n">
        <v>0</v>
      </c>
      <c r="I678" t="n">
        <v>0</v>
      </c>
      <c r="J678" t="n">
        <v>0</v>
      </c>
      <c r="K678" t="n">
        <v>0</v>
      </c>
      <c r="L678" t="n">
        <v>0</v>
      </c>
      <c r="M678" t="n">
        <v>0</v>
      </c>
      <c r="N678" t="n">
        <v>0</v>
      </c>
      <c r="O678" t="n">
        <v>0</v>
      </c>
      <c r="P678" t="n">
        <v>0</v>
      </c>
      <c r="Q678" t="n">
        <v>0</v>
      </c>
      <c r="R678" s="2" t="inlineStr"/>
    </row>
    <row r="679" ht="15" customHeight="1">
      <c r="A679" t="inlineStr">
        <is>
          <t>A 41094-2025</t>
        </is>
      </c>
      <c r="B679" s="1" t="n">
        <v>45898.44246527777</v>
      </c>
      <c r="C679" s="1" t="n">
        <v>46034</v>
      </c>
      <c r="D679" t="inlineStr">
        <is>
          <t>JÄMTLANDS LÄN</t>
        </is>
      </c>
      <c r="E679" t="inlineStr">
        <is>
          <t>BRÄCKE</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41236-2025</t>
        </is>
      </c>
      <c r="B680" s="1" t="n">
        <v>45898.59565972222</v>
      </c>
      <c r="C680" s="1" t="n">
        <v>46034</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46034</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41344-2025</t>
        </is>
      </c>
      <c r="B682" s="1" t="n">
        <v>45899.46899305555</v>
      </c>
      <c r="C682" s="1" t="n">
        <v>46034</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24454-2025</t>
        </is>
      </c>
      <c r="B683" s="1" t="n">
        <v>45798.34436342592</v>
      </c>
      <c r="C683" s="1" t="n">
        <v>46034</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41193-2025</t>
        </is>
      </c>
      <c r="B684" s="1" t="n">
        <v>45898.56891203704</v>
      </c>
      <c r="C684" s="1" t="n">
        <v>46034</v>
      </c>
      <c r="D684" t="inlineStr">
        <is>
          <t>JÄMTLANDS LÄN</t>
        </is>
      </c>
      <c r="E684" t="inlineStr">
        <is>
          <t>BRÄCKE</t>
        </is>
      </c>
      <c r="G684" t="n">
        <v>1.9</v>
      </c>
      <c r="H684" t="n">
        <v>0</v>
      </c>
      <c r="I684" t="n">
        <v>0</v>
      </c>
      <c r="J684" t="n">
        <v>0</v>
      </c>
      <c r="K684" t="n">
        <v>0</v>
      </c>
      <c r="L684" t="n">
        <v>0</v>
      </c>
      <c r="M684" t="n">
        <v>0</v>
      </c>
      <c r="N684" t="n">
        <v>0</v>
      </c>
      <c r="O684" t="n">
        <v>0</v>
      </c>
      <c r="P684" t="n">
        <v>0</v>
      </c>
      <c r="Q684" t="n">
        <v>0</v>
      </c>
      <c r="R684" s="2" t="inlineStr"/>
    </row>
    <row r="685" ht="15" customHeight="1">
      <c r="A685" t="inlineStr">
        <is>
          <t>A 41195-2025</t>
        </is>
      </c>
      <c r="B685" s="1" t="n">
        <v>45898.57331018519</v>
      </c>
      <c r="C685" s="1" t="n">
        <v>46034</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60052-2025</t>
        </is>
      </c>
      <c r="B686" s="1" t="n">
        <v>45993.63590277778</v>
      </c>
      <c r="C686" s="1" t="n">
        <v>46034</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41368-2025</t>
        </is>
      </c>
      <c r="B687" s="1" t="n">
        <v>45900.5678125</v>
      </c>
      <c r="C687" s="1" t="n">
        <v>46034</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4123-2025</t>
        </is>
      </c>
      <c r="B688" s="1" t="n">
        <v>45685.27107638889</v>
      </c>
      <c r="C688" s="1" t="n">
        <v>46034</v>
      </c>
      <c r="D688" t="inlineStr">
        <is>
          <t>JÄMTLANDS LÄN</t>
        </is>
      </c>
      <c r="E688" t="inlineStr">
        <is>
          <t>BRÄCKE</t>
        </is>
      </c>
      <c r="G688" t="n">
        <v>0.3</v>
      </c>
      <c r="H688" t="n">
        <v>0</v>
      </c>
      <c r="I688" t="n">
        <v>0</v>
      </c>
      <c r="J688" t="n">
        <v>0</v>
      </c>
      <c r="K688" t="n">
        <v>0</v>
      </c>
      <c r="L688" t="n">
        <v>0</v>
      </c>
      <c r="M688" t="n">
        <v>0</v>
      </c>
      <c r="N688" t="n">
        <v>0</v>
      </c>
      <c r="O688" t="n">
        <v>0</v>
      </c>
      <c r="P688" t="n">
        <v>0</v>
      </c>
      <c r="Q688" t="n">
        <v>0</v>
      </c>
      <c r="R688" s="2" t="inlineStr"/>
    </row>
    <row r="689" ht="15" customHeight="1">
      <c r="A689" t="inlineStr">
        <is>
          <t>A 41526-2025</t>
        </is>
      </c>
      <c r="B689" s="1" t="n">
        <v>45901.5528587963</v>
      </c>
      <c r="C689" s="1" t="n">
        <v>46034</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41503-2025</t>
        </is>
      </c>
      <c r="B690" s="1" t="n">
        <v>45901.51952546297</v>
      </c>
      <c r="C690" s="1" t="n">
        <v>46034</v>
      </c>
      <c r="D690" t="inlineStr">
        <is>
          <t>JÄMTLANDS LÄN</t>
        </is>
      </c>
      <c r="E690" t="inlineStr">
        <is>
          <t>BRÄCKE</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41345-2025</t>
        </is>
      </c>
      <c r="B691" s="1" t="n">
        <v>45899.46903935185</v>
      </c>
      <c r="C691" s="1" t="n">
        <v>46034</v>
      </c>
      <c r="D691" t="inlineStr">
        <is>
          <t>JÄMTLANDS LÄN</t>
        </is>
      </c>
      <c r="E691" t="inlineStr">
        <is>
          <t>BRÄCKE</t>
        </is>
      </c>
      <c r="G691" t="n">
        <v>7.5</v>
      </c>
      <c r="H691" t="n">
        <v>0</v>
      </c>
      <c r="I691" t="n">
        <v>0</v>
      </c>
      <c r="J691" t="n">
        <v>0</v>
      </c>
      <c r="K691" t="n">
        <v>0</v>
      </c>
      <c r="L691" t="n">
        <v>0</v>
      </c>
      <c r="M691" t="n">
        <v>0</v>
      </c>
      <c r="N691" t="n">
        <v>0</v>
      </c>
      <c r="O691" t="n">
        <v>0</v>
      </c>
      <c r="P691" t="n">
        <v>0</v>
      </c>
      <c r="Q691" t="n">
        <v>0</v>
      </c>
      <c r="R691" s="2" t="inlineStr"/>
    </row>
    <row r="692" ht="15" customHeight="1">
      <c r="A692" t="inlineStr">
        <is>
          <t>A 41187-2025</t>
        </is>
      </c>
      <c r="B692" s="1" t="n">
        <v>45898.56390046296</v>
      </c>
      <c r="C692" s="1" t="n">
        <v>46034</v>
      </c>
      <c r="D692" t="inlineStr">
        <is>
          <t>JÄMTLANDS LÄN</t>
        </is>
      </c>
      <c r="E692" t="inlineStr">
        <is>
          <t>BRÄCKE</t>
        </is>
      </c>
      <c r="F692" t="inlineStr">
        <is>
          <t>Övriga Aktiebolag</t>
        </is>
      </c>
      <c r="G692" t="n">
        <v>1.9</v>
      </c>
      <c r="H692" t="n">
        <v>0</v>
      </c>
      <c r="I692" t="n">
        <v>0</v>
      </c>
      <c r="J692" t="n">
        <v>0</v>
      </c>
      <c r="K692" t="n">
        <v>0</v>
      </c>
      <c r="L692" t="n">
        <v>0</v>
      </c>
      <c r="M692" t="n">
        <v>0</v>
      </c>
      <c r="N692" t="n">
        <v>0</v>
      </c>
      <c r="O692" t="n">
        <v>0</v>
      </c>
      <c r="P692" t="n">
        <v>0</v>
      </c>
      <c r="Q692" t="n">
        <v>0</v>
      </c>
      <c r="R692" s="2" t="inlineStr"/>
    </row>
    <row r="693" ht="15" customHeight="1">
      <c r="A693" t="inlineStr">
        <is>
          <t>A 41049-2025</t>
        </is>
      </c>
      <c r="B693" s="1" t="n">
        <v>45898.40252314815</v>
      </c>
      <c r="C693" s="1" t="n">
        <v>46034</v>
      </c>
      <c r="D693" t="inlineStr">
        <is>
          <t>JÄMTLANDS LÄN</t>
        </is>
      </c>
      <c r="E693" t="inlineStr">
        <is>
          <t>BRÄCKE</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25102-2025</t>
        </is>
      </c>
      <c r="B694" s="1" t="n">
        <v>45800.34445601852</v>
      </c>
      <c r="C694" s="1" t="n">
        <v>46034</v>
      </c>
      <c r="D694" t="inlineStr">
        <is>
          <t>JÄMTLANDS LÄN</t>
        </is>
      </c>
      <c r="E694" t="inlineStr">
        <is>
          <t>BRÄCKE</t>
        </is>
      </c>
      <c r="G694" t="n">
        <v>11.1</v>
      </c>
      <c r="H694" t="n">
        <v>0</v>
      </c>
      <c r="I694" t="n">
        <v>0</v>
      </c>
      <c r="J694" t="n">
        <v>0</v>
      </c>
      <c r="K694" t="n">
        <v>0</v>
      </c>
      <c r="L694" t="n">
        <v>0</v>
      </c>
      <c r="M694" t="n">
        <v>0</v>
      </c>
      <c r="N694" t="n">
        <v>0</v>
      </c>
      <c r="O694" t="n">
        <v>0</v>
      </c>
      <c r="P694" t="n">
        <v>0</v>
      </c>
      <c r="Q694" t="n">
        <v>0</v>
      </c>
      <c r="R694" s="2" t="inlineStr"/>
    </row>
    <row r="695" ht="15" customHeight="1">
      <c r="A695" t="inlineStr">
        <is>
          <t>A 41257-2025</t>
        </is>
      </c>
      <c r="B695" s="1" t="n">
        <v>45898.6084375</v>
      </c>
      <c r="C695" s="1" t="n">
        <v>46034</v>
      </c>
      <c r="D695" t="inlineStr">
        <is>
          <t>JÄMTLANDS LÄN</t>
        </is>
      </c>
      <c r="E695" t="inlineStr">
        <is>
          <t>BRÄCKE</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62102-2024</t>
        </is>
      </c>
      <c r="B696" s="1" t="n">
        <v>45656.51145833333</v>
      </c>
      <c r="C696" s="1" t="n">
        <v>46034</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25159-2025</t>
        </is>
      </c>
      <c r="B697" s="1" t="n">
        <v>45800.42804398148</v>
      </c>
      <c r="C697" s="1" t="n">
        <v>46034</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41060-2025</t>
        </is>
      </c>
      <c r="B698" s="1" t="n">
        <v>45898.4071875</v>
      </c>
      <c r="C698" s="1" t="n">
        <v>46034</v>
      </c>
      <c r="D698" t="inlineStr">
        <is>
          <t>JÄMTLANDS LÄN</t>
        </is>
      </c>
      <c r="E698" t="inlineStr">
        <is>
          <t>BRÄCKE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41510-2025</t>
        </is>
      </c>
      <c r="B699" s="1" t="n">
        <v>45901.53417824074</v>
      </c>
      <c r="C699" s="1" t="n">
        <v>46034</v>
      </c>
      <c r="D699" t="inlineStr">
        <is>
          <t>JÄMTLANDS LÄN</t>
        </is>
      </c>
      <c r="E699" t="inlineStr">
        <is>
          <t>BRÄCKE</t>
        </is>
      </c>
      <c r="F699" t="inlineStr">
        <is>
          <t>Övriga Aktiebolag</t>
        </is>
      </c>
      <c r="G699" t="n">
        <v>2.2</v>
      </c>
      <c r="H699" t="n">
        <v>0</v>
      </c>
      <c r="I699" t="n">
        <v>0</v>
      </c>
      <c r="J699" t="n">
        <v>0</v>
      </c>
      <c r="K699" t="n">
        <v>0</v>
      </c>
      <c r="L699" t="n">
        <v>0</v>
      </c>
      <c r="M699" t="n">
        <v>0</v>
      </c>
      <c r="N699" t="n">
        <v>0</v>
      </c>
      <c r="O699" t="n">
        <v>0</v>
      </c>
      <c r="P699" t="n">
        <v>0</v>
      </c>
      <c r="Q699" t="n">
        <v>0</v>
      </c>
      <c r="R699" s="2" t="inlineStr"/>
    </row>
    <row r="700" ht="15" customHeight="1">
      <c r="A700" t="inlineStr">
        <is>
          <t>A 25101-2025</t>
        </is>
      </c>
      <c r="B700" s="1" t="n">
        <v>45800.34444444445</v>
      </c>
      <c r="C700" s="1" t="n">
        <v>46034</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41757-2025</t>
        </is>
      </c>
      <c r="B701" s="1" t="n">
        <v>45902.50755787037</v>
      </c>
      <c r="C701" s="1" t="n">
        <v>46034</v>
      </c>
      <c r="D701" t="inlineStr">
        <is>
          <t>JÄMTLANDS LÄN</t>
        </is>
      </c>
      <c r="E701" t="inlineStr">
        <is>
          <t>BRÄCKE</t>
        </is>
      </c>
      <c r="G701" t="n">
        <v>1.8</v>
      </c>
      <c r="H701" t="n">
        <v>0</v>
      </c>
      <c r="I701" t="n">
        <v>0</v>
      </c>
      <c r="J701" t="n">
        <v>0</v>
      </c>
      <c r="K701" t="n">
        <v>0</v>
      </c>
      <c r="L701" t="n">
        <v>0</v>
      </c>
      <c r="M701" t="n">
        <v>0</v>
      </c>
      <c r="N701" t="n">
        <v>0</v>
      </c>
      <c r="O701" t="n">
        <v>0</v>
      </c>
      <c r="P701" t="n">
        <v>0</v>
      </c>
      <c r="Q701" t="n">
        <v>0</v>
      </c>
      <c r="R701" s="2" t="inlineStr"/>
    </row>
    <row r="702" ht="15" customHeight="1">
      <c r="A702" t="inlineStr">
        <is>
          <t>A 22459-2024</t>
        </is>
      </c>
      <c r="B702" s="1" t="n">
        <v>45446.94972222222</v>
      </c>
      <c r="C702" s="1" t="n">
        <v>46034</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14630-2025</t>
        </is>
      </c>
      <c r="B703" s="1" t="n">
        <v>45742.42767361111</v>
      </c>
      <c r="C703" s="1" t="n">
        <v>46034</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60053-2025</t>
        </is>
      </c>
      <c r="B704" s="1" t="n">
        <v>45993.63614583333</v>
      </c>
      <c r="C704" s="1" t="n">
        <v>46034</v>
      </c>
      <c r="D704" t="inlineStr">
        <is>
          <t>JÄMTLANDS LÄN</t>
        </is>
      </c>
      <c r="E704" t="inlineStr">
        <is>
          <t>BRÄCKE</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59544-2025</t>
        </is>
      </c>
      <c r="B705" s="1" t="n">
        <v>45990.34483796296</v>
      </c>
      <c r="C705" s="1" t="n">
        <v>46034</v>
      </c>
      <c r="D705" t="inlineStr">
        <is>
          <t>JÄMTLANDS LÄN</t>
        </is>
      </c>
      <c r="E705" t="inlineStr">
        <is>
          <t>BRÄCKE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59545-2025</t>
        </is>
      </c>
      <c r="B706" s="1" t="n">
        <v>45990.34488425926</v>
      </c>
      <c r="C706" s="1" t="n">
        <v>46034</v>
      </c>
      <c r="D706" t="inlineStr">
        <is>
          <t>JÄMTLANDS LÄN</t>
        </is>
      </c>
      <c r="E706" t="inlineStr">
        <is>
          <t>BRÄCKE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25821-2025</t>
        </is>
      </c>
      <c r="B707" s="1" t="n">
        <v>45804.43686342592</v>
      </c>
      <c r="C707" s="1" t="n">
        <v>46034</v>
      </c>
      <c r="D707" t="inlineStr">
        <is>
          <t>JÄMTLANDS LÄN</t>
        </is>
      </c>
      <c r="E707" t="inlineStr">
        <is>
          <t>BRÄCKE</t>
        </is>
      </c>
      <c r="G707" t="n">
        <v>3.3</v>
      </c>
      <c r="H707" t="n">
        <v>0</v>
      </c>
      <c r="I707" t="n">
        <v>0</v>
      </c>
      <c r="J707" t="n">
        <v>0</v>
      </c>
      <c r="K707" t="n">
        <v>0</v>
      </c>
      <c r="L707" t="n">
        <v>0</v>
      </c>
      <c r="M707" t="n">
        <v>0</v>
      </c>
      <c r="N707" t="n">
        <v>0</v>
      </c>
      <c r="O707" t="n">
        <v>0</v>
      </c>
      <c r="P707" t="n">
        <v>0</v>
      </c>
      <c r="Q707" t="n">
        <v>0</v>
      </c>
      <c r="R707" s="2" t="inlineStr"/>
    </row>
    <row r="708" ht="15" customHeight="1">
      <c r="A708" t="inlineStr">
        <is>
          <t>A 51619-2025</t>
        </is>
      </c>
      <c r="B708" s="1" t="n">
        <v>45951.41025462963</v>
      </c>
      <c r="C708" s="1" t="n">
        <v>46034</v>
      </c>
      <c r="D708" t="inlineStr">
        <is>
          <t>JÄMTLANDS LÄN</t>
        </is>
      </c>
      <c r="E708" t="inlineStr">
        <is>
          <t>BRÄCKE</t>
        </is>
      </c>
      <c r="G708" t="n">
        <v>11</v>
      </c>
      <c r="H708" t="n">
        <v>0</v>
      </c>
      <c r="I708" t="n">
        <v>0</v>
      </c>
      <c r="J708" t="n">
        <v>0</v>
      </c>
      <c r="K708" t="n">
        <v>0</v>
      </c>
      <c r="L708" t="n">
        <v>0</v>
      </c>
      <c r="M708" t="n">
        <v>0</v>
      </c>
      <c r="N708" t="n">
        <v>0</v>
      </c>
      <c r="O708" t="n">
        <v>0</v>
      </c>
      <c r="P708" t="n">
        <v>0</v>
      </c>
      <c r="Q708" t="n">
        <v>0</v>
      </c>
      <c r="R708" s="2" t="inlineStr"/>
    </row>
    <row r="709" ht="15" customHeight="1">
      <c r="A709" t="inlineStr">
        <is>
          <t>A 51625-2025</t>
        </is>
      </c>
      <c r="B709" s="1" t="n">
        <v>45951.41704861111</v>
      </c>
      <c r="C709" s="1" t="n">
        <v>46034</v>
      </c>
      <c r="D709" t="inlineStr">
        <is>
          <t>JÄMTLANDS LÄN</t>
        </is>
      </c>
      <c r="E709" t="inlineStr">
        <is>
          <t>BRÄCKE</t>
        </is>
      </c>
      <c r="G709" t="n">
        <v>0.5</v>
      </c>
      <c r="H709" t="n">
        <v>0</v>
      </c>
      <c r="I709" t="n">
        <v>0</v>
      </c>
      <c r="J709" t="n">
        <v>0</v>
      </c>
      <c r="K709" t="n">
        <v>0</v>
      </c>
      <c r="L709" t="n">
        <v>0</v>
      </c>
      <c r="M709" t="n">
        <v>0</v>
      </c>
      <c r="N709" t="n">
        <v>0</v>
      </c>
      <c r="O709" t="n">
        <v>0</v>
      </c>
      <c r="P709" t="n">
        <v>0</v>
      </c>
      <c r="Q709" t="n">
        <v>0</v>
      </c>
      <c r="R709" s="2" t="inlineStr"/>
    </row>
    <row r="710" ht="15" customHeight="1">
      <c r="A710" t="inlineStr">
        <is>
          <t>A 41981-2025</t>
        </is>
      </c>
      <c r="B710" s="1" t="n">
        <v>45903.53172453704</v>
      </c>
      <c r="C710" s="1" t="n">
        <v>46034</v>
      </c>
      <c r="D710" t="inlineStr">
        <is>
          <t>JÄMTLANDS LÄN</t>
        </is>
      </c>
      <c r="E710" t="inlineStr">
        <is>
          <t>BRÄCKE</t>
        </is>
      </c>
      <c r="G710" t="n">
        <v>6.2</v>
      </c>
      <c r="H710" t="n">
        <v>0</v>
      </c>
      <c r="I710" t="n">
        <v>0</v>
      </c>
      <c r="J710" t="n">
        <v>0</v>
      </c>
      <c r="K710" t="n">
        <v>0</v>
      </c>
      <c r="L710" t="n">
        <v>0</v>
      </c>
      <c r="M710" t="n">
        <v>0</v>
      </c>
      <c r="N710" t="n">
        <v>0</v>
      </c>
      <c r="O710" t="n">
        <v>0</v>
      </c>
      <c r="P710" t="n">
        <v>0</v>
      </c>
      <c r="Q710" t="n">
        <v>0</v>
      </c>
      <c r="R710" s="2" t="inlineStr"/>
    </row>
    <row r="711" ht="15" customHeight="1">
      <c r="A711" t="inlineStr">
        <is>
          <t>A 5169-2025</t>
        </is>
      </c>
      <c r="B711" s="1" t="n">
        <v>45691.61571759259</v>
      </c>
      <c r="C711" s="1" t="n">
        <v>46034</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41547-2025</t>
        </is>
      </c>
      <c r="B712" s="1" t="n">
        <v>45901.57991898148</v>
      </c>
      <c r="C712" s="1" t="n">
        <v>46034</v>
      </c>
      <c r="D712" t="inlineStr">
        <is>
          <t>JÄMTLANDS LÄN</t>
        </is>
      </c>
      <c r="E712" t="inlineStr">
        <is>
          <t>BRÄCKE</t>
        </is>
      </c>
      <c r="G712" t="n">
        <v>5.1</v>
      </c>
      <c r="H712" t="n">
        <v>0</v>
      </c>
      <c r="I712" t="n">
        <v>0</v>
      </c>
      <c r="J712" t="n">
        <v>0</v>
      </c>
      <c r="K712" t="n">
        <v>0</v>
      </c>
      <c r="L712" t="n">
        <v>0</v>
      </c>
      <c r="M712" t="n">
        <v>0</v>
      </c>
      <c r="N712" t="n">
        <v>0</v>
      </c>
      <c r="O712" t="n">
        <v>0</v>
      </c>
      <c r="P712" t="n">
        <v>0</v>
      </c>
      <c r="Q712" t="n">
        <v>0</v>
      </c>
      <c r="R712" s="2" t="inlineStr"/>
    </row>
    <row r="713" ht="15" customHeight="1">
      <c r="A713" t="inlineStr">
        <is>
          <t>A 18265-2025</t>
        </is>
      </c>
      <c r="B713" s="1" t="n">
        <v>45762.36525462963</v>
      </c>
      <c r="C713" s="1" t="n">
        <v>46034</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11438-2025</t>
        </is>
      </c>
      <c r="B714" s="1" t="n">
        <v>45726.61552083334</v>
      </c>
      <c r="C714" s="1" t="n">
        <v>46034</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26298-2025</t>
        </is>
      </c>
      <c r="B715" s="1" t="n">
        <v>45805.63619212963</v>
      </c>
      <c r="C715" s="1" t="n">
        <v>46034</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25734-2025</t>
        </is>
      </c>
      <c r="B716" s="1" t="n">
        <v>45803.76541666667</v>
      </c>
      <c r="C716" s="1" t="n">
        <v>46034</v>
      </c>
      <c r="D716" t="inlineStr">
        <is>
          <t>JÄMTLANDS LÄN</t>
        </is>
      </c>
      <c r="E716" t="inlineStr">
        <is>
          <t>BRÄCKE</t>
        </is>
      </c>
      <c r="G716" t="n">
        <v>12</v>
      </c>
      <c r="H716" t="n">
        <v>0</v>
      </c>
      <c r="I716" t="n">
        <v>0</v>
      </c>
      <c r="J716" t="n">
        <v>0</v>
      </c>
      <c r="K716" t="n">
        <v>0</v>
      </c>
      <c r="L716" t="n">
        <v>0</v>
      </c>
      <c r="M716" t="n">
        <v>0</v>
      </c>
      <c r="N716" t="n">
        <v>0</v>
      </c>
      <c r="O716" t="n">
        <v>0</v>
      </c>
      <c r="P716" t="n">
        <v>0</v>
      </c>
      <c r="Q716" t="n">
        <v>0</v>
      </c>
      <c r="R716" s="2" t="inlineStr"/>
    </row>
    <row r="717" ht="15" customHeight="1">
      <c r="A717" t="inlineStr">
        <is>
          <t>A 42131-2025</t>
        </is>
      </c>
      <c r="B717" s="1" t="n">
        <v>45904.34542824074</v>
      </c>
      <c r="C717" s="1" t="n">
        <v>46034</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42132-2025</t>
        </is>
      </c>
      <c r="B718" s="1" t="n">
        <v>45904.34546296296</v>
      </c>
      <c r="C718" s="1" t="n">
        <v>46034</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42507-2025</t>
        </is>
      </c>
      <c r="B719" s="1" t="n">
        <v>45905.53167824074</v>
      </c>
      <c r="C719" s="1" t="n">
        <v>46034</v>
      </c>
      <c r="D719" t="inlineStr">
        <is>
          <t>JÄMTLANDS LÄN</t>
        </is>
      </c>
      <c r="E719" t="inlineStr">
        <is>
          <t>BRÄCKE</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42312-2025</t>
        </is>
      </c>
      <c r="B720" s="1" t="n">
        <v>45904.65673611111</v>
      </c>
      <c r="C720" s="1" t="n">
        <v>46034</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783-2025</t>
        </is>
      </c>
      <c r="B721" s="1" t="n">
        <v>45665.49290509259</v>
      </c>
      <c r="C721" s="1" t="n">
        <v>46034</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4132-2025</t>
        </is>
      </c>
      <c r="B722" s="1" t="n">
        <v>45685.34538194445</v>
      </c>
      <c r="C722" s="1" t="n">
        <v>46034</v>
      </c>
      <c r="D722" t="inlineStr">
        <is>
          <t>JÄMTLANDS LÄN</t>
        </is>
      </c>
      <c r="E722" t="inlineStr">
        <is>
          <t>BRÄCKE</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42380-2025</t>
        </is>
      </c>
      <c r="B723" s="1" t="n">
        <v>45905.34456018519</v>
      </c>
      <c r="C723" s="1" t="n">
        <v>46034</v>
      </c>
      <c r="D723" t="inlineStr">
        <is>
          <t>JÄMTLANDS LÄN</t>
        </is>
      </c>
      <c r="E723" t="inlineStr">
        <is>
          <t>BRÄCKE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42590-2025</t>
        </is>
      </c>
      <c r="B724" s="1" t="n">
        <v>45905.63607638889</v>
      </c>
      <c r="C724" s="1" t="n">
        <v>46034</v>
      </c>
      <c r="D724" t="inlineStr">
        <is>
          <t>JÄMTLANDS LÄN</t>
        </is>
      </c>
      <c r="E724" t="inlineStr">
        <is>
          <t>BRÄCKE</t>
        </is>
      </c>
      <c r="F724" t="inlineStr">
        <is>
          <t>SCA</t>
        </is>
      </c>
      <c r="G724" t="n">
        <v>24.2</v>
      </c>
      <c r="H724" t="n">
        <v>0</v>
      </c>
      <c r="I724" t="n">
        <v>0</v>
      </c>
      <c r="J724" t="n">
        <v>0</v>
      </c>
      <c r="K724" t="n">
        <v>0</v>
      </c>
      <c r="L724" t="n">
        <v>0</v>
      </c>
      <c r="M724" t="n">
        <v>0</v>
      </c>
      <c r="N724" t="n">
        <v>0</v>
      </c>
      <c r="O724" t="n">
        <v>0</v>
      </c>
      <c r="P724" t="n">
        <v>0</v>
      </c>
      <c r="Q724" t="n">
        <v>0</v>
      </c>
      <c r="R724" s="2" t="inlineStr"/>
    </row>
    <row r="725" ht="15" customHeight="1">
      <c r="A725" t="inlineStr">
        <is>
          <t>A 26379-2025</t>
        </is>
      </c>
      <c r="B725" s="1" t="n">
        <v>45806.48998842593</v>
      </c>
      <c r="C725" s="1" t="n">
        <v>46034</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59543-2025</t>
        </is>
      </c>
      <c r="B726" s="1" t="n">
        <v>45990.34466435185</v>
      </c>
      <c r="C726" s="1" t="n">
        <v>46034</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12722-2025</t>
        </is>
      </c>
      <c r="B727" s="1" t="n">
        <v>45733.48998842593</v>
      </c>
      <c r="C727" s="1" t="n">
        <v>46034</v>
      </c>
      <c r="D727" t="inlineStr">
        <is>
          <t>JÄMTLANDS LÄN</t>
        </is>
      </c>
      <c r="E727" t="inlineStr">
        <is>
          <t>BRÄCKE</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55512-2022</t>
        </is>
      </c>
      <c r="B728" s="1" t="n">
        <v>44887</v>
      </c>
      <c r="C728" s="1" t="n">
        <v>46034</v>
      </c>
      <c r="D728" t="inlineStr">
        <is>
          <t>JÄMTLANDS LÄN</t>
        </is>
      </c>
      <c r="E728" t="inlineStr">
        <is>
          <t>BRÄCKE</t>
        </is>
      </c>
      <c r="G728" t="n">
        <v>3.9</v>
      </c>
      <c r="H728" t="n">
        <v>0</v>
      </c>
      <c r="I728" t="n">
        <v>0</v>
      </c>
      <c r="J728" t="n">
        <v>0</v>
      </c>
      <c r="K728" t="n">
        <v>0</v>
      </c>
      <c r="L728" t="n">
        <v>0</v>
      </c>
      <c r="M728" t="n">
        <v>0</v>
      </c>
      <c r="N728" t="n">
        <v>0</v>
      </c>
      <c r="O728" t="n">
        <v>0</v>
      </c>
      <c r="P728" t="n">
        <v>0</v>
      </c>
      <c r="Q728" t="n">
        <v>0</v>
      </c>
      <c r="R728" s="2" t="inlineStr"/>
    </row>
    <row r="729" ht="15" customHeight="1">
      <c r="A729" t="inlineStr">
        <is>
          <t>A 51777-2025</t>
        </is>
      </c>
      <c r="B729" s="1" t="n">
        <v>45951.65680555555</v>
      </c>
      <c r="C729" s="1" t="n">
        <v>46034</v>
      </c>
      <c r="D729" t="inlineStr">
        <is>
          <t>JÄMTLANDS LÄN</t>
        </is>
      </c>
      <c r="E729" t="inlineStr">
        <is>
          <t>BRÄCKE</t>
        </is>
      </c>
      <c r="F729" t="inlineStr">
        <is>
          <t>SCA</t>
        </is>
      </c>
      <c r="G729" t="n">
        <v>12.9</v>
      </c>
      <c r="H729" t="n">
        <v>0</v>
      </c>
      <c r="I729" t="n">
        <v>0</v>
      </c>
      <c r="J729" t="n">
        <v>0</v>
      </c>
      <c r="K729" t="n">
        <v>0</v>
      </c>
      <c r="L729" t="n">
        <v>0</v>
      </c>
      <c r="M729" t="n">
        <v>0</v>
      </c>
      <c r="N729" t="n">
        <v>0</v>
      </c>
      <c r="O729" t="n">
        <v>0</v>
      </c>
      <c r="P729" t="n">
        <v>0</v>
      </c>
      <c r="Q729" t="n">
        <v>0</v>
      </c>
      <c r="R729" s="2" t="inlineStr"/>
    </row>
    <row r="730" ht="15" customHeight="1">
      <c r="A730" t="inlineStr">
        <is>
          <t>A 2064-2024</t>
        </is>
      </c>
      <c r="B730" s="1" t="n">
        <v>45308</v>
      </c>
      <c r="C730" s="1" t="n">
        <v>46034</v>
      </c>
      <c r="D730" t="inlineStr">
        <is>
          <t>JÄMTLANDS LÄN</t>
        </is>
      </c>
      <c r="E730" t="inlineStr">
        <is>
          <t>BRÄCKE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42123-2025</t>
        </is>
      </c>
      <c r="B731" s="1" t="n">
        <v>45904.34429398148</v>
      </c>
      <c r="C731" s="1" t="n">
        <v>46034</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42379-2025</t>
        </is>
      </c>
      <c r="B732" s="1" t="n">
        <v>45905.34443287037</v>
      </c>
      <c r="C732" s="1" t="n">
        <v>46034</v>
      </c>
      <c r="D732" t="inlineStr">
        <is>
          <t>JÄMTLANDS LÄN</t>
        </is>
      </c>
      <c r="E732" t="inlineStr">
        <is>
          <t>BRÄCKE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34410-2021</t>
        </is>
      </c>
      <c r="B733" s="1" t="n">
        <v>44379.94194444444</v>
      </c>
      <c r="C733" s="1" t="n">
        <v>46034</v>
      </c>
      <c r="D733" t="inlineStr">
        <is>
          <t>JÄMTLANDS LÄN</t>
        </is>
      </c>
      <c r="E733" t="inlineStr">
        <is>
          <t>BRÄCKE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42270-2025</t>
        </is>
      </c>
      <c r="B734" s="1" t="n">
        <v>45904.60445601852</v>
      </c>
      <c r="C734" s="1" t="n">
        <v>46034</v>
      </c>
      <c r="D734" t="inlineStr">
        <is>
          <t>JÄMTLANDS LÄN</t>
        </is>
      </c>
      <c r="E734" t="inlineStr">
        <is>
          <t>BRÄCKE</t>
        </is>
      </c>
      <c r="G734" t="n">
        <v>6.4</v>
      </c>
      <c r="H734" t="n">
        <v>0</v>
      </c>
      <c r="I734" t="n">
        <v>0</v>
      </c>
      <c r="J734" t="n">
        <v>0</v>
      </c>
      <c r="K734" t="n">
        <v>0</v>
      </c>
      <c r="L734" t="n">
        <v>0</v>
      </c>
      <c r="M734" t="n">
        <v>0</v>
      </c>
      <c r="N734" t="n">
        <v>0</v>
      </c>
      <c r="O734" t="n">
        <v>0</v>
      </c>
      <c r="P734" t="n">
        <v>0</v>
      </c>
      <c r="Q734" t="n">
        <v>0</v>
      </c>
      <c r="R734" s="2" t="inlineStr"/>
    </row>
    <row r="735" ht="15" customHeight="1">
      <c r="A735" t="inlineStr">
        <is>
          <t>A 42280-2025</t>
        </is>
      </c>
      <c r="B735" s="1" t="n">
        <v>45904.61605324074</v>
      </c>
      <c r="C735" s="1" t="n">
        <v>46034</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58039-2021</t>
        </is>
      </c>
      <c r="B736" s="1" t="n">
        <v>44487</v>
      </c>
      <c r="C736" s="1" t="n">
        <v>46034</v>
      </c>
      <c r="D736" t="inlineStr">
        <is>
          <t>JÄMTLANDS LÄN</t>
        </is>
      </c>
      <c r="E736" t="inlineStr">
        <is>
          <t>BRÄCKE</t>
        </is>
      </c>
      <c r="G736" t="n">
        <v>7.4</v>
      </c>
      <c r="H736" t="n">
        <v>0</v>
      </c>
      <c r="I736" t="n">
        <v>0</v>
      </c>
      <c r="J736" t="n">
        <v>0</v>
      </c>
      <c r="K736" t="n">
        <v>0</v>
      </c>
      <c r="L736" t="n">
        <v>0</v>
      </c>
      <c r="M736" t="n">
        <v>0</v>
      </c>
      <c r="N736" t="n">
        <v>0</v>
      </c>
      <c r="O736" t="n">
        <v>0</v>
      </c>
      <c r="P736" t="n">
        <v>0</v>
      </c>
      <c r="Q736" t="n">
        <v>0</v>
      </c>
      <c r="R736" s="2" t="inlineStr"/>
    </row>
    <row r="737" ht="15" customHeight="1">
      <c r="A737" t="inlineStr">
        <is>
          <t>A 42128-2025</t>
        </is>
      </c>
      <c r="B737" s="1" t="n">
        <v>45904.34517361111</v>
      </c>
      <c r="C737" s="1" t="n">
        <v>46034</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42130-2025</t>
        </is>
      </c>
      <c r="B738" s="1" t="n">
        <v>45904.34540509259</v>
      </c>
      <c r="C738" s="1" t="n">
        <v>46034</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9386-2025</t>
        </is>
      </c>
      <c r="B739" s="1" t="n">
        <v>45715.34450231482</v>
      </c>
      <c r="C739" s="1" t="n">
        <v>46034</v>
      </c>
      <c r="D739" t="inlineStr">
        <is>
          <t>JÄMTLANDS LÄN</t>
        </is>
      </c>
      <c r="E739" t="inlineStr">
        <is>
          <t>BRÄCKE</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9467-2025</t>
        </is>
      </c>
      <c r="B740" s="1" t="n">
        <v>45715.46903935185</v>
      </c>
      <c r="C740" s="1" t="n">
        <v>46034</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42435-2025</t>
        </is>
      </c>
      <c r="B741" s="1" t="n">
        <v>45905.42763888889</v>
      </c>
      <c r="C741" s="1" t="n">
        <v>46034</v>
      </c>
      <c r="D741" t="inlineStr">
        <is>
          <t>JÄMTLANDS LÄN</t>
        </is>
      </c>
      <c r="E741" t="inlineStr">
        <is>
          <t>BRÄCKE</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39509-2023</t>
        </is>
      </c>
      <c r="B742" s="1" t="n">
        <v>45166.95824074074</v>
      </c>
      <c r="C742" s="1" t="n">
        <v>46034</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42732-2025</t>
        </is>
      </c>
      <c r="B743" s="1" t="n">
        <v>45908.40704861111</v>
      </c>
      <c r="C743" s="1" t="n">
        <v>46034</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27256-2021</t>
        </is>
      </c>
      <c r="B744" s="1" t="n">
        <v>44350</v>
      </c>
      <c r="C744" s="1" t="n">
        <v>46034</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26818-2025</t>
        </is>
      </c>
      <c r="B745" s="1" t="n">
        <v>45810.63622685185</v>
      </c>
      <c r="C745" s="1" t="n">
        <v>46034</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5004-2023</t>
        </is>
      </c>
      <c r="B746" s="1" t="n">
        <v>44956</v>
      </c>
      <c r="C746" s="1" t="n">
        <v>46034</v>
      </c>
      <c r="D746" t="inlineStr">
        <is>
          <t>JÄMTLANDS LÄN</t>
        </is>
      </c>
      <c r="E746" t="inlineStr">
        <is>
          <t>BRÄCKE</t>
        </is>
      </c>
      <c r="G746" t="n">
        <v>1.1</v>
      </c>
      <c r="H746" t="n">
        <v>0</v>
      </c>
      <c r="I746" t="n">
        <v>0</v>
      </c>
      <c r="J746" t="n">
        <v>0</v>
      </c>
      <c r="K746" t="n">
        <v>0</v>
      </c>
      <c r="L746" t="n">
        <v>0</v>
      </c>
      <c r="M746" t="n">
        <v>0</v>
      </c>
      <c r="N746" t="n">
        <v>0</v>
      </c>
      <c r="O746" t="n">
        <v>0</v>
      </c>
      <c r="P746" t="n">
        <v>0</v>
      </c>
      <c r="Q746" t="n">
        <v>0</v>
      </c>
      <c r="R746" s="2" t="inlineStr"/>
    </row>
    <row r="747" ht="15" customHeight="1">
      <c r="A747" t="inlineStr">
        <is>
          <t>A 42784-2025</t>
        </is>
      </c>
      <c r="B747" s="1" t="n">
        <v>45908.51035879629</v>
      </c>
      <c r="C747" s="1" t="n">
        <v>46034</v>
      </c>
      <c r="D747" t="inlineStr">
        <is>
          <t>JÄMTLANDS LÄN</t>
        </is>
      </c>
      <c r="E747" t="inlineStr">
        <is>
          <t>BRÄCKE</t>
        </is>
      </c>
      <c r="G747" t="n">
        <v>3.6</v>
      </c>
      <c r="H747" t="n">
        <v>0</v>
      </c>
      <c r="I747" t="n">
        <v>0</v>
      </c>
      <c r="J747" t="n">
        <v>0</v>
      </c>
      <c r="K747" t="n">
        <v>0</v>
      </c>
      <c r="L747" t="n">
        <v>0</v>
      </c>
      <c r="M747" t="n">
        <v>0</v>
      </c>
      <c r="N747" t="n">
        <v>0</v>
      </c>
      <c r="O747" t="n">
        <v>0</v>
      </c>
      <c r="P747" t="n">
        <v>0</v>
      </c>
      <c r="Q747" t="n">
        <v>0</v>
      </c>
      <c r="R747" s="2" t="inlineStr"/>
    </row>
    <row r="748" ht="15" customHeight="1">
      <c r="A748" t="inlineStr">
        <is>
          <t>A 26736-2025</t>
        </is>
      </c>
      <c r="B748" s="1" t="n">
        <v>45810.51644675926</v>
      </c>
      <c r="C748" s="1" t="n">
        <v>46034</v>
      </c>
      <c r="D748" t="inlineStr">
        <is>
          <t>JÄMTLANDS LÄN</t>
        </is>
      </c>
      <c r="E748" t="inlineStr">
        <is>
          <t>BRÄCKE</t>
        </is>
      </c>
      <c r="G748" t="n">
        <v>4.2</v>
      </c>
      <c r="H748" t="n">
        <v>0</v>
      </c>
      <c r="I748" t="n">
        <v>0</v>
      </c>
      <c r="J748" t="n">
        <v>0</v>
      </c>
      <c r="K748" t="n">
        <v>0</v>
      </c>
      <c r="L748" t="n">
        <v>0</v>
      </c>
      <c r="M748" t="n">
        <v>0</v>
      </c>
      <c r="N748" t="n">
        <v>0</v>
      </c>
      <c r="O748" t="n">
        <v>0</v>
      </c>
      <c r="P748" t="n">
        <v>0</v>
      </c>
      <c r="Q748" t="n">
        <v>0</v>
      </c>
      <c r="R748" s="2" t="inlineStr"/>
    </row>
    <row r="749" ht="15" customHeight="1">
      <c r="A749" t="inlineStr">
        <is>
          <t>A 59245-2024</t>
        </is>
      </c>
      <c r="B749" s="1" t="n">
        <v>45637.59230324074</v>
      </c>
      <c r="C749" s="1" t="n">
        <v>46034</v>
      </c>
      <c r="D749" t="inlineStr">
        <is>
          <t>JÄMTLANDS LÄN</t>
        </is>
      </c>
      <c r="E749" t="inlineStr">
        <is>
          <t>BRÄCKE</t>
        </is>
      </c>
      <c r="G749" t="n">
        <v>4.9</v>
      </c>
      <c r="H749" t="n">
        <v>0</v>
      </c>
      <c r="I749" t="n">
        <v>0</v>
      </c>
      <c r="J749" t="n">
        <v>0</v>
      </c>
      <c r="K749" t="n">
        <v>0</v>
      </c>
      <c r="L749" t="n">
        <v>0</v>
      </c>
      <c r="M749" t="n">
        <v>0</v>
      </c>
      <c r="N749" t="n">
        <v>0</v>
      </c>
      <c r="O749" t="n">
        <v>0</v>
      </c>
      <c r="P749" t="n">
        <v>0</v>
      </c>
      <c r="Q749" t="n">
        <v>0</v>
      </c>
      <c r="R749" s="2" t="inlineStr"/>
    </row>
    <row r="750" ht="15" customHeight="1">
      <c r="A750" t="inlineStr">
        <is>
          <t>A 42936-2025</t>
        </is>
      </c>
      <c r="B750" s="1" t="n">
        <v>45909.32590277777</v>
      </c>
      <c r="C750" s="1" t="n">
        <v>46034</v>
      </c>
      <c r="D750" t="inlineStr">
        <is>
          <t>JÄMTLANDS LÄN</t>
        </is>
      </c>
      <c r="E750" t="inlineStr">
        <is>
          <t>BRÄCKE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43022-2025</t>
        </is>
      </c>
      <c r="B751" s="1" t="n">
        <v>45909.51016203704</v>
      </c>
      <c r="C751" s="1" t="n">
        <v>46034</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18057-2025</t>
        </is>
      </c>
      <c r="B752" s="1" t="n">
        <v>45761.47681712963</v>
      </c>
      <c r="C752" s="1" t="n">
        <v>46034</v>
      </c>
      <c r="D752" t="inlineStr">
        <is>
          <t>JÄMTLANDS LÄN</t>
        </is>
      </c>
      <c r="E752" t="inlineStr">
        <is>
          <t>BRÄCKE</t>
        </is>
      </c>
      <c r="G752" t="n">
        <v>4.3</v>
      </c>
      <c r="H752" t="n">
        <v>0</v>
      </c>
      <c r="I752" t="n">
        <v>0</v>
      </c>
      <c r="J752" t="n">
        <v>0</v>
      </c>
      <c r="K752" t="n">
        <v>0</v>
      </c>
      <c r="L752" t="n">
        <v>0</v>
      </c>
      <c r="M752" t="n">
        <v>0</v>
      </c>
      <c r="N752" t="n">
        <v>0</v>
      </c>
      <c r="O752" t="n">
        <v>0</v>
      </c>
      <c r="P752" t="n">
        <v>0</v>
      </c>
      <c r="Q752" t="n">
        <v>0</v>
      </c>
      <c r="R752" s="2" t="inlineStr"/>
    </row>
    <row r="753" ht="15" customHeight="1">
      <c r="A753" t="inlineStr">
        <is>
          <t>A 18065-2025</t>
        </is>
      </c>
      <c r="B753" s="1" t="n">
        <v>45761.48989583334</v>
      </c>
      <c r="C753" s="1" t="n">
        <v>46034</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27041-2025</t>
        </is>
      </c>
      <c r="B754" s="1" t="n">
        <v>45811.60465277778</v>
      </c>
      <c r="C754" s="1" t="n">
        <v>46034</v>
      </c>
      <c r="D754" t="inlineStr">
        <is>
          <t>JÄMTLANDS LÄN</t>
        </is>
      </c>
      <c r="E754" t="inlineStr">
        <is>
          <t>BRÄCKE</t>
        </is>
      </c>
      <c r="G754" t="n">
        <v>2.6</v>
      </c>
      <c r="H754" t="n">
        <v>0</v>
      </c>
      <c r="I754" t="n">
        <v>0</v>
      </c>
      <c r="J754" t="n">
        <v>0</v>
      </c>
      <c r="K754" t="n">
        <v>0</v>
      </c>
      <c r="L754" t="n">
        <v>0</v>
      </c>
      <c r="M754" t="n">
        <v>0</v>
      </c>
      <c r="N754" t="n">
        <v>0</v>
      </c>
      <c r="O754" t="n">
        <v>0</v>
      </c>
      <c r="P754" t="n">
        <v>0</v>
      </c>
      <c r="Q754" t="n">
        <v>0</v>
      </c>
      <c r="R754" s="2" t="inlineStr"/>
    </row>
    <row r="755" ht="15" customHeight="1">
      <c r="A755" t="inlineStr">
        <is>
          <t>A 1504-2025</t>
        </is>
      </c>
      <c r="B755" s="1" t="n">
        <v>45670.42738425926</v>
      </c>
      <c r="C755" s="1" t="n">
        <v>46034</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14607-2025</t>
        </is>
      </c>
      <c r="B756" s="1" t="n">
        <v>45742.37540509259</v>
      </c>
      <c r="C756" s="1" t="n">
        <v>46034</v>
      </c>
      <c r="D756" t="inlineStr">
        <is>
          <t>JÄMTLANDS LÄN</t>
        </is>
      </c>
      <c r="E756" t="inlineStr">
        <is>
          <t>BRÄCKE</t>
        </is>
      </c>
      <c r="G756" t="n">
        <v>6.7</v>
      </c>
      <c r="H756" t="n">
        <v>0</v>
      </c>
      <c r="I756" t="n">
        <v>0</v>
      </c>
      <c r="J756" t="n">
        <v>0</v>
      </c>
      <c r="K756" t="n">
        <v>0</v>
      </c>
      <c r="L756" t="n">
        <v>0</v>
      </c>
      <c r="M756" t="n">
        <v>0</v>
      </c>
      <c r="N756" t="n">
        <v>0</v>
      </c>
      <c r="O756" t="n">
        <v>0</v>
      </c>
      <c r="P756" t="n">
        <v>0</v>
      </c>
      <c r="Q756" t="n">
        <v>0</v>
      </c>
      <c r="R756" s="2" t="inlineStr"/>
    </row>
    <row r="757" ht="15" customHeight="1">
      <c r="A757" t="inlineStr">
        <is>
          <t>A 42933-2025</t>
        </is>
      </c>
      <c r="B757" s="1" t="n">
        <v>45909.32215277778</v>
      </c>
      <c r="C757" s="1" t="n">
        <v>46034</v>
      </c>
      <c r="D757" t="inlineStr">
        <is>
          <t>JÄMTLANDS LÄN</t>
        </is>
      </c>
      <c r="E757" t="inlineStr">
        <is>
          <t>BRÄCKE</t>
        </is>
      </c>
      <c r="G757" t="n">
        <v>6.1</v>
      </c>
      <c r="H757" t="n">
        <v>0</v>
      </c>
      <c r="I757" t="n">
        <v>0</v>
      </c>
      <c r="J757" t="n">
        <v>0</v>
      </c>
      <c r="K757" t="n">
        <v>0</v>
      </c>
      <c r="L757" t="n">
        <v>0</v>
      </c>
      <c r="M757" t="n">
        <v>0</v>
      </c>
      <c r="N757" t="n">
        <v>0</v>
      </c>
      <c r="O757" t="n">
        <v>0</v>
      </c>
      <c r="P757" t="n">
        <v>0</v>
      </c>
      <c r="Q757" t="n">
        <v>0</v>
      </c>
      <c r="R757" s="2" t="inlineStr"/>
    </row>
    <row r="758" ht="15" customHeight="1">
      <c r="A758" t="inlineStr">
        <is>
          <t>A 44324-2023</t>
        </is>
      </c>
      <c r="B758" s="1" t="n">
        <v>45188</v>
      </c>
      <c r="C758" s="1" t="n">
        <v>46034</v>
      </c>
      <c r="D758" t="inlineStr">
        <is>
          <t>JÄMTLANDS LÄN</t>
        </is>
      </c>
      <c r="E758" t="inlineStr">
        <is>
          <t>BRÄCKE</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42659-2025</t>
        </is>
      </c>
      <c r="B759" s="1" t="n">
        <v>45907.56715277778</v>
      </c>
      <c r="C759" s="1" t="n">
        <v>46034</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43180-2025</t>
        </is>
      </c>
      <c r="B760" s="1" t="n">
        <v>45910.40699074074</v>
      </c>
      <c r="C760" s="1" t="n">
        <v>46034</v>
      </c>
      <c r="D760" t="inlineStr">
        <is>
          <t>JÄMTLANDS LÄN</t>
        </is>
      </c>
      <c r="E760" t="inlineStr">
        <is>
          <t>BRÄCKE</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43254-2025</t>
        </is>
      </c>
      <c r="B761" s="1" t="n">
        <v>45910.553125</v>
      </c>
      <c r="C761" s="1" t="n">
        <v>46034</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43618-2025</t>
        </is>
      </c>
      <c r="B762" s="1" t="n">
        <v>45911.67806712963</v>
      </c>
      <c r="C762" s="1" t="n">
        <v>46034</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43416-2025</t>
        </is>
      </c>
      <c r="B763" s="1" t="n">
        <v>45911.40685185185</v>
      </c>
      <c r="C763" s="1" t="n">
        <v>46034</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27511-2025</t>
        </is>
      </c>
      <c r="B764" s="1" t="n">
        <v>45813.42799768518</v>
      </c>
      <c r="C764" s="1" t="n">
        <v>46034</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27516-2025</t>
        </is>
      </c>
      <c r="B765" s="1" t="n">
        <v>45813.43526620371</v>
      </c>
      <c r="C765" s="1" t="n">
        <v>46034</v>
      </c>
      <c r="D765" t="inlineStr">
        <is>
          <t>JÄMTLANDS LÄN</t>
        </is>
      </c>
      <c r="E765" t="inlineStr">
        <is>
          <t>BRÄCKE</t>
        </is>
      </c>
      <c r="G765" t="n">
        <v>0.1</v>
      </c>
      <c r="H765" t="n">
        <v>0</v>
      </c>
      <c r="I765" t="n">
        <v>0</v>
      </c>
      <c r="J765" t="n">
        <v>0</v>
      </c>
      <c r="K765" t="n">
        <v>0</v>
      </c>
      <c r="L765" t="n">
        <v>0</v>
      </c>
      <c r="M765" t="n">
        <v>0</v>
      </c>
      <c r="N765" t="n">
        <v>0</v>
      </c>
      <c r="O765" t="n">
        <v>0</v>
      </c>
      <c r="P765" t="n">
        <v>0</v>
      </c>
      <c r="Q765" t="n">
        <v>0</v>
      </c>
      <c r="R765" s="2" t="inlineStr"/>
    </row>
    <row r="766" ht="15" customHeight="1">
      <c r="A766" t="inlineStr">
        <is>
          <t>A 17182-2024</t>
        </is>
      </c>
      <c r="B766" s="1" t="n">
        <v>45412.97984953703</v>
      </c>
      <c r="C766" s="1" t="n">
        <v>46034</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27453-2025</t>
        </is>
      </c>
      <c r="B767" s="1" t="n">
        <v>45813.34454861111</v>
      </c>
      <c r="C767" s="1" t="n">
        <v>46034</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43591-2025</t>
        </is>
      </c>
      <c r="B768" s="1" t="n">
        <v>45911.65681712963</v>
      </c>
      <c r="C768" s="1" t="n">
        <v>46034</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24489-2025</t>
        </is>
      </c>
      <c r="B769" s="1" t="n">
        <v>45798.3859375</v>
      </c>
      <c r="C769" s="1" t="n">
        <v>46034</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52229-2024</t>
        </is>
      </c>
      <c r="B770" s="1" t="n">
        <v>45608.60803240741</v>
      </c>
      <c r="C770" s="1" t="n">
        <v>46034</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60432-2025</t>
        </is>
      </c>
      <c r="B771" s="1" t="n">
        <v>45995.47159722223</v>
      </c>
      <c r="C771" s="1" t="n">
        <v>46034</v>
      </c>
      <c r="D771" t="inlineStr">
        <is>
          <t>JÄMTLANDS LÄN</t>
        </is>
      </c>
      <c r="E771" t="inlineStr">
        <is>
          <t>BRÄCKE</t>
        </is>
      </c>
      <c r="G771" t="n">
        <v>3.7</v>
      </c>
      <c r="H771" t="n">
        <v>0</v>
      </c>
      <c r="I771" t="n">
        <v>0</v>
      </c>
      <c r="J771" t="n">
        <v>0</v>
      </c>
      <c r="K771" t="n">
        <v>0</v>
      </c>
      <c r="L771" t="n">
        <v>0</v>
      </c>
      <c r="M771" t="n">
        <v>0</v>
      </c>
      <c r="N771" t="n">
        <v>0</v>
      </c>
      <c r="O771" t="n">
        <v>0</v>
      </c>
      <c r="P771" t="n">
        <v>0</v>
      </c>
      <c r="Q771" t="n">
        <v>0</v>
      </c>
      <c r="R771" s="2" t="inlineStr"/>
    </row>
    <row r="772" ht="15" customHeight="1">
      <c r="A772" t="inlineStr">
        <is>
          <t>A 172-2025</t>
        </is>
      </c>
      <c r="B772" s="1" t="n">
        <v>45659.6565625</v>
      </c>
      <c r="C772" s="1" t="n">
        <v>46034</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43387-2025</t>
        </is>
      </c>
      <c r="B773" s="1" t="n">
        <v>45911.3653587963</v>
      </c>
      <c r="C773" s="1" t="n">
        <v>46034</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46939-2023</t>
        </is>
      </c>
      <c r="B774" s="1" t="n">
        <v>45195</v>
      </c>
      <c r="C774" s="1" t="n">
        <v>46034</v>
      </c>
      <c r="D774" t="inlineStr">
        <is>
          <t>JÄMTLANDS LÄN</t>
        </is>
      </c>
      <c r="E774" t="inlineStr">
        <is>
          <t>BRÄCKE</t>
        </is>
      </c>
      <c r="G774" t="n">
        <v>13.4</v>
      </c>
      <c r="H774" t="n">
        <v>0</v>
      </c>
      <c r="I774" t="n">
        <v>0</v>
      </c>
      <c r="J774" t="n">
        <v>0</v>
      </c>
      <c r="K774" t="n">
        <v>0</v>
      </c>
      <c r="L774" t="n">
        <v>0</v>
      </c>
      <c r="M774" t="n">
        <v>0</v>
      </c>
      <c r="N774" t="n">
        <v>0</v>
      </c>
      <c r="O774" t="n">
        <v>0</v>
      </c>
      <c r="P774" t="n">
        <v>0</v>
      </c>
      <c r="Q774" t="n">
        <v>0</v>
      </c>
      <c r="R774" s="2" t="inlineStr"/>
    </row>
    <row r="775" ht="15" customHeight="1">
      <c r="A775" t="inlineStr">
        <is>
          <t>A 27546-2025</t>
        </is>
      </c>
      <c r="B775" s="1" t="n">
        <v>45813.46957175926</v>
      </c>
      <c r="C775" s="1" t="n">
        <v>46034</v>
      </c>
      <c r="D775" t="inlineStr">
        <is>
          <t>JÄMTLANDS LÄN</t>
        </is>
      </c>
      <c r="E775" t="inlineStr">
        <is>
          <t>BRÄCKE</t>
        </is>
      </c>
      <c r="F775" t="inlineStr">
        <is>
          <t>SCA</t>
        </is>
      </c>
      <c r="G775" t="n">
        <v>7</v>
      </c>
      <c r="H775" t="n">
        <v>0</v>
      </c>
      <c r="I775" t="n">
        <v>0</v>
      </c>
      <c r="J775" t="n">
        <v>0</v>
      </c>
      <c r="K775" t="n">
        <v>0</v>
      </c>
      <c r="L775" t="n">
        <v>0</v>
      </c>
      <c r="M775" t="n">
        <v>0</v>
      </c>
      <c r="N775" t="n">
        <v>0</v>
      </c>
      <c r="O775" t="n">
        <v>0</v>
      </c>
      <c r="P775" t="n">
        <v>0</v>
      </c>
      <c r="Q775" t="n">
        <v>0</v>
      </c>
      <c r="R775" s="2" t="inlineStr"/>
    </row>
    <row r="776" ht="15" customHeight="1">
      <c r="A776" t="inlineStr">
        <is>
          <t>A 58498-2022</t>
        </is>
      </c>
      <c r="B776" s="1" t="n">
        <v>44902.37547453704</v>
      </c>
      <c r="C776" s="1" t="n">
        <v>46034</v>
      </c>
      <c r="D776" t="inlineStr">
        <is>
          <t>JÄMTLANDS LÄN</t>
        </is>
      </c>
      <c r="E776" t="inlineStr">
        <is>
          <t>BRÄCKE</t>
        </is>
      </c>
      <c r="G776" t="n">
        <v>8.4</v>
      </c>
      <c r="H776" t="n">
        <v>0</v>
      </c>
      <c r="I776" t="n">
        <v>0</v>
      </c>
      <c r="J776" t="n">
        <v>0</v>
      </c>
      <c r="K776" t="n">
        <v>0</v>
      </c>
      <c r="L776" t="n">
        <v>0</v>
      </c>
      <c r="M776" t="n">
        <v>0</v>
      </c>
      <c r="N776" t="n">
        <v>0</v>
      </c>
      <c r="O776" t="n">
        <v>0</v>
      </c>
      <c r="P776" t="n">
        <v>0</v>
      </c>
      <c r="Q776" t="n">
        <v>0</v>
      </c>
      <c r="R776" s="2" t="inlineStr"/>
    </row>
    <row r="777" ht="15" customHeight="1">
      <c r="A777" t="inlineStr">
        <is>
          <t>A 7301-2025</t>
        </is>
      </c>
      <c r="B777" s="1" t="n">
        <v>45702.65668981482</v>
      </c>
      <c r="C777" s="1" t="n">
        <v>46034</v>
      </c>
      <c r="D777" t="inlineStr">
        <is>
          <t>JÄMTLANDS LÄN</t>
        </is>
      </c>
      <c r="E777" t="inlineStr">
        <is>
          <t>BRÄCKE</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44035-2025</t>
        </is>
      </c>
      <c r="B778" s="1" t="n">
        <v>45915.49084490741</v>
      </c>
      <c r="C778" s="1" t="n">
        <v>46034</v>
      </c>
      <c r="D778" t="inlineStr">
        <is>
          <t>JÄMTLANDS LÄN</t>
        </is>
      </c>
      <c r="E778" t="inlineStr">
        <is>
          <t>BRÄCKE</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44030-2025</t>
        </is>
      </c>
      <c r="B779" s="1" t="n">
        <v>45915.49006944444</v>
      </c>
      <c r="C779" s="1" t="n">
        <v>46034</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60221-2025</t>
        </is>
      </c>
      <c r="B780" s="1" t="n">
        <v>45994.54357638889</v>
      </c>
      <c r="C780" s="1" t="n">
        <v>46034</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44057-2025</t>
        </is>
      </c>
      <c r="B781" s="1" t="n">
        <v>45915.53097222222</v>
      </c>
      <c r="C781" s="1" t="n">
        <v>46034</v>
      </c>
      <c r="D781" t="inlineStr">
        <is>
          <t>JÄMTLANDS LÄN</t>
        </is>
      </c>
      <c r="E781" t="inlineStr">
        <is>
          <t>BRÄCKE</t>
        </is>
      </c>
      <c r="G781" t="n">
        <v>3</v>
      </c>
      <c r="H781" t="n">
        <v>0</v>
      </c>
      <c r="I781" t="n">
        <v>0</v>
      </c>
      <c r="J781" t="n">
        <v>0</v>
      </c>
      <c r="K781" t="n">
        <v>0</v>
      </c>
      <c r="L781" t="n">
        <v>0</v>
      </c>
      <c r="M781" t="n">
        <v>0</v>
      </c>
      <c r="N781" t="n">
        <v>0</v>
      </c>
      <c r="O781" t="n">
        <v>0</v>
      </c>
      <c r="P781" t="n">
        <v>0</v>
      </c>
      <c r="Q781" t="n">
        <v>0</v>
      </c>
      <c r="R781" s="2" t="inlineStr"/>
    </row>
    <row r="782" ht="15" customHeight="1">
      <c r="A782" t="inlineStr">
        <is>
          <t>A 47486-2023</t>
        </is>
      </c>
      <c r="B782" s="1" t="n">
        <v>45202.94155092593</v>
      </c>
      <c r="C782" s="1" t="n">
        <v>46034</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47487-2023</t>
        </is>
      </c>
      <c r="B783" s="1" t="n">
        <v>45202.94162037037</v>
      </c>
      <c r="C783" s="1" t="n">
        <v>46034</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41694-2025</t>
        </is>
      </c>
      <c r="B784" s="1" t="n">
        <v>45902</v>
      </c>
      <c r="C784" s="1" t="n">
        <v>46034</v>
      </c>
      <c r="D784" t="inlineStr">
        <is>
          <t>JÄMTLANDS LÄN</t>
        </is>
      </c>
      <c r="E784" t="inlineStr">
        <is>
          <t>BRÄCKE</t>
        </is>
      </c>
      <c r="G784" t="n">
        <v>3.4</v>
      </c>
      <c r="H784" t="n">
        <v>0</v>
      </c>
      <c r="I784" t="n">
        <v>0</v>
      </c>
      <c r="J784" t="n">
        <v>0</v>
      </c>
      <c r="K784" t="n">
        <v>0</v>
      </c>
      <c r="L784" t="n">
        <v>0</v>
      </c>
      <c r="M784" t="n">
        <v>0</v>
      </c>
      <c r="N784" t="n">
        <v>0</v>
      </c>
      <c r="O784" t="n">
        <v>0</v>
      </c>
      <c r="P784" t="n">
        <v>0</v>
      </c>
      <c r="Q784" t="n">
        <v>0</v>
      </c>
      <c r="R784" s="2" t="inlineStr"/>
    </row>
    <row r="785" ht="15" customHeight="1">
      <c r="A785" t="inlineStr">
        <is>
          <t>A 44216-2025</t>
        </is>
      </c>
      <c r="B785" s="1" t="n">
        <v>45915.6359837963</v>
      </c>
      <c r="C785" s="1" t="n">
        <v>46034</v>
      </c>
      <c r="D785" t="inlineStr">
        <is>
          <t>JÄMTLANDS LÄN</t>
        </is>
      </c>
      <c r="E785" t="inlineStr">
        <is>
          <t>BRÄCKE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4882-2025</t>
        </is>
      </c>
      <c r="B786" s="1" t="n">
        <v>45688.67729166667</v>
      </c>
      <c r="C786" s="1" t="n">
        <v>46034</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24492-2025</t>
        </is>
      </c>
      <c r="B787" s="1" t="n">
        <v>45798.38611111111</v>
      </c>
      <c r="C787" s="1" t="n">
        <v>46034</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52202-2025</t>
        </is>
      </c>
      <c r="B788" s="1" t="n">
        <v>45953.40715277778</v>
      </c>
      <c r="C788" s="1" t="n">
        <v>46034</v>
      </c>
      <c r="D788" t="inlineStr">
        <is>
          <t>JÄMTLANDS LÄN</t>
        </is>
      </c>
      <c r="E788" t="inlineStr">
        <is>
          <t>BRÄCKE</t>
        </is>
      </c>
      <c r="G788" t="n">
        <v>6.7</v>
      </c>
      <c r="H788" t="n">
        <v>0</v>
      </c>
      <c r="I788" t="n">
        <v>0</v>
      </c>
      <c r="J788" t="n">
        <v>0</v>
      </c>
      <c r="K788" t="n">
        <v>0</v>
      </c>
      <c r="L788" t="n">
        <v>0</v>
      </c>
      <c r="M788" t="n">
        <v>0</v>
      </c>
      <c r="N788" t="n">
        <v>0</v>
      </c>
      <c r="O788" t="n">
        <v>0</v>
      </c>
      <c r="P788" t="n">
        <v>0</v>
      </c>
      <c r="Q788" t="n">
        <v>0</v>
      </c>
      <c r="R788" s="2" t="inlineStr"/>
    </row>
    <row r="789" ht="15" customHeight="1">
      <c r="A789" t="inlineStr">
        <is>
          <t>A 43736-2025</t>
        </is>
      </c>
      <c r="B789" s="1" t="n">
        <v>45912.44840277778</v>
      </c>
      <c r="C789" s="1" t="n">
        <v>46034</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43723-2025</t>
        </is>
      </c>
      <c r="B790" s="1" t="n">
        <v>45912.42844907408</v>
      </c>
      <c r="C790" s="1" t="n">
        <v>46034</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28173-2025</t>
        </is>
      </c>
      <c r="B791" s="1" t="n">
        <v>45818.38231481481</v>
      </c>
      <c r="C791" s="1" t="n">
        <v>46034</v>
      </c>
      <c r="D791" t="inlineStr">
        <is>
          <t>JÄMTLANDS LÄN</t>
        </is>
      </c>
      <c r="E791" t="inlineStr">
        <is>
          <t>BRÄCKE</t>
        </is>
      </c>
      <c r="F791" t="inlineStr">
        <is>
          <t>Övriga Aktiebolag</t>
        </is>
      </c>
      <c r="G791" t="n">
        <v>2</v>
      </c>
      <c r="H791" t="n">
        <v>0</v>
      </c>
      <c r="I791" t="n">
        <v>0</v>
      </c>
      <c r="J791" t="n">
        <v>0</v>
      </c>
      <c r="K791" t="n">
        <v>0</v>
      </c>
      <c r="L791" t="n">
        <v>0</v>
      </c>
      <c r="M791" t="n">
        <v>0</v>
      </c>
      <c r="N791" t="n">
        <v>0</v>
      </c>
      <c r="O791" t="n">
        <v>0</v>
      </c>
      <c r="P791" t="n">
        <v>0</v>
      </c>
      <c r="Q791" t="n">
        <v>0</v>
      </c>
      <c r="R791" s="2" t="inlineStr"/>
    </row>
    <row r="792" ht="15" customHeight="1">
      <c r="A792" t="inlineStr">
        <is>
          <t>A 11331-2024</t>
        </is>
      </c>
      <c r="B792" s="1" t="n">
        <v>45372.04696759259</v>
      </c>
      <c r="C792" s="1" t="n">
        <v>46034</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4915-2025</t>
        </is>
      </c>
      <c r="B793" s="1" t="n">
        <v>45688.68184027778</v>
      </c>
      <c r="C793" s="1" t="n">
        <v>46034</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51965-2025</t>
        </is>
      </c>
      <c r="B794" s="1" t="n">
        <v>45952.55327546296</v>
      </c>
      <c r="C794" s="1" t="n">
        <v>46034</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28198-2025</t>
        </is>
      </c>
      <c r="B795" s="1" t="n">
        <v>45818.43175925926</v>
      </c>
      <c r="C795" s="1" t="n">
        <v>46034</v>
      </c>
      <c r="D795" t="inlineStr">
        <is>
          <t>JÄMTLANDS LÄN</t>
        </is>
      </c>
      <c r="E795" t="inlineStr">
        <is>
          <t>BRÄCKE</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52157-2025</t>
        </is>
      </c>
      <c r="B796" s="1" t="n">
        <v>45953.3558912037</v>
      </c>
      <c r="C796" s="1" t="n">
        <v>46034</v>
      </c>
      <c r="D796" t="inlineStr">
        <is>
          <t>JÄMTLANDS LÄN</t>
        </is>
      </c>
      <c r="E796" t="inlineStr">
        <is>
          <t>BRÄCKE</t>
        </is>
      </c>
      <c r="F796" t="inlineStr">
        <is>
          <t>SCA</t>
        </is>
      </c>
      <c r="G796" t="n">
        <v>13.3</v>
      </c>
      <c r="H796" t="n">
        <v>0</v>
      </c>
      <c r="I796" t="n">
        <v>0</v>
      </c>
      <c r="J796" t="n">
        <v>0</v>
      </c>
      <c r="K796" t="n">
        <v>0</v>
      </c>
      <c r="L796" t="n">
        <v>0</v>
      </c>
      <c r="M796" t="n">
        <v>0</v>
      </c>
      <c r="N796" t="n">
        <v>0</v>
      </c>
      <c r="O796" t="n">
        <v>0</v>
      </c>
      <c r="P796" t="n">
        <v>0</v>
      </c>
      <c r="Q796" t="n">
        <v>0</v>
      </c>
      <c r="R796" s="2" t="inlineStr"/>
    </row>
    <row r="797" ht="15" customHeight="1">
      <c r="A797" t="inlineStr">
        <is>
          <t>A 28675-2025</t>
        </is>
      </c>
      <c r="B797" s="1" t="n">
        <v>45819.67756944444</v>
      </c>
      <c r="C797" s="1" t="n">
        <v>46034</v>
      </c>
      <c r="D797" t="inlineStr">
        <is>
          <t>JÄMTLANDS LÄN</t>
        </is>
      </c>
      <c r="E797" t="inlineStr">
        <is>
          <t>BRÄCKE</t>
        </is>
      </c>
      <c r="G797" t="n">
        <v>0.6</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44481.92091435185</v>
      </c>
      <c r="C798" s="1" t="n">
        <v>46034</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28323-2025</t>
        </is>
      </c>
      <c r="B799" s="1" t="n">
        <v>45818.64758101852</v>
      </c>
      <c r="C799" s="1" t="n">
        <v>46034</v>
      </c>
      <c r="D799" t="inlineStr">
        <is>
          <t>JÄMTLANDS LÄN</t>
        </is>
      </c>
      <c r="E799" t="inlineStr">
        <is>
          <t>BRÄCKE</t>
        </is>
      </c>
      <c r="G799" t="n">
        <v>6.8</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46034</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52269-2023</t>
        </is>
      </c>
      <c r="B801" s="1" t="n">
        <v>45217</v>
      </c>
      <c r="C801" s="1" t="n">
        <v>46034</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10369-2025</t>
        </is>
      </c>
      <c r="B802" s="1" t="n">
        <v>45720.55243055556</v>
      </c>
      <c r="C802" s="1" t="n">
        <v>46034</v>
      </c>
      <c r="D802" t="inlineStr">
        <is>
          <t>JÄMTLANDS LÄN</t>
        </is>
      </c>
      <c r="E802" t="inlineStr">
        <is>
          <t>BRÄCKE</t>
        </is>
      </c>
      <c r="F802" t="inlineStr">
        <is>
          <t>SCA</t>
        </is>
      </c>
      <c r="G802" t="n">
        <v>7.8</v>
      </c>
      <c r="H802" t="n">
        <v>0</v>
      </c>
      <c r="I802" t="n">
        <v>0</v>
      </c>
      <c r="J802" t="n">
        <v>0</v>
      </c>
      <c r="K802" t="n">
        <v>0</v>
      </c>
      <c r="L802" t="n">
        <v>0</v>
      </c>
      <c r="M802" t="n">
        <v>0</v>
      </c>
      <c r="N802" t="n">
        <v>0</v>
      </c>
      <c r="O802" t="n">
        <v>0</v>
      </c>
      <c r="P802" t="n">
        <v>0</v>
      </c>
      <c r="Q802" t="n">
        <v>0</v>
      </c>
      <c r="R802" s="2" t="inlineStr"/>
    </row>
    <row r="803" ht="15" customHeight="1">
      <c r="A803" t="inlineStr">
        <is>
          <t>A 51167-2023</t>
        </is>
      </c>
      <c r="B803" s="1" t="n">
        <v>45219.38388888889</v>
      </c>
      <c r="C803" s="1" t="n">
        <v>46034</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28636-2025</t>
        </is>
      </c>
      <c r="B804" s="1" t="n">
        <v>45819.63576388889</v>
      </c>
      <c r="C804" s="1" t="n">
        <v>46034</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28656-2025</t>
        </is>
      </c>
      <c r="B805" s="1" t="n">
        <v>45819.65671296296</v>
      </c>
      <c r="C805" s="1" t="n">
        <v>46034</v>
      </c>
      <c r="D805" t="inlineStr">
        <is>
          <t>JÄMTLANDS LÄN</t>
        </is>
      </c>
      <c r="E805" t="inlineStr">
        <is>
          <t>BRÄCKE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28210-2025</t>
        </is>
      </c>
      <c r="B806" s="1" t="n">
        <v>45818.45143518518</v>
      </c>
      <c r="C806" s="1" t="n">
        <v>46034</v>
      </c>
      <c r="D806" t="inlineStr">
        <is>
          <t>JÄMTLANDS LÄN</t>
        </is>
      </c>
      <c r="E806" t="inlineStr">
        <is>
          <t>BRÄCKE</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24490-2025</t>
        </is>
      </c>
      <c r="B807" s="1" t="n">
        <v>45798.38594907407</v>
      </c>
      <c r="C807" s="1" t="n">
        <v>46034</v>
      </c>
      <c r="D807" t="inlineStr">
        <is>
          <t>JÄMTLANDS LÄN</t>
        </is>
      </c>
      <c r="E807" t="inlineStr">
        <is>
          <t>BRÄCKE</t>
        </is>
      </c>
      <c r="G807" t="n">
        <v>0.7</v>
      </c>
      <c r="H807" t="n">
        <v>0</v>
      </c>
      <c r="I807" t="n">
        <v>0</v>
      </c>
      <c r="J807" t="n">
        <v>0</v>
      </c>
      <c r="K807" t="n">
        <v>0</v>
      </c>
      <c r="L807" t="n">
        <v>0</v>
      </c>
      <c r="M807" t="n">
        <v>0</v>
      </c>
      <c r="N807" t="n">
        <v>0</v>
      </c>
      <c r="O807" t="n">
        <v>0</v>
      </c>
      <c r="P807" t="n">
        <v>0</v>
      </c>
      <c r="Q807" t="n">
        <v>0</v>
      </c>
      <c r="R807" s="2" t="inlineStr"/>
    </row>
    <row r="808" ht="15" customHeight="1">
      <c r="A808" t="inlineStr">
        <is>
          <t>A 29091-2025</t>
        </is>
      </c>
      <c r="B808" s="1" t="n">
        <v>45821.55241898148</v>
      </c>
      <c r="C808" s="1" t="n">
        <v>46034</v>
      </c>
      <c r="D808" t="inlineStr">
        <is>
          <t>JÄMTLANDS LÄN</t>
        </is>
      </c>
      <c r="E808" t="inlineStr">
        <is>
          <t>BRÄCKE</t>
        </is>
      </c>
      <c r="F808" t="inlineStr">
        <is>
          <t>SCA</t>
        </is>
      </c>
      <c r="G808" t="n">
        <v>13.8</v>
      </c>
      <c r="H808" t="n">
        <v>0</v>
      </c>
      <c r="I808" t="n">
        <v>0</v>
      </c>
      <c r="J808" t="n">
        <v>0</v>
      </c>
      <c r="K808" t="n">
        <v>0</v>
      </c>
      <c r="L808" t="n">
        <v>0</v>
      </c>
      <c r="M808" t="n">
        <v>0</v>
      </c>
      <c r="N808" t="n">
        <v>0</v>
      </c>
      <c r="O808" t="n">
        <v>0</v>
      </c>
      <c r="P808" t="n">
        <v>0</v>
      </c>
      <c r="Q808" t="n">
        <v>0</v>
      </c>
      <c r="R808" s="2" t="inlineStr"/>
    </row>
    <row r="809" ht="15" customHeight="1">
      <c r="A809" t="inlineStr">
        <is>
          <t>A 51858-2025</t>
        </is>
      </c>
      <c r="B809" s="1" t="n">
        <v>45952.36511574074</v>
      </c>
      <c r="C809" s="1" t="n">
        <v>46034</v>
      </c>
      <c r="D809" t="inlineStr">
        <is>
          <t>JÄMTLANDS LÄN</t>
        </is>
      </c>
      <c r="E809" t="inlineStr">
        <is>
          <t>BRÄCKE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53407-2022</t>
        </is>
      </c>
      <c r="B810" s="1" t="n">
        <v>44874</v>
      </c>
      <c r="C810" s="1" t="n">
        <v>46034</v>
      </c>
      <c r="D810" t="inlineStr">
        <is>
          <t>JÄMTLANDS LÄN</t>
        </is>
      </c>
      <c r="E810" t="inlineStr">
        <is>
          <t>BRÄCKE</t>
        </is>
      </c>
      <c r="G810" t="n">
        <v>1.8</v>
      </c>
      <c r="H810" t="n">
        <v>0</v>
      </c>
      <c r="I810" t="n">
        <v>0</v>
      </c>
      <c r="J810" t="n">
        <v>0</v>
      </c>
      <c r="K810" t="n">
        <v>0</v>
      </c>
      <c r="L810" t="n">
        <v>0</v>
      </c>
      <c r="M810" t="n">
        <v>0</v>
      </c>
      <c r="N810" t="n">
        <v>0</v>
      </c>
      <c r="O810" t="n">
        <v>0</v>
      </c>
      <c r="P810" t="n">
        <v>0</v>
      </c>
      <c r="Q810" t="n">
        <v>0</v>
      </c>
      <c r="R810" s="2" t="inlineStr"/>
    </row>
    <row r="811" ht="15" customHeight="1">
      <c r="A811" t="inlineStr">
        <is>
          <t>A 44843-2025</t>
        </is>
      </c>
      <c r="B811" s="1" t="n">
        <v>45918.43283564815</v>
      </c>
      <c r="C811" s="1" t="n">
        <v>46034</v>
      </c>
      <c r="D811" t="inlineStr">
        <is>
          <t>JÄMTLANDS LÄN</t>
        </is>
      </c>
      <c r="E811" t="inlineStr">
        <is>
          <t>BRÄCKE</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44854-2025</t>
        </is>
      </c>
      <c r="B812" s="1" t="n">
        <v>45918.44819444444</v>
      </c>
      <c r="C812" s="1" t="n">
        <v>46034</v>
      </c>
      <c r="D812" t="inlineStr">
        <is>
          <t>JÄMTLANDS LÄN</t>
        </is>
      </c>
      <c r="E812" t="inlineStr">
        <is>
          <t>BRÄCKE</t>
        </is>
      </c>
      <c r="G812" t="n">
        <v>5.4</v>
      </c>
      <c r="H812" t="n">
        <v>0</v>
      </c>
      <c r="I812" t="n">
        <v>0</v>
      </c>
      <c r="J812" t="n">
        <v>0</v>
      </c>
      <c r="K812" t="n">
        <v>0</v>
      </c>
      <c r="L812" t="n">
        <v>0</v>
      </c>
      <c r="M812" t="n">
        <v>0</v>
      </c>
      <c r="N812" t="n">
        <v>0</v>
      </c>
      <c r="O812" t="n">
        <v>0</v>
      </c>
      <c r="P812" t="n">
        <v>0</v>
      </c>
      <c r="Q812" t="n">
        <v>0</v>
      </c>
      <c r="R812" s="2" t="inlineStr"/>
    </row>
    <row r="813" ht="15" customHeight="1">
      <c r="A813" t="inlineStr">
        <is>
          <t>A 60248-2025</t>
        </is>
      </c>
      <c r="B813" s="1" t="n">
        <v>45994.59428240741</v>
      </c>
      <c r="C813" s="1" t="n">
        <v>46034</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29038-2025</t>
        </is>
      </c>
      <c r="B814" s="1" t="n">
        <v>45821.44832175926</v>
      </c>
      <c r="C814" s="1" t="n">
        <v>46034</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26278-2024</t>
        </is>
      </c>
      <c r="B815" s="1" t="n">
        <v>45468.68905092592</v>
      </c>
      <c r="C815" s="1" t="n">
        <v>46034</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28928-2025</t>
        </is>
      </c>
      <c r="B816" s="1" t="n">
        <v>45820.67738425926</v>
      </c>
      <c r="C816" s="1" t="n">
        <v>46034</v>
      </c>
      <c r="D816" t="inlineStr">
        <is>
          <t>JÄMTLANDS LÄN</t>
        </is>
      </c>
      <c r="E816" t="inlineStr">
        <is>
          <t>BRÄCKE</t>
        </is>
      </c>
      <c r="F816" t="inlineStr">
        <is>
          <t>SCA</t>
        </is>
      </c>
      <c r="G816" t="n">
        <v>7.4</v>
      </c>
      <c r="H816" t="n">
        <v>0</v>
      </c>
      <c r="I816" t="n">
        <v>0</v>
      </c>
      <c r="J816" t="n">
        <v>0</v>
      </c>
      <c r="K816" t="n">
        <v>0</v>
      </c>
      <c r="L816" t="n">
        <v>0</v>
      </c>
      <c r="M816" t="n">
        <v>0</v>
      </c>
      <c r="N816" t="n">
        <v>0</v>
      </c>
      <c r="O816" t="n">
        <v>0</v>
      </c>
      <c r="P816" t="n">
        <v>0</v>
      </c>
      <c r="Q816" t="n">
        <v>0</v>
      </c>
      <c r="R816" s="2" t="inlineStr"/>
    </row>
    <row r="817" ht="15" customHeight="1">
      <c r="A817" t="inlineStr">
        <is>
          <t>A 44841-2024</t>
        </is>
      </c>
      <c r="B817" s="1" t="n">
        <v>45574.71900462963</v>
      </c>
      <c r="C817" s="1" t="n">
        <v>46034</v>
      </c>
      <c r="D817" t="inlineStr">
        <is>
          <t>JÄMTLANDS LÄN</t>
        </is>
      </c>
      <c r="E817" t="inlineStr">
        <is>
          <t>BRÄCKE</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44847-2025</t>
        </is>
      </c>
      <c r="B818" s="1" t="n">
        <v>45918.44200231481</v>
      </c>
      <c r="C818" s="1" t="n">
        <v>46034</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28972-2025</t>
        </is>
      </c>
      <c r="B819" s="1" t="n">
        <v>45821.34505787037</v>
      </c>
      <c r="C819" s="1" t="n">
        <v>46034</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28937-2025</t>
        </is>
      </c>
      <c r="B820" s="1" t="n">
        <v>45820.69825231482</v>
      </c>
      <c r="C820" s="1" t="n">
        <v>46034</v>
      </c>
      <c r="D820" t="inlineStr">
        <is>
          <t>JÄMTLANDS LÄN</t>
        </is>
      </c>
      <c r="E820" t="inlineStr">
        <is>
          <t>BRÄCKE</t>
        </is>
      </c>
      <c r="F820" t="inlineStr">
        <is>
          <t>SCA</t>
        </is>
      </c>
      <c r="G820" t="n">
        <v>11.5</v>
      </c>
      <c r="H820" t="n">
        <v>0</v>
      </c>
      <c r="I820" t="n">
        <v>0</v>
      </c>
      <c r="J820" t="n">
        <v>0</v>
      </c>
      <c r="K820" t="n">
        <v>0</v>
      </c>
      <c r="L820" t="n">
        <v>0</v>
      </c>
      <c r="M820" t="n">
        <v>0</v>
      </c>
      <c r="N820" t="n">
        <v>0</v>
      </c>
      <c r="O820" t="n">
        <v>0</v>
      </c>
      <c r="P820" t="n">
        <v>0</v>
      </c>
      <c r="Q820" t="n">
        <v>0</v>
      </c>
      <c r="R820" s="2" t="inlineStr"/>
    </row>
    <row r="821" ht="15" customHeight="1">
      <c r="A821" t="inlineStr">
        <is>
          <t>A 29124-2025</t>
        </is>
      </c>
      <c r="B821" s="1" t="n">
        <v>45821.59456018519</v>
      </c>
      <c r="C821" s="1" t="n">
        <v>46034</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44968-2025</t>
        </is>
      </c>
      <c r="B822" s="1" t="n">
        <v>45918.63228009259</v>
      </c>
      <c r="C822" s="1" t="n">
        <v>46034</v>
      </c>
      <c r="D822" t="inlineStr">
        <is>
          <t>JÄMTLANDS LÄN</t>
        </is>
      </c>
      <c r="E822" t="inlineStr">
        <is>
          <t>BRÄCKE</t>
        </is>
      </c>
      <c r="G822" t="n">
        <v>3.1</v>
      </c>
      <c r="H822" t="n">
        <v>0</v>
      </c>
      <c r="I822" t="n">
        <v>0</v>
      </c>
      <c r="J822" t="n">
        <v>0</v>
      </c>
      <c r="K822" t="n">
        <v>0</v>
      </c>
      <c r="L822" t="n">
        <v>0</v>
      </c>
      <c r="M822" t="n">
        <v>0</v>
      </c>
      <c r="N822" t="n">
        <v>0</v>
      </c>
      <c r="O822" t="n">
        <v>0</v>
      </c>
      <c r="P822" t="n">
        <v>0</v>
      </c>
      <c r="Q822" t="n">
        <v>0</v>
      </c>
      <c r="R822" s="2" t="inlineStr"/>
    </row>
    <row r="823" ht="15" customHeight="1">
      <c r="A823" t="inlineStr">
        <is>
          <t>A 44957-2025</t>
        </is>
      </c>
      <c r="B823" s="1" t="n">
        <v>45918.615</v>
      </c>
      <c r="C823" s="1" t="n">
        <v>46034</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45081-2025</t>
        </is>
      </c>
      <c r="B824" s="1" t="n">
        <v>45919.36574074074</v>
      </c>
      <c r="C824" s="1" t="n">
        <v>46034</v>
      </c>
      <c r="D824" t="inlineStr">
        <is>
          <t>JÄMTLANDS LÄN</t>
        </is>
      </c>
      <c r="E824" t="inlineStr">
        <is>
          <t>BRÄCKE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29534-2025</t>
        </is>
      </c>
      <c r="B825" s="1" t="n">
        <v>45825.34476851852</v>
      </c>
      <c r="C825" s="1" t="n">
        <v>46034</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38302-2024</t>
        </is>
      </c>
      <c r="B826" s="1" t="n">
        <v>45545.63614583333</v>
      </c>
      <c r="C826" s="1" t="n">
        <v>46034</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44831-2025</t>
        </is>
      </c>
      <c r="B827" s="1" t="n">
        <v>45918.40663194445</v>
      </c>
      <c r="C827" s="1" t="n">
        <v>46034</v>
      </c>
      <c r="D827" t="inlineStr">
        <is>
          <t>JÄMTLANDS LÄN</t>
        </is>
      </c>
      <c r="E827" t="inlineStr">
        <is>
          <t>BRÄCKE</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44840-2025</t>
        </is>
      </c>
      <c r="B828" s="1" t="n">
        <v>45918.42769675926</v>
      </c>
      <c r="C828" s="1" t="n">
        <v>46034</v>
      </c>
      <c r="D828" t="inlineStr">
        <is>
          <t>JÄMTLANDS LÄN</t>
        </is>
      </c>
      <c r="E828" t="inlineStr">
        <is>
          <t>BRÄCKE</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51161-2023</t>
        </is>
      </c>
      <c r="B829" s="1" t="n">
        <v>45219.38019675926</v>
      </c>
      <c r="C829" s="1" t="n">
        <v>46034</v>
      </c>
      <c r="D829" t="inlineStr">
        <is>
          <t>JÄMTLANDS LÄN</t>
        </is>
      </c>
      <c r="E829" t="inlineStr">
        <is>
          <t>BRÄCKE</t>
        </is>
      </c>
      <c r="G829" t="n">
        <v>2.5</v>
      </c>
      <c r="H829" t="n">
        <v>0</v>
      </c>
      <c r="I829" t="n">
        <v>0</v>
      </c>
      <c r="J829" t="n">
        <v>0</v>
      </c>
      <c r="K829" t="n">
        <v>0</v>
      </c>
      <c r="L829" t="n">
        <v>0</v>
      </c>
      <c r="M829" t="n">
        <v>0</v>
      </c>
      <c r="N829" t="n">
        <v>0</v>
      </c>
      <c r="O829" t="n">
        <v>0</v>
      </c>
      <c r="P829" t="n">
        <v>0</v>
      </c>
      <c r="Q829" t="n">
        <v>0</v>
      </c>
      <c r="R829" s="2" t="inlineStr"/>
    </row>
    <row r="830" ht="15" customHeight="1">
      <c r="A830" t="inlineStr">
        <is>
          <t>A 15243-2025</t>
        </is>
      </c>
      <c r="B830" s="1" t="n">
        <v>45744.61537037037</v>
      </c>
      <c r="C830" s="1" t="n">
        <v>46034</v>
      </c>
      <c r="D830" t="inlineStr">
        <is>
          <t>JÄMTLANDS LÄN</t>
        </is>
      </c>
      <c r="E830" t="inlineStr">
        <is>
          <t>BRÄCKE</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44959-2025</t>
        </is>
      </c>
      <c r="B831" s="1" t="n">
        <v>45918.61537037037</v>
      </c>
      <c r="C831" s="1" t="n">
        <v>46034</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45797-2025</t>
        </is>
      </c>
      <c r="B832" s="1" t="n">
        <v>45923.57422453703</v>
      </c>
      <c r="C832" s="1" t="n">
        <v>46034</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29021-2025</t>
        </is>
      </c>
      <c r="B833" s="1" t="n">
        <v>45821.42736111111</v>
      </c>
      <c r="C833" s="1" t="n">
        <v>46034</v>
      </c>
      <c r="D833" t="inlineStr">
        <is>
          <t>JÄMTLANDS LÄN</t>
        </is>
      </c>
      <c r="E833" t="inlineStr">
        <is>
          <t>BRÄCKE</t>
        </is>
      </c>
      <c r="G833" t="n">
        <v>4.1</v>
      </c>
      <c r="H833" t="n">
        <v>0</v>
      </c>
      <c r="I833" t="n">
        <v>0</v>
      </c>
      <c r="J833" t="n">
        <v>0</v>
      </c>
      <c r="K833" t="n">
        <v>0</v>
      </c>
      <c r="L833" t="n">
        <v>0</v>
      </c>
      <c r="M833" t="n">
        <v>0</v>
      </c>
      <c r="N833" t="n">
        <v>0</v>
      </c>
      <c r="O833" t="n">
        <v>0</v>
      </c>
      <c r="P833" t="n">
        <v>0</v>
      </c>
      <c r="Q833" t="n">
        <v>0</v>
      </c>
      <c r="R833" s="2" t="inlineStr"/>
    </row>
    <row r="834" ht="15" customHeight="1">
      <c r="A834" t="inlineStr">
        <is>
          <t>A 25883-2022</t>
        </is>
      </c>
      <c r="B834" s="1" t="n">
        <v>44733</v>
      </c>
      <c r="C834" s="1" t="n">
        <v>46034</v>
      </c>
      <c r="D834" t="inlineStr">
        <is>
          <t>JÄMTLANDS LÄN</t>
        </is>
      </c>
      <c r="E834" t="inlineStr">
        <is>
          <t>BRÄCKE</t>
        </is>
      </c>
      <c r="F834" t="inlineStr">
        <is>
          <t>Övriga Aktiebolag</t>
        </is>
      </c>
      <c r="G834" t="n">
        <v>23.4</v>
      </c>
      <c r="H834" t="n">
        <v>0</v>
      </c>
      <c r="I834" t="n">
        <v>0</v>
      </c>
      <c r="J834" t="n">
        <v>0</v>
      </c>
      <c r="K834" t="n">
        <v>0</v>
      </c>
      <c r="L834" t="n">
        <v>0</v>
      </c>
      <c r="M834" t="n">
        <v>0</v>
      </c>
      <c r="N834" t="n">
        <v>0</v>
      </c>
      <c r="O834" t="n">
        <v>0</v>
      </c>
      <c r="P834" t="n">
        <v>0</v>
      </c>
      <c r="Q834" t="n">
        <v>0</v>
      </c>
      <c r="R834" s="2" t="inlineStr"/>
    </row>
    <row r="835" ht="15" customHeight="1">
      <c r="A835" t="inlineStr">
        <is>
          <t>A 45698-2025</t>
        </is>
      </c>
      <c r="B835" s="1" t="n">
        <v>45923.39917824074</v>
      </c>
      <c r="C835" s="1" t="n">
        <v>46034</v>
      </c>
      <c r="D835" t="inlineStr">
        <is>
          <t>JÄMTLANDS LÄN</t>
        </is>
      </c>
      <c r="E835" t="inlineStr">
        <is>
          <t>BRÄCKE</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29763-2025</t>
        </is>
      </c>
      <c r="B836" s="1" t="n">
        <v>45825.61837962963</v>
      </c>
      <c r="C836" s="1" t="n">
        <v>46034</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40094-2023</t>
        </is>
      </c>
      <c r="B837" s="1" t="n">
        <v>45168</v>
      </c>
      <c r="C837" s="1" t="n">
        <v>46034</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52344-2025</t>
        </is>
      </c>
      <c r="B838" s="1" t="n">
        <v>45953.71978009259</v>
      </c>
      <c r="C838" s="1" t="n">
        <v>46034</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29431-2025</t>
        </is>
      </c>
      <c r="B839" s="1" t="n">
        <v>45824.65053240741</v>
      </c>
      <c r="C839" s="1" t="n">
        <v>46034</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35398-2024</t>
        </is>
      </c>
      <c r="B840" s="1" t="n">
        <v>45531.40420138889</v>
      </c>
      <c r="C840" s="1" t="n">
        <v>46034</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45741-2025</t>
        </is>
      </c>
      <c r="B841" s="1" t="n">
        <v>45923.46953703704</v>
      </c>
      <c r="C841" s="1" t="n">
        <v>46034</v>
      </c>
      <c r="D841" t="inlineStr">
        <is>
          <t>JÄMTLANDS LÄN</t>
        </is>
      </c>
      <c r="E841" t="inlineStr">
        <is>
          <t>BRÄCKE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52342-2025</t>
        </is>
      </c>
      <c r="B842" s="1" t="n">
        <v>45953.71928240741</v>
      </c>
      <c r="C842" s="1" t="n">
        <v>46034</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52343-2025</t>
        </is>
      </c>
      <c r="B843" s="1" t="n">
        <v>45953.71953703704</v>
      </c>
      <c r="C843" s="1" t="n">
        <v>46034</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52345-2025</t>
        </is>
      </c>
      <c r="B844" s="1" t="n">
        <v>45953.71998842592</v>
      </c>
      <c r="C844" s="1" t="n">
        <v>46034</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52346-2025</t>
        </is>
      </c>
      <c r="B845" s="1" t="n">
        <v>45953</v>
      </c>
      <c r="C845" s="1" t="n">
        <v>46034</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52347-2025</t>
        </is>
      </c>
      <c r="B846" s="1" t="n">
        <v>45953.72041666666</v>
      </c>
      <c r="C846" s="1" t="n">
        <v>46034</v>
      </c>
      <c r="D846" t="inlineStr">
        <is>
          <t>JÄMTLANDS LÄN</t>
        </is>
      </c>
      <c r="E846" t="inlineStr">
        <is>
          <t>BRÄCKE</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30393-2025</t>
        </is>
      </c>
      <c r="B847" s="1" t="n">
        <v>45827.57416666667</v>
      </c>
      <c r="C847" s="1" t="n">
        <v>46034</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13525-2022</t>
        </is>
      </c>
      <c r="B848" s="1" t="n">
        <v>44648</v>
      </c>
      <c r="C848" s="1" t="n">
        <v>46034</v>
      </c>
      <c r="D848" t="inlineStr">
        <is>
          <t>JÄMTLANDS LÄN</t>
        </is>
      </c>
      <c r="E848" t="inlineStr">
        <is>
          <t>BRÄCKE</t>
        </is>
      </c>
      <c r="G848" t="n">
        <v>0.5</v>
      </c>
      <c r="H848" t="n">
        <v>0</v>
      </c>
      <c r="I848" t="n">
        <v>0</v>
      </c>
      <c r="J848" t="n">
        <v>0</v>
      </c>
      <c r="K848" t="n">
        <v>0</v>
      </c>
      <c r="L848" t="n">
        <v>0</v>
      </c>
      <c r="M848" t="n">
        <v>0</v>
      </c>
      <c r="N848" t="n">
        <v>0</v>
      </c>
      <c r="O848" t="n">
        <v>0</v>
      </c>
      <c r="P848" t="n">
        <v>0</v>
      </c>
      <c r="Q848" t="n">
        <v>0</v>
      </c>
      <c r="R848" s="2" t="inlineStr"/>
    </row>
    <row r="849" ht="15" customHeight="1">
      <c r="A849" t="inlineStr">
        <is>
          <t>A 30424-2025</t>
        </is>
      </c>
      <c r="B849" s="1" t="n">
        <v>45827.61495370371</v>
      </c>
      <c r="C849" s="1" t="n">
        <v>46034</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29909-2025</t>
        </is>
      </c>
      <c r="B850" s="1" t="n">
        <v>45826.40671296296</v>
      </c>
      <c r="C850" s="1" t="n">
        <v>46034</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46034</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45703-2025</t>
        </is>
      </c>
      <c r="B852" s="1" t="n">
        <v>45923.40854166666</v>
      </c>
      <c r="C852" s="1" t="n">
        <v>46034</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45740-2025</t>
        </is>
      </c>
      <c r="B853" s="1" t="n">
        <v>45923.46938657408</v>
      </c>
      <c r="C853" s="1" t="n">
        <v>46034</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45589-2025</t>
        </is>
      </c>
      <c r="B854" s="1" t="n">
        <v>45922.67697916667</v>
      </c>
      <c r="C854" s="1" t="n">
        <v>46034</v>
      </c>
      <c r="D854" t="inlineStr">
        <is>
          <t>JÄMTLANDS LÄN</t>
        </is>
      </c>
      <c r="E854" t="inlineStr">
        <is>
          <t>BRÄCKE</t>
        </is>
      </c>
      <c r="G854" t="n">
        <v>3.3</v>
      </c>
      <c r="H854" t="n">
        <v>0</v>
      </c>
      <c r="I854" t="n">
        <v>0</v>
      </c>
      <c r="J854" t="n">
        <v>0</v>
      </c>
      <c r="K854" t="n">
        <v>0</v>
      </c>
      <c r="L854" t="n">
        <v>0</v>
      </c>
      <c r="M854" t="n">
        <v>0</v>
      </c>
      <c r="N854" t="n">
        <v>0</v>
      </c>
      <c r="O854" t="n">
        <v>0</v>
      </c>
      <c r="P854" t="n">
        <v>0</v>
      </c>
      <c r="Q854" t="n">
        <v>0</v>
      </c>
      <c r="R854" s="2" t="inlineStr"/>
    </row>
    <row r="855" ht="15" customHeight="1">
      <c r="A855" t="inlineStr">
        <is>
          <t>A 34102-2025</t>
        </is>
      </c>
      <c r="B855" s="1" t="n">
        <v>45845.49</v>
      </c>
      <c r="C855" s="1" t="n">
        <v>46034</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30391-2025</t>
        </is>
      </c>
      <c r="B856" s="1" t="n">
        <v>45827.57387731481</v>
      </c>
      <c r="C856" s="1" t="n">
        <v>46034</v>
      </c>
      <c r="D856" t="inlineStr">
        <is>
          <t>JÄMTLANDS LÄN</t>
        </is>
      </c>
      <c r="E856" t="inlineStr">
        <is>
          <t>BRÄCKE</t>
        </is>
      </c>
      <c r="F856" t="inlineStr">
        <is>
          <t>SCA</t>
        </is>
      </c>
      <c r="G856" t="n">
        <v>6.5</v>
      </c>
      <c r="H856" t="n">
        <v>0</v>
      </c>
      <c r="I856" t="n">
        <v>0</v>
      </c>
      <c r="J856" t="n">
        <v>0</v>
      </c>
      <c r="K856" t="n">
        <v>0</v>
      </c>
      <c r="L856" t="n">
        <v>0</v>
      </c>
      <c r="M856" t="n">
        <v>0</v>
      </c>
      <c r="N856" t="n">
        <v>0</v>
      </c>
      <c r="O856" t="n">
        <v>0</v>
      </c>
      <c r="P856" t="n">
        <v>0</v>
      </c>
      <c r="Q856" t="n">
        <v>0</v>
      </c>
      <c r="R856" s="2" t="inlineStr"/>
    </row>
    <row r="857" ht="15" customHeight="1">
      <c r="A857" t="inlineStr">
        <is>
          <t>A 30425-2025</t>
        </is>
      </c>
      <c r="B857" s="1" t="n">
        <v>45827.61511574074</v>
      </c>
      <c r="C857" s="1" t="n">
        <v>46034</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29996-2025</t>
        </is>
      </c>
      <c r="B858" s="1" t="n">
        <v>45826.51090277778</v>
      </c>
      <c r="C858" s="1" t="n">
        <v>46034</v>
      </c>
      <c r="D858" t="inlineStr">
        <is>
          <t>JÄMTLANDS LÄN</t>
        </is>
      </c>
      <c r="E858" t="inlineStr">
        <is>
          <t>BRÄCKE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46131-2025</t>
        </is>
      </c>
      <c r="B859" s="1" t="n">
        <v>45924.59469907408</v>
      </c>
      <c r="C859" s="1" t="n">
        <v>46034</v>
      </c>
      <c r="D859" t="inlineStr">
        <is>
          <t>JÄMTLANDS LÄN</t>
        </is>
      </c>
      <c r="E859" t="inlineStr">
        <is>
          <t>BRÄCKE</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23752-2023</t>
        </is>
      </c>
      <c r="B860" s="1" t="n">
        <v>45077.92935185185</v>
      </c>
      <c r="C860" s="1" t="n">
        <v>46034</v>
      </c>
      <c r="D860" t="inlineStr">
        <is>
          <t>JÄMTLANDS LÄN</t>
        </is>
      </c>
      <c r="E860" t="inlineStr">
        <is>
          <t>BRÄCKE</t>
        </is>
      </c>
      <c r="G860" t="n">
        <v>0.8</v>
      </c>
      <c r="H860" t="n">
        <v>0</v>
      </c>
      <c r="I860" t="n">
        <v>0</v>
      </c>
      <c r="J860" t="n">
        <v>0</v>
      </c>
      <c r="K860" t="n">
        <v>0</v>
      </c>
      <c r="L860" t="n">
        <v>0</v>
      </c>
      <c r="M860" t="n">
        <v>0</v>
      </c>
      <c r="N860" t="n">
        <v>0</v>
      </c>
      <c r="O860" t="n">
        <v>0</v>
      </c>
      <c r="P860" t="n">
        <v>0</v>
      </c>
      <c r="Q860" t="n">
        <v>0</v>
      </c>
      <c r="R860" s="2" t="inlineStr"/>
    </row>
    <row r="861" ht="15" customHeight="1">
      <c r="A861" t="inlineStr">
        <is>
          <t>A 60132-2025</t>
        </is>
      </c>
      <c r="B861" s="1" t="n">
        <v>45994.34591435185</v>
      </c>
      <c r="C861" s="1" t="n">
        <v>46034</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30016-2025</t>
        </is>
      </c>
      <c r="B862" s="1" t="n">
        <v>45826.55288194444</v>
      </c>
      <c r="C862" s="1" t="n">
        <v>46034</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54799-2025</t>
        </is>
      </c>
      <c r="B863" s="1" t="n">
        <v>45966.63707175926</v>
      </c>
      <c r="C863" s="1" t="n">
        <v>46034</v>
      </c>
      <c r="D863" t="inlineStr">
        <is>
          <t>JÄMTLANDS LÄN</t>
        </is>
      </c>
      <c r="E863" t="inlineStr">
        <is>
          <t>BRÄCKE</t>
        </is>
      </c>
      <c r="G863" t="n">
        <v>0</v>
      </c>
      <c r="H863" t="n">
        <v>0</v>
      </c>
      <c r="I863" t="n">
        <v>0</v>
      </c>
      <c r="J863" t="n">
        <v>0</v>
      </c>
      <c r="K863" t="n">
        <v>0</v>
      </c>
      <c r="L863" t="n">
        <v>0</v>
      </c>
      <c r="M863" t="n">
        <v>0</v>
      </c>
      <c r="N863" t="n">
        <v>0</v>
      </c>
      <c r="O863" t="n">
        <v>0</v>
      </c>
      <c r="P863" t="n">
        <v>0</v>
      </c>
      <c r="Q863" t="n">
        <v>0</v>
      </c>
      <c r="R863" s="2" t="inlineStr"/>
    </row>
    <row r="864" ht="15" customHeight="1">
      <c r="A864" t="inlineStr">
        <is>
          <t>A 30310-2025</t>
        </is>
      </c>
      <c r="B864" s="1" t="n">
        <v>45827.48996527777</v>
      </c>
      <c r="C864" s="1" t="n">
        <v>46034</v>
      </c>
      <c r="D864" t="inlineStr">
        <is>
          <t>JÄMTLANDS LÄN</t>
        </is>
      </c>
      <c r="E864" t="inlineStr">
        <is>
          <t>BRÄCKE</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30392-2025</t>
        </is>
      </c>
      <c r="B865" s="1" t="n">
        <v>45827.5740162037</v>
      </c>
      <c r="C865" s="1" t="n">
        <v>46034</v>
      </c>
      <c r="D865" t="inlineStr">
        <is>
          <t>JÄMTLANDS LÄN</t>
        </is>
      </c>
      <c r="E865" t="inlineStr">
        <is>
          <t>BRÄCKE</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38105-2024</t>
        </is>
      </c>
      <c r="B866" s="1" t="n">
        <v>45545.36538194444</v>
      </c>
      <c r="C866" s="1" t="n">
        <v>46034</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46218-2025</t>
        </is>
      </c>
      <c r="B867" s="1" t="n">
        <v>45924.851875</v>
      </c>
      <c r="C867" s="1" t="n">
        <v>46034</v>
      </c>
      <c r="D867" t="inlineStr">
        <is>
          <t>JÄMTLANDS LÄN</t>
        </is>
      </c>
      <c r="E867" t="inlineStr">
        <is>
          <t>BRÄCKE</t>
        </is>
      </c>
      <c r="G867" t="n">
        <v>0.8</v>
      </c>
      <c r="H867" t="n">
        <v>0</v>
      </c>
      <c r="I867" t="n">
        <v>0</v>
      </c>
      <c r="J867" t="n">
        <v>0</v>
      </c>
      <c r="K867" t="n">
        <v>0</v>
      </c>
      <c r="L867" t="n">
        <v>0</v>
      </c>
      <c r="M867" t="n">
        <v>0</v>
      </c>
      <c r="N867" t="n">
        <v>0</v>
      </c>
      <c r="O867" t="n">
        <v>0</v>
      </c>
      <c r="P867" t="n">
        <v>0</v>
      </c>
      <c r="Q867" t="n">
        <v>0</v>
      </c>
      <c r="R867" s="2" t="inlineStr"/>
    </row>
    <row r="868" ht="15" customHeight="1">
      <c r="A868" t="inlineStr">
        <is>
          <t>A 55436-2024</t>
        </is>
      </c>
      <c r="B868" s="1" t="n">
        <v>45622.4022337963</v>
      </c>
      <c r="C868" s="1" t="n">
        <v>46034</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46069-2025</t>
        </is>
      </c>
      <c r="B869" s="1" t="n">
        <v>45924.48994212963</v>
      </c>
      <c r="C869" s="1" t="n">
        <v>46034</v>
      </c>
      <c r="D869" t="inlineStr">
        <is>
          <t>JÄMTLANDS LÄN</t>
        </is>
      </c>
      <c r="E869" t="inlineStr">
        <is>
          <t>BRÄCKE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60321-2025</t>
        </is>
      </c>
      <c r="B870" s="1" t="n">
        <v>45994.71998842592</v>
      </c>
      <c r="C870" s="1" t="n">
        <v>46034</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46217-2025</t>
        </is>
      </c>
      <c r="B871" s="1" t="n">
        <v>45924.8475925926</v>
      </c>
      <c r="C871" s="1" t="n">
        <v>46034</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30014-2025</t>
        </is>
      </c>
      <c r="B872" s="1" t="n">
        <v>45826.55246527777</v>
      </c>
      <c r="C872" s="1" t="n">
        <v>46034</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5527-2025</t>
        </is>
      </c>
      <c r="B873" s="1" t="n">
        <v>45693.42859953704</v>
      </c>
      <c r="C873" s="1" t="n">
        <v>46034</v>
      </c>
      <c r="D873" t="inlineStr">
        <is>
          <t>JÄMTLANDS LÄN</t>
        </is>
      </c>
      <c r="E873" t="inlineStr">
        <is>
          <t>BRÄCKE</t>
        </is>
      </c>
      <c r="G873" t="n">
        <v>4.8</v>
      </c>
      <c r="H873" t="n">
        <v>0</v>
      </c>
      <c r="I873" t="n">
        <v>0</v>
      </c>
      <c r="J873" t="n">
        <v>0</v>
      </c>
      <c r="K873" t="n">
        <v>0</v>
      </c>
      <c r="L873" t="n">
        <v>0</v>
      </c>
      <c r="M873" t="n">
        <v>0</v>
      </c>
      <c r="N873" t="n">
        <v>0</v>
      </c>
      <c r="O873" t="n">
        <v>0</v>
      </c>
      <c r="P873" t="n">
        <v>0</v>
      </c>
      <c r="Q873" t="n">
        <v>0</v>
      </c>
      <c r="R873" s="2" t="inlineStr"/>
    </row>
    <row r="874" ht="15" customHeight="1">
      <c r="A874" t="inlineStr">
        <is>
          <t>A 57414-2023</t>
        </is>
      </c>
      <c r="B874" s="1" t="n">
        <v>45245.96939814815</v>
      </c>
      <c r="C874" s="1" t="n">
        <v>46034</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46017-2025</t>
        </is>
      </c>
      <c r="B875" s="1" t="n">
        <v>45924.42774305555</v>
      </c>
      <c r="C875" s="1" t="n">
        <v>46034</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2498-2025</t>
        </is>
      </c>
      <c r="B876" s="1" t="n">
        <v>45674.5315625</v>
      </c>
      <c r="C876" s="1" t="n">
        <v>46034</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2511-2025</t>
        </is>
      </c>
      <c r="B877" s="1" t="n">
        <v>45674.57393518519</v>
      </c>
      <c r="C877" s="1" t="n">
        <v>46034</v>
      </c>
      <c r="D877" t="inlineStr">
        <is>
          <t>JÄMTLANDS LÄN</t>
        </is>
      </c>
      <c r="E877" t="inlineStr">
        <is>
          <t>BRÄCKE</t>
        </is>
      </c>
      <c r="F877" t="inlineStr">
        <is>
          <t>SCA</t>
        </is>
      </c>
      <c r="G877" t="n">
        <v>10.5</v>
      </c>
      <c r="H877" t="n">
        <v>0</v>
      </c>
      <c r="I877" t="n">
        <v>0</v>
      </c>
      <c r="J877" t="n">
        <v>0</v>
      </c>
      <c r="K877" t="n">
        <v>0</v>
      </c>
      <c r="L877" t="n">
        <v>0</v>
      </c>
      <c r="M877" t="n">
        <v>0</v>
      </c>
      <c r="N877" t="n">
        <v>0</v>
      </c>
      <c r="O877" t="n">
        <v>0</v>
      </c>
      <c r="P877" t="n">
        <v>0</v>
      </c>
      <c r="Q877" t="n">
        <v>0</v>
      </c>
      <c r="R877" s="2" t="inlineStr"/>
    </row>
    <row r="878" ht="15" customHeight="1">
      <c r="A878" t="inlineStr">
        <is>
          <t>A 50522-2024</t>
        </is>
      </c>
      <c r="B878" s="1" t="n">
        <v>45601.55399305555</v>
      </c>
      <c r="C878" s="1" t="n">
        <v>46034</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45971-2025</t>
        </is>
      </c>
      <c r="B879" s="1" t="n">
        <v>45924.36534722222</v>
      </c>
      <c r="C879" s="1" t="n">
        <v>46034</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45974-2024</t>
        </is>
      </c>
      <c r="B880" s="1" t="n">
        <v>45580.59408564815</v>
      </c>
      <c r="C880" s="1" t="n">
        <v>46034</v>
      </c>
      <c r="D880" t="inlineStr">
        <is>
          <t>JÄMTLANDS LÄN</t>
        </is>
      </c>
      <c r="E880" t="inlineStr">
        <is>
          <t>BRÄCKE</t>
        </is>
      </c>
      <c r="F880" t="inlineStr">
        <is>
          <t>Naturvårdsverket</t>
        </is>
      </c>
      <c r="G880" t="n">
        <v>0.3</v>
      </c>
      <c r="H880" t="n">
        <v>0</v>
      </c>
      <c r="I880" t="n">
        <v>0</v>
      </c>
      <c r="J880" t="n">
        <v>0</v>
      </c>
      <c r="K880" t="n">
        <v>0</v>
      </c>
      <c r="L880" t="n">
        <v>0</v>
      </c>
      <c r="M880" t="n">
        <v>0</v>
      </c>
      <c r="N880" t="n">
        <v>0</v>
      </c>
      <c r="O880" t="n">
        <v>0</v>
      </c>
      <c r="P880" t="n">
        <v>0</v>
      </c>
      <c r="Q880" t="n">
        <v>0</v>
      </c>
      <c r="R880" s="2" t="inlineStr"/>
    </row>
    <row r="881" ht="15" customHeight="1">
      <c r="A881" t="inlineStr">
        <is>
          <t>A 48440-2024</t>
        </is>
      </c>
      <c r="B881" s="1" t="n">
        <v>45590.67774305555</v>
      </c>
      <c r="C881" s="1" t="n">
        <v>46034</v>
      </c>
      <c r="D881" t="inlineStr">
        <is>
          <t>JÄMTLANDS LÄN</t>
        </is>
      </c>
      <c r="E881" t="inlineStr">
        <is>
          <t>BRÄCKE</t>
        </is>
      </c>
      <c r="G881" t="n">
        <v>3.5</v>
      </c>
      <c r="H881" t="n">
        <v>0</v>
      </c>
      <c r="I881" t="n">
        <v>0</v>
      </c>
      <c r="J881" t="n">
        <v>0</v>
      </c>
      <c r="K881" t="n">
        <v>0</v>
      </c>
      <c r="L881" t="n">
        <v>0</v>
      </c>
      <c r="M881" t="n">
        <v>0</v>
      </c>
      <c r="N881" t="n">
        <v>0</v>
      </c>
      <c r="O881" t="n">
        <v>0</v>
      </c>
      <c r="P881" t="n">
        <v>0</v>
      </c>
      <c r="Q881" t="n">
        <v>0</v>
      </c>
      <c r="R881" s="2" t="inlineStr"/>
    </row>
    <row r="882" ht="15" customHeight="1">
      <c r="A882" t="inlineStr">
        <is>
          <t>A 51839-2025</t>
        </is>
      </c>
      <c r="B882" s="1" t="n">
        <v>45952.34472222222</v>
      </c>
      <c r="C882" s="1" t="n">
        <v>46034</v>
      </c>
      <c r="D882" t="inlineStr">
        <is>
          <t>JÄMTLANDS LÄN</t>
        </is>
      </c>
      <c r="E882" t="inlineStr">
        <is>
          <t>BRÄCKE</t>
        </is>
      </c>
      <c r="F882" t="inlineStr">
        <is>
          <t>SCA</t>
        </is>
      </c>
      <c r="G882" t="n">
        <v>17.5</v>
      </c>
      <c r="H882" t="n">
        <v>0</v>
      </c>
      <c r="I882" t="n">
        <v>0</v>
      </c>
      <c r="J882" t="n">
        <v>0</v>
      </c>
      <c r="K882" t="n">
        <v>0</v>
      </c>
      <c r="L882" t="n">
        <v>0</v>
      </c>
      <c r="M882" t="n">
        <v>0</v>
      </c>
      <c r="N882" t="n">
        <v>0</v>
      </c>
      <c r="O882" t="n">
        <v>0</v>
      </c>
      <c r="P882" t="n">
        <v>0</v>
      </c>
      <c r="Q882" t="n">
        <v>0</v>
      </c>
      <c r="R882" s="2" t="inlineStr"/>
    </row>
    <row r="883" ht="15" customHeight="1">
      <c r="A883" t="inlineStr">
        <is>
          <t>A 46093-2025</t>
        </is>
      </c>
      <c r="B883" s="1" t="n">
        <v>45924.53166666667</v>
      </c>
      <c r="C883" s="1" t="n">
        <v>46034</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46216-2025</t>
        </is>
      </c>
      <c r="B884" s="1" t="n">
        <v>45924.84655092593</v>
      </c>
      <c r="C884" s="1" t="n">
        <v>46034</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46180-2025</t>
        </is>
      </c>
      <c r="B885" s="1" t="n">
        <v>45924.65664351852</v>
      </c>
      <c r="C885" s="1" t="n">
        <v>46034</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30313-2025</t>
        </is>
      </c>
      <c r="B886" s="1" t="n">
        <v>45827.49033564814</v>
      </c>
      <c r="C886" s="1" t="n">
        <v>46034</v>
      </c>
      <c r="D886" t="inlineStr">
        <is>
          <t>JÄMTLANDS LÄN</t>
        </is>
      </c>
      <c r="E886" t="inlineStr">
        <is>
          <t>BRÄCKE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46005-2025</t>
        </is>
      </c>
      <c r="B887" s="1" t="n">
        <v>45924.40751157407</v>
      </c>
      <c r="C887" s="1" t="n">
        <v>46034</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46004-2025</t>
        </is>
      </c>
      <c r="B888" s="1" t="n">
        <v>45924.40741898148</v>
      </c>
      <c r="C888" s="1" t="n">
        <v>46034</v>
      </c>
      <c r="D888" t="inlineStr">
        <is>
          <t>JÄMTLANDS LÄN</t>
        </is>
      </c>
      <c r="E888" t="inlineStr">
        <is>
          <t>BRÄCKE</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56429-2024</t>
        </is>
      </c>
      <c r="B889" s="1" t="n">
        <v>45625.40149305556</v>
      </c>
      <c r="C889" s="1" t="n">
        <v>46034</v>
      </c>
      <c r="D889" t="inlineStr">
        <is>
          <t>JÄMTLANDS LÄN</t>
        </is>
      </c>
      <c r="E889" t="inlineStr">
        <is>
          <t>BRÄCKE</t>
        </is>
      </c>
      <c r="G889" t="n">
        <v>1.7</v>
      </c>
      <c r="H889" t="n">
        <v>0</v>
      </c>
      <c r="I889" t="n">
        <v>0</v>
      </c>
      <c r="J889" t="n">
        <v>0</v>
      </c>
      <c r="K889" t="n">
        <v>0</v>
      </c>
      <c r="L889" t="n">
        <v>0</v>
      </c>
      <c r="M889" t="n">
        <v>0</v>
      </c>
      <c r="N889" t="n">
        <v>0</v>
      </c>
      <c r="O889" t="n">
        <v>0</v>
      </c>
      <c r="P889" t="n">
        <v>0</v>
      </c>
      <c r="Q889" t="n">
        <v>0</v>
      </c>
      <c r="R889" s="2" t="inlineStr"/>
    </row>
    <row r="890" ht="15" customHeight="1">
      <c r="A890" t="inlineStr">
        <is>
          <t>A 56432-2024</t>
        </is>
      </c>
      <c r="B890" s="1" t="n">
        <v>45625.40679398148</v>
      </c>
      <c r="C890" s="1" t="n">
        <v>46034</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46070-2025</t>
        </is>
      </c>
      <c r="B891" s="1" t="n">
        <v>45924.49011574074</v>
      </c>
      <c r="C891" s="1" t="n">
        <v>46034</v>
      </c>
      <c r="D891" t="inlineStr">
        <is>
          <t>JÄMTLANDS LÄN</t>
        </is>
      </c>
      <c r="E891" t="inlineStr">
        <is>
          <t>BRÄCKE</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30714-2025</t>
        </is>
      </c>
      <c r="B892" s="1" t="n">
        <v>45831.55284722222</v>
      </c>
      <c r="C892" s="1" t="n">
        <v>46034</v>
      </c>
      <c r="D892" t="inlineStr">
        <is>
          <t>JÄMTLANDS LÄN</t>
        </is>
      </c>
      <c r="E892" t="inlineStr">
        <is>
          <t>BRÄCKE</t>
        </is>
      </c>
      <c r="G892" t="n">
        <v>0.5</v>
      </c>
      <c r="H892" t="n">
        <v>0</v>
      </c>
      <c r="I892" t="n">
        <v>0</v>
      </c>
      <c r="J892" t="n">
        <v>0</v>
      </c>
      <c r="K892" t="n">
        <v>0</v>
      </c>
      <c r="L892" t="n">
        <v>0</v>
      </c>
      <c r="M892" t="n">
        <v>0</v>
      </c>
      <c r="N892" t="n">
        <v>0</v>
      </c>
      <c r="O892" t="n">
        <v>0</v>
      </c>
      <c r="P892" t="n">
        <v>0</v>
      </c>
      <c r="Q892" t="n">
        <v>0</v>
      </c>
      <c r="R892" s="2" t="inlineStr"/>
    </row>
    <row r="893" ht="15" customHeight="1">
      <c r="A893" t="inlineStr">
        <is>
          <t>A 46875-2025</t>
        </is>
      </c>
      <c r="B893" s="1" t="n">
        <v>45929.34453703704</v>
      </c>
      <c r="C893" s="1" t="n">
        <v>46034</v>
      </c>
      <c r="D893" t="inlineStr">
        <is>
          <t>JÄMTLANDS LÄN</t>
        </is>
      </c>
      <c r="E893" t="inlineStr">
        <is>
          <t>BRÄCKE</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51964-2025</t>
        </is>
      </c>
      <c r="B894" s="1" t="n">
        <v>45952.55321759259</v>
      </c>
      <c r="C894" s="1" t="n">
        <v>46034</v>
      </c>
      <c r="D894" t="inlineStr">
        <is>
          <t>JÄMTLANDS LÄN</t>
        </is>
      </c>
      <c r="E894" t="inlineStr">
        <is>
          <t>BRÄCKE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30732-2025</t>
        </is>
      </c>
      <c r="B895" s="1" t="n">
        <v>45831.57324074074</v>
      </c>
      <c r="C895" s="1" t="n">
        <v>46034</v>
      </c>
      <c r="D895" t="inlineStr">
        <is>
          <t>JÄMTLANDS LÄN</t>
        </is>
      </c>
      <c r="E895" t="inlineStr">
        <is>
          <t>BRÄCKE</t>
        </is>
      </c>
      <c r="G895" t="n">
        <v>1.6</v>
      </c>
      <c r="H895" t="n">
        <v>0</v>
      </c>
      <c r="I895" t="n">
        <v>0</v>
      </c>
      <c r="J895" t="n">
        <v>0</v>
      </c>
      <c r="K895" t="n">
        <v>0</v>
      </c>
      <c r="L895" t="n">
        <v>0</v>
      </c>
      <c r="M895" t="n">
        <v>0</v>
      </c>
      <c r="N895" t="n">
        <v>0</v>
      </c>
      <c r="O895" t="n">
        <v>0</v>
      </c>
      <c r="P895" t="n">
        <v>0</v>
      </c>
      <c r="Q895" t="n">
        <v>0</v>
      </c>
      <c r="R895" s="2" t="inlineStr"/>
    </row>
    <row r="896" ht="15" customHeight="1">
      <c r="A896" t="inlineStr">
        <is>
          <t>A 46686-2025</t>
        </is>
      </c>
      <c r="B896" s="1" t="n">
        <v>45926.55258101852</v>
      </c>
      <c r="C896" s="1" t="n">
        <v>46034</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30619-2025</t>
        </is>
      </c>
      <c r="B897" s="1" t="n">
        <v>45831.46922453704</v>
      </c>
      <c r="C897" s="1" t="n">
        <v>46034</v>
      </c>
      <c r="D897" t="inlineStr">
        <is>
          <t>JÄMTLANDS LÄN</t>
        </is>
      </c>
      <c r="E897" t="inlineStr">
        <is>
          <t>BRÄCKE</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46623-2025</t>
        </is>
      </c>
      <c r="B898" s="1" t="n">
        <v>45926.44829861111</v>
      </c>
      <c r="C898" s="1" t="n">
        <v>46034</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46624-2025</t>
        </is>
      </c>
      <c r="B899" s="1" t="n">
        <v>45926.44844907407</v>
      </c>
      <c r="C899" s="1" t="n">
        <v>46034</v>
      </c>
      <c r="D899" t="inlineStr">
        <is>
          <t>JÄMTLANDS LÄN</t>
        </is>
      </c>
      <c r="E899" t="inlineStr">
        <is>
          <t>BRÄCKE</t>
        </is>
      </c>
      <c r="G899" t="n">
        <v>3.7</v>
      </c>
      <c r="H899" t="n">
        <v>0</v>
      </c>
      <c r="I899" t="n">
        <v>0</v>
      </c>
      <c r="J899" t="n">
        <v>0</v>
      </c>
      <c r="K899" t="n">
        <v>0</v>
      </c>
      <c r="L899" t="n">
        <v>0</v>
      </c>
      <c r="M899" t="n">
        <v>0</v>
      </c>
      <c r="N899" t="n">
        <v>0</v>
      </c>
      <c r="O899" t="n">
        <v>0</v>
      </c>
      <c r="P899" t="n">
        <v>0</v>
      </c>
      <c r="Q899" t="n">
        <v>0</v>
      </c>
      <c r="R899" s="2" t="inlineStr"/>
    </row>
    <row r="900" ht="15" customHeight="1">
      <c r="A900" t="inlineStr">
        <is>
          <t>A 24062-2024</t>
        </is>
      </c>
      <c r="B900" s="1" t="n">
        <v>45456.54141203704</v>
      </c>
      <c r="C900" s="1" t="n">
        <v>46034</v>
      </c>
      <c r="D900" t="inlineStr">
        <is>
          <t>JÄMTLANDS LÄN</t>
        </is>
      </c>
      <c r="E900" t="inlineStr">
        <is>
          <t>BRÄCKE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35896-2023</t>
        </is>
      </c>
      <c r="B901" s="1" t="n">
        <v>45148</v>
      </c>
      <c r="C901" s="1" t="n">
        <v>46034</v>
      </c>
      <c r="D901" t="inlineStr">
        <is>
          <t>JÄMTLANDS LÄN</t>
        </is>
      </c>
      <c r="E901" t="inlineStr">
        <is>
          <t>BRÄCKE</t>
        </is>
      </c>
      <c r="G901" t="n">
        <v>3.6</v>
      </c>
      <c r="H901" t="n">
        <v>0</v>
      </c>
      <c r="I901" t="n">
        <v>0</v>
      </c>
      <c r="J901" t="n">
        <v>0</v>
      </c>
      <c r="K901" t="n">
        <v>0</v>
      </c>
      <c r="L901" t="n">
        <v>0</v>
      </c>
      <c r="M901" t="n">
        <v>0</v>
      </c>
      <c r="N901" t="n">
        <v>0</v>
      </c>
      <c r="O901" t="n">
        <v>0</v>
      </c>
      <c r="P901" t="n">
        <v>0</v>
      </c>
      <c r="Q901" t="n">
        <v>0</v>
      </c>
      <c r="R901" s="2" t="inlineStr"/>
    </row>
    <row r="902" ht="15" customHeight="1">
      <c r="A902" t="inlineStr">
        <is>
          <t>A 36551-2024</t>
        </is>
      </c>
      <c r="B902" s="1" t="n">
        <v>45537.468125</v>
      </c>
      <c r="C902" s="1" t="n">
        <v>46034</v>
      </c>
      <c r="D902" t="inlineStr">
        <is>
          <t>JÄMTLANDS LÄN</t>
        </is>
      </c>
      <c r="E902" t="inlineStr">
        <is>
          <t>BRÄCKE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47117-2025</t>
        </is>
      </c>
      <c r="B903" s="1" t="n">
        <v>45929.67751157407</v>
      </c>
      <c r="C903" s="1" t="n">
        <v>46034</v>
      </c>
      <c r="D903" t="inlineStr">
        <is>
          <t>JÄMTLANDS LÄN</t>
        </is>
      </c>
      <c r="E903" t="inlineStr">
        <is>
          <t>BRÄCKE</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14798-2023</t>
        </is>
      </c>
      <c r="B904" s="1" t="n">
        <v>45014.61738425926</v>
      </c>
      <c r="C904" s="1" t="n">
        <v>46034</v>
      </c>
      <c r="D904" t="inlineStr">
        <is>
          <t>JÄMTLANDS LÄN</t>
        </is>
      </c>
      <c r="E904" t="inlineStr">
        <is>
          <t>BRÄCKE</t>
        </is>
      </c>
      <c r="G904" t="n">
        <v>3.5</v>
      </c>
      <c r="H904" t="n">
        <v>0</v>
      </c>
      <c r="I904" t="n">
        <v>0</v>
      </c>
      <c r="J904" t="n">
        <v>0</v>
      </c>
      <c r="K904" t="n">
        <v>0</v>
      </c>
      <c r="L904" t="n">
        <v>0</v>
      </c>
      <c r="M904" t="n">
        <v>0</v>
      </c>
      <c r="N904" t="n">
        <v>0</v>
      </c>
      <c r="O904" t="n">
        <v>0</v>
      </c>
      <c r="P904" t="n">
        <v>0</v>
      </c>
      <c r="Q904" t="n">
        <v>0</v>
      </c>
      <c r="R904" s="2" t="inlineStr"/>
    </row>
    <row r="905" ht="15" customHeight="1">
      <c r="A905" t="inlineStr">
        <is>
          <t>A 49399-2024</t>
        </is>
      </c>
      <c r="B905" s="1" t="n">
        <v>45595.67138888889</v>
      </c>
      <c r="C905" s="1" t="n">
        <v>46034</v>
      </c>
      <c r="D905" t="inlineStr">
        <is>
          <t>JÄMTLANDS LÄN</t>
        </is>
      </c>
      <c r="E905" t="inlineStr">
        <is>
          <t>BRÄCKE</t>
        </is>
      </c>
      <c r="F905" t="inlineStr">
        <is>
          <t>SCA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31425-2025</t>
        </is>
      </c>
      <c r="B906" s="1" t="n">
        <v>45833.49023148148</v>
      </c>
      <c r="C906" s="1" t="n">
        <v>46034</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49400-2024</t>
        </is>
      </c>
      <c r="B907" s="1" t="n">
        <v>45595.67152777778</v>
      </c>
      <c r="C907" s="1" t="n">
        <v>46034</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25883-2024</t>
        </is>
      </c>
      <c r="B908" s="1" t="n">
        <v>45467.49233796296</v>
      </c>
      <c r="C908" s="1" t="n">
        <v>46034</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47070-2025</t>
        </is>
      </c>
      <c r="B909" s="1" t="n">
        <v>45929.63621527778</v>
      </c>
      <c r="C909" s="1" t="n">
        <v>46034</v>
      </c>
      <c r="D909" t="inlineStr">
        <is>
          <t>JÄMTLANDS LÄN</t>
        </is>
      </c>
      <c r="E909" t="inlineStr">
        <is>
          <t>BRÄCKE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46625-2025</t>
        </is>
      </c>
      <c r="B910" s="1" t="n">
        <v>45926.44857638889</v>
      </c>
      <c r="C910" s="1" t="n">
        <v>46034</v>
      </c>
      <c r="D910" t="inlineStr">
        <is>
          <t>JÄMTLANDS LÄN</t>
        </is>
      </c>
      <c r="E910" t="inlineStr">
        <is>
          <t>BRÄCKE</t>
        </is>
      </c>
      <c r="G910" t="n">
        <v>4</v>
      </c>
      <c r="H910" t="n">
        <v>0</v>
      </c>
      <c r="I910" t="n">
        <v>0</v>
      </c>
      <c r="J910" t="n">
        <v>0</v>
      </c>
      <c r="K910" t="n">
        <v>0</v>
      </c>
      <c r="L910" t="n">
        <v>0</v>
      </c>
      <c r="M910" t="n">
        <v>0</v>
      </c>
      <c r="N910" t="n">
        <v>0</v>
      </c>
      <c r="O910" t="n">
        <v>0</v>
      </c>
      <c r="P910" t="n">
        <v>0</v>
      </c>
      <c r="Q910" t="n">
        <v>0</v>
      </c>
      <c r="R910" s="2" t="inlineStr"/>
    </row>
    <row r="911" ht="15" customHeight="1">
      <c r="A911" t="inlineStr">
        <is>
          <t>A 31274-2025</t>
        </is>
      </c>
      <c r="B911" s="1" t="n">
        <v>45833.34435185185</v>
      </c>
      <c r="C911" s="1" t="n">
        <v>46034</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46034</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31138-2025</t>
        </is>
      </c>
      <c r="B913" s="1" t="n">
        <v>45832.63618055556</v>
      </c>
      <c r="C913" s="1" t="n">
        <v>46034</v>
      </c>
      <c r="D913" t="inlineStr">
        <is>
          <t>JÄMTLANDS LÄN</t>
        </is>
      </c>
      <c r="E913" t="inlineStr">
        <is>
          <t>BRÄCKE</t>
        </is>
      </c>
      <c r="F913" t="inlineStr">
        <is>
          <t>SCA</t>
        </is>
      </c>
      <c r="G913" t="n">
        <v>5.4</v>
      </c>
      <c r="H913" t="n">
        <v>0</v>
      </c>
      <c r="I913" t="n">
        <v>0</v>
      </c>
      <c r="J913" t="n">
        <v>0</v>
      </c>
      <c r="K913" t="n">
        <v>0</v>
      </c>
      <c r="L913" t="n">
        <v>0</v>
      </c>
      <c r="M913" t="n">
        <v>0</v>
      </c>
      <c r="N913" t="n">
        <v>0</v>
      </c>
      <c r="O913" t="n">
        <v>0</v>
      </c>
      <c r="P913" t="n">
        <v>0</v>
      </c>
      <c r="Q913" t="n">
        <v>0</v>
      </c>
      <c r="R913" s="2" t="inlineStr"/>
    </row>
    <row r="914" ht="15" customHeight="1">
      <c r="A914" t="inlineStr">
        <is>
          <t>A 60295-2025</t>
        </is>
      </c>
      <c r="B914" s="1" t="n">
        <v>45994.65680555555</v>
      </c>
      <c r="C914" s="1" t="n">
        <v>46034</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60353-2025</t>
        </is>
      </c>
      <c r="B915" s="1" t="n">
        <v>45995.30998842593</v>
      </c>
      <c r="C915" s="1" t="n">
        <v>46034</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60355-2025</t>
        </is>
      </c>
      <c r="B916" s="1" t="n">
        <v>45995.31350694445</v>
      </c>
      <c r="C916" s="1" t="n">
        <v>46034</v>
      </c>
      <c r="D916" t="inlineStr">
        <is>
          <t>JÄMTLANDS LÄN</t>
        </is>
      </c>
      <c r="E916" t="inlineStr">
        <is>
          <t>BRÄCKE</t>
        </is>
      </c>
      <c r="G916" t="n">
        <v>2.4</v>
      </c>
      <c r="H916" t="n">
        <v>0</v>
      </c>
      <c r="I916" t="n">
        <v>0</v>
      </c>
      <c r="J916" t="n">
        <v>0</v>
      </c>
      <c r="K916" t="n">
        <v>0</v>
      </c>
      <c r="L916" t="n">
        <v>0</v>
      </c>
      <c r="M916" t="n">
        <v>0</v>
      </c>
      <c r="N916" t="n">
        <v>0</v>
      </c>
      <c r="O916" t="n">
        <v>0</v>
      </c>
      <c r="P916" t="n">
        <v>0</v>
      </c>
      <c r="Q916" t="n">
        <v>0</v>
      </c>
      <c r="R916" s="2" t="inlineStr"/>
    </row>
    <row r="917" ht="15" customHeight="1">
      <c r="A917" t="inlineStr">
        <is>
          <t>A 26025-2024</t>
        </is>
      </c>
      <c r="B917" s="1" t="n">
        <v>45467.96188657408</v>
      </c>
      <c r="C917" s="1" t="n">
        <v>46034</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26029-2024</t>
        </is>
      </c>
      <c r="B918" s="1" t="n">
        <v>45467.96262731482</v>
      </c>
      <c r="C918" s="1" t="n">
        <v>46034</v>
      </c>
      <c r="D918" t="inlineStr">
        <is>
          <t>JÄMTLANDS LÄN</t>
        </is>
      </c>
      <c r="E918" t="inlineStr">
        <is>
          <t>BRÄCKE</t>
        </is>
      </c>
      <c r="F918" t="inlineStr">
        <is>
          <t>SCA</t>
        </is>
      </c>
      <c r="G918" t="n">
        <v>40.9</v>
      </c>
      <c r="H918" t="n">
        <v>0</v>
      </c>
      <c r="I918" t="n">
        <v>0</v>
      </c>
      <c r="J918" t="n">
        <v>0</v>
      </c>
      <c r="K918" t="n">
        <v>0</v>
      </c>
      <c r="L918" t="n">
        <v>0</v>
      </c>
      <c r="M918" t="n">
        <v>0</v>
      </c>
      <c r="N918" t="n">
        <v>0</v>
      </c>
      <c r="O918" t="n">
        <v>0</v>
      </c>
      <c r="P918" t="n">
        <v>0</v>
      </c>
      <c r="Q918" t="n">
        <v>0</v>
      </c>
      <c r="R918" s="2" t="inlineStr"/>
      <c r="U918">
        <f>HYPERLINK("https://klasma.github.io/Logging_2305/knärot/A 26029-2024 karta knärot.png", "A 26029-2024")</f>
        <v/>
      </c>
      <c r="V918">
        <f>HYPERLINK("https://klasma.github.io/Logging_2305/klagomål/A 26029-2024 FSC-klagomål.docx", "A 26029-2024")</f>
        <v/>
      </c>
      <c r="W918">
        <f>HYPERLINK("https://klasma.github.io/Logging_2305/klagomålsmail/A 26029-2024 FSC-klagomål mail.docx", "A 26029-2024")</f>
        <v/>
      </c>
      <c r="X918">
        <f>HYPERLINK("https://klasma.github.io/Logging_2305/tillsyn/A 26029-2024 tillsynsbegäran.docx", "A 26029-2024")</f>
        <v/>
      </c>
      <c r="Y918">
        <f>HYPERLINK("https://klasma.github.io/Logging_2305/tillsynsmail/A 26029-2024 tillsynsbegäran mail.docx", "A 26029-2024")</f>
        <v/>
      </c>
    </row>
    <row r="919" ht="15" customHeight="1">
      <c r="A919" t="inlineStr">
        <is>
          <t>A 31558-2024</t>
        </is>
      </c>
      <c r="B919" s="1" t="n">
        <v>45505</v>
      </c>
      <c r="C919" s="1" t="n">
        <v>46034</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31059-2025</t>
        </is>
      </c>
      <c r="B920" s="1" t="n">
        <v>45832.5734837963</v>
      </c>
      <c r="C920" s="1" t="n">
        <v>46034</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60377-2025</t>
        </is>
      </c>
      <c r="B921" s="1" t="n">
        <v>45995.36479166667</v>
      </c>
      <c r="C921" s="1" t="n">
        <v>46034</v>
      </c>
      <c r="D921" t="inlineStr">
        <is>
          <t>JÄMTLANDS LÄN</t>
        </is>
      </c>
      <c r="E921" t="inlineStr">
        <is>
          <t>BRÄCKE</t>
        </is>
      </c>
      <c r="G921" t="n">
        <v>0.8</v>
      </c>
      <c r="H921" t="n">
        <v>0</v>
      </c>
      <c r="I921" t="n">
        <v>0</v>
      </c>
      <c r="J921" t="n">
        <v>0</v>
      </c>
      <c r="K921" t="n">
        <v>0</v>
      </c>
      <c r="L921" t="n">
        <v>0</v>
      </c>
      <c r="M921" t="n">
        <v>0</v>
      </c>
      <c r="N921" t="n">
        <v>0</v>
      </c>
      <c r="O921" t="n">
        <v>0</v>
      </c>
      <c r="P921" t="n">
        <v>0</v>
      </c>
      <c r="Q921" t="n">
        <v>0</v>
      </c>
      <c r="R921" s="2" t="inlineStr"/>
    </row>
    <row r="922" ht="15" customHeight="1">
      <c r="A922" t="inlineStr">
        <is>
          <t>A 2245-2025</t>
        </is>
      </c>
      <c r="B922" s="1" t="n">
        <v>45673.49019675926</v>
      </c>
      <c r="C922" s="1" t="n">
        <v>46034</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31379-2025</t>
        </is>
      </c>
      <c r="B923" s="1" t="n">
        <v>45833.44856481482</v>
      </c>
      <c r="C923" s="1" t="n">
        <v>46034</v>
      </c>
      <c r="D923" t="inlineStr">
        <is>
          <t>JÄMTLANDS LÄN</t>
        </is>
      </c>
      <c r="E923" t="inlineStr">
        <is>
          <t>BRÄCKE</t>
        </is>
      </c>
      <c r="F923" t="inlineStr">
        <is>
          <t>SCA</t>
        </is>
      </c>
      <c r="G923" t="n">
        <v>10.2</v>
      </c>
      <c r="H923" t="n">
        <v>0</v>
      </c>
      <c r="I923" t="n">
        <v>0</v>
      </c>
      <c r="J923" t="n">
        <v>0</v>
      </c>
      <c r="K923" t="n">
        <v>0</v>
      </c>
      <c r="L923" t="n">
        <v>0</v>
      </c>
      <c r="M923" t="n">
        <v>0</v>
      </c>
      <c r="N923" t="n">
        <v>0</v>
      </c>
      <c r="O923" t="n">
        <v>0</v>
      </c>
      <c r="P923" t="n">
        <v>0</v>
      </c>
      <c r="Q923" t="n">
        <v>0</v>
      </c>
      <c r="R923" s="2" t="inlineStr"/>
    </row>
    <row r="924" ht="15" customHeight="1">
      <c r="A924" t="inlineStr">
        <is>
          <t>A 2774-2025</t>
        </is>
      </c>
      <c r="B924" s="1" t="n">
        <v>45677.51086805556</v>
      </c>
      <c r="C924" s="1" t="n">
        <v>46034</v>
      </c>
      <c r="D924" t="inlineStr">
        <is>
          <t>JÄMTLANDS LÄN</t>
        </is>
      </c>
      <c r="E924" t="inlineStr">
        <is>
          <t>BRÄCKE</t>
        </is>
      </c>
      <c r="F924" t="inlineStr">
        <is>
          <t>SCA</t>
        </is>
      </c>
      <c r="G924" t="n">
        <v>11.4</v>
      </c>
      <c r="H924" t="n">
        <v>0</v>
      </c>
      <c r="I924" t="n">
        <v>0</v>
      </c>
      <c r="J924" t="n">
        <v>0</v>
      </c>
      <c r="K924" t="n">
        <v>0</v>
      </c>
      <c r="L924" t="n">
        <v>0</v>
      </c>
      <c r="M924" t="n">
        <v>0</v>
      </c>
      <c r="N924" t="n">
        <v>0</v>
      </c>
      <c r="O924" t="n">
        <v>0</v>
      </c>
      <c r="P924" t="n">
        <v>0</v>
      </c>
      <c r="Q924" t="n">
        <v>0</v>
      </c>
      <c r="R924" s="2" t="inlineStr"/>
      <c r="U924">
        <f>HYPERLINK("https://klasma.github.io/Logging_2305/knärot/A 2774-2025 karta knärot.png", "A 2774-2025")</f>
        <v/>
      </c>
      <c r="V924">
        <f>HYPERLINK("https://klasma.github.io/Logging_2305/klagomål/A 2774-2025 FSC-klagomål.docx", "A 2774-2025")</f>
        <v/>
      </c>
      <c r="W924">
        <f>HYPERLINK("https://klasma.github.io/Logging_2305/klagomålsmail/A 2774-2025 FSC-klagomål mail.docx", "A 2774-2025")</f>
        <v/>
      </c>
      <c r="X924">
        <f>HYPERLINK("https://klasma.github.io/Logging_2305/tillsyn/A 2774-2025 tillsynsbegäran.docx", "A 2774-2025")</f>
        <v/>
      </c>
      <c r="Y924">
        <f>HYPERLINK("https://klasma.github.io/Logging_2305/tillsynsmail/A 2774-2025 tillsynsbegäran mail.docx", "A 2774-2025")</f>
        <v/>
      </c>
    </row>
    <row r="925" ht="15" customHeight="1">
      <c r="A925" t="inlineStr">
        <is>
          <t>A 41738-2023</t>
        </is>
      </c>
      <c r="B925" s="1" t="n">
        <v>45176.418125</v>
      </c>
      <c r="C925" s="1" t="n">
        <v>46034</v>
      </c>
      <c r="D925" t="inlineStr">
        <is>
          <t>JÄMTLANDS LÄN</t>
        </is>
      </c>
      <c r="E925" t="inlineStr">
        <is>
          <t>BRÄCKE</t>
        </is>
      </c>
      <c r="G925" t="n">
        <v>12.7</v>
      </c>
      <c r="H925" t="n">
        <v>0</v>
      </c>
      <c r="I925" t="n">
        <v>0</v>
      </c>
      <c r="J925" t="n">
        <v>0</v>
      </c>
      <c r="K925" t="n">
        <v>0</v>
      </c>
      <c r="L925" t="n">
        <v>0</v>
      </c>
      <c r="M925" t="n">
        <v>0</v>
      </c>
      <c r="N925" t="n">
        <v>0</v>
      </c>
      <c r="O925" t="n">
        <v>0</v>
      </c>
      <c r="P925" t="n">
        <v>0</v>
      </c>
      <c r="Q925" t="n">
        <v>0</v>
      </c>
      <c r="R925" s="2" t="inlineStr"/>
    </row>
    <row r="926" ht="15" customHeight="1">
      <c r="A926" t="inlineStr">
        <is>
          <t>A 47320-2025</t>
        </is>
      </c>
      <c r="B926" s="1" t="n">
        <v>45930.55255787037</v>
      </c>
      <c r="C926" s="1" t="n">
        <v>46034</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26353-2023</t>
        </is>
      </c>
      <c r="B927" s="1" t="n">
        <v>45091.94232638889</v>
      </c>
      <c r="C927" s="1" t="n">
        <v>46034</v>
      </c>
      <c r="D927" t="inlineStr">
        <is>
          <t>JÄMTLANDS LÄN</t>
        </is>
      </c>
      <c r="E927" t="inlineStr">
        <is>
          <t>BRÄCKE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47318-2025</t>
        </is>
      </c>
      <c r="B928" s="1" t="n">
        <v>45930.55251157407</v>
      </c>
      <c r="C928" s="1" t="n">
        <v>46034</v>
      </c>
      <c r="D928" t="inlineStr">
        <is>
          <t>JÄMTLANDS LÄN</t>
        </is>
      </c>
      <c r="E928" t="inlineStr">
        <is>
          <t>BRÄCKE</t>
        </is>
      </c>
      <c r="G928" t="n">
        <v>0.4</v>
      </c>
      <c r="H928" t="n">
        <v>0</v>
      </c>
      <c r="I928" t="n">
        <v>0</v>
      </c>
      <c r="J928" t="n">
        <v>0</v>
      </c>
      <c r="K928" t="n">
        <v>0</v>
      </c>
      <c r="L928" t="n">
        <v>0</v>
      </c>
      <c r="M928" t="n">
        <v>0</v>
      </c>
      <c r="N928" t="n">
        <v>0</v>
      </c>
      <c r="O928" t="n">
        <v>0</v>
      </c>
      <c r="P928" t="n">
        <v>0</v>
      </c>
      <c r="Q928" t="n">
        <v>0</v>
      </c>
      <c r="R928" s="2" t="inlineStr"/>
    </row>
    <row r="929" ht="15" customHeight="1">
      <c r="A929" t="inlineStr">
        <is>
          <t>A 47319-2025</t>
        </is>
      </c>
      <c r="B929" s="1" t="n">
        <v>45930.55253472222</v>
      </c>
      <c r="C929" s="1" t="n">
        <v>46034</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47439-2025</t>
        </is>
      </c>
      <c r="B930" s="1" t="n">
        <v>45930.63744212963</v>
      </c>
      <c r="C930" s="1" t="n">
        <v>46034</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31482-2025</t>
        </is>
      </c>
      <c r="B931" s="1" t="n">
        <v>45833.57390046296</v>
      </c>
      <c r="C931" s="1" t="n">
        <v>46034</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47474-2025</t>
        </is>
      </c>
      <c r="B932" s="1" t="n">
        <v>45930.67776620371</v>
      </c>
      <c r="C932" s="1" t="n">
        <v>46034</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27799-2024</t>
        </is>
      </c>
      <c r="B933" s="1" t="n">
        <v>45475.56605324074</v>
      </c>
      <c r="C933" s="1" t="n">
        <v>46034</v>
      </c>
      <c r="D933" t="inlineStr">
        <is>
          <t>JÄMTLANDS LÄN</t>
        </is>
      </c>
      <c r="E933" t="inlineStr">
        <is>
          <t>BRÄCKE</t>
        </is>
      </c>
      <c r="G933" t="n">
        <v>3.6</v>
      </c>
      <c r="H933" t="n">
        <v>0</v>
      </c>
      <c r="I933" t="n">
        <v>0</v>
      </c>
      <c r="J933" t="n">
        <v>0</v>
      </c>
      <c r="K933" t="n">
        <v>0</v>
      </c>
      <c r="L933" t="n">
        <v>0</v>
      </c>
      <c r="M933" t="n">
        <v>0</v>
      </c>
      <c r="N933" t="n">
        <v>0</v>
      </c>
      <c r="O933" t="n">
        <v>0</v>
      </c>
      <c r="P933" t="n">
        <v>0</v>
      </c>
      <c r="Q933" t="n">
        <v>0</v>
      </c>
      <c r="R933" s="2" t="inlineStr"/>
    </row>
    <row r="934" ht="15" customHeight="1">
      <c r="A934" t="inlineStr">
        <is>
          <t>A 47714-2025</t>
        </is>
      </c>
      <c r="B934" s="1" t="n">
        <v>45931.61553240741</v>
      </c>
      <c r="C934" s="1" t="n">
        <v>46034</v>
      </c>
      <c r="D934" t="inlineStr">
        <is>
          <t>JÄMTLANDS LÄN</t>
        </is>
      </c>
      <c r="E934" t="inlineStr">
        <is>
          <t>BRÄCKE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31794-2025</t>
        </is>
      </c>
      <c r="B935" s="1" t="n">
        <v>45834.54390046297</v>
      </c>
      <c r="C935" s="1" t="n">
        <v>46034</v>
      </c>
      <c r="D935" t="inlineStr">
        <is>
          <t>JÄMTLANDS LÄN</t>
        </is>
      </c>
      <c r="E935" t="inlineStr">
        <is>
          <t>BRÄCKE</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31819-2025</t>
        </is>
      </c>
      <c r="B936" s="1" t="n">
        <v>45834.57891203704</v>
      </c>
      <c r="C936" s="1" t="n">
        <v>46034</v>
      </c>
      <c r="D936" t="inlineStr">
        <is>
          <t>JÄMTLANDS LÄN</t>
        </is>
      </c>
      <c r="E936" t="inlineStr">
        <is>
          <t>BRÄCKE</t>
        </is>
      </c>
      <c r="F936" t="inlineStr">
        <is>
          <t>Övriga Aktiebolag</t>
        </is>
      </c>
      <c r="G936" t="n">
        <v>5.8</v>
      </c>
      <c r="H936" t="n">
        <v>0</v>
      </c>
      <c r="I936" t="n">
        <v>0</v>
      </c>
      <c r="J936" t="n">
        <v>0</v>
      </c>
      <c r="K936" t="n">
        <v>0</v>
      </c>
      <c r="L936" t="n">
        <v>0</v>
      </c>
      <c r="M936" t="n">
        <v>0</v>
      </c>
      <c r="N936" t="n">
        <v>0</v>
      </c>
      <c r="O936" t="n">
        <v>0</v>
      </c>
      <c r="P936" t="n">
        <v>0</v>
      </c>
      <c r="Q936" t="n">
        <v>0</v>
      </c>
      <c r="R936" s="2" t="inlineStr"/>
    </row>
    <row r="937" ht="15" customHeight="1">
      <c r="A937" t="inlineStr">
        <is>
          <t>A 31832-2025</t>
        </is>
      </c>
      <c r="B937" s="1" t="n">
        <v>45834.59207175926</v>
      </c>
      <c r="C937" s="1" t="n">
        <v>46034</v>
      </c>
      <c r="D937" t="inlineStr">
        <is>
          <t>JÄMTLANDS LÄN</t>
        </is>
      </c>
      <c r="E937" t="inlineStr">
        <is>
          <t>BRÄCKE</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27197-2025</t>
        </is>
      </c>
      <c r="B938" s="1" t="n">
        <v>45812.38596064815</v>
      </c>
      <c r="C938" s="1" t="n">
        <v>46034</v>
      </c>
      <c r="D938" t="inlineStr">
        <is>
          <t>JÄMTLANDS LÄN</t>
        </is>
      </c>
      <c r="E938" t="inlineStr">
        <is>
          <t>BRÄCKE</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54986-2023</t>
        </is>
      </c>
      <c r="B939" s="1" t="n">
        <v>45236.96729166667</v>
      </c>
      <c r="C939" s="1" t="n">
        <v>46034</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9970-2025</t>
        </is>
      </c>
      <c r="B940" s="1" t="n">
        <v>45719.38614583333</v>
      </c>
      <c r="C940" s="1" t="n">
        <v>46034</v>
      </c>
      <c r="D940" t="inlineStr">
        <is>
          <t>JÄMTLANDS LÄN</t>
        </is>
      </c>
      <c r="E940" t="inlineStr">
        <is>
          <t>BRÄCKE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30480-2024</t>
        </is>
      </c>
      <c r="B941" s="1" t="n">
        <v>45491.9494675926</v>
      </c>
      <c r="C941" s="1" t="n">
        <v>46034</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45691-2022</t>
        </is>
      </c>
      <c r="B942" s="1" t="n">
        <v>44845.95319444445</v>
      </c>
      <c r="C942" s="1" t="n">
        <v>46034</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8739-2025</t>
        </is>
      </c>
      <c r="B943" s="1" t="n">
        <v>45712.55239583334</v>
      </c>
      <c r="C943" s="1" t="n">
        <v>46034</v>
      </c>
      <c r="D943" t="inlineStr">
        <is>
          <t>JÄMTLANDS LÄN</t>
        </is>
      </c>
      <c r="E943" t="inlineStr">
        <is>
          <t>BRÄCKE</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31526-2024</t>
        </is>
      </c>
      <c r="B944" s="1" t="n">
        <v>45505.95956018518</v>
      </c>
      <c r="C944" s="1" t="n">
        <v>46034</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47230-2025</t>
        </is>
      </c>
      <c r="B945" s="1" t="n">
        <v>45930.40326388889</v>
      </c>
      <c r="C945" s="1" t="n">
        <v>46034</v>
      </c>
      <c r="D945" t="inlineStr">
        <is>
          <t>JÄMTLANDS LÄN</t>
        </is>
      </c>
      <c r="E945" t="inlineStr">
        <is>
          <t>BRÄCKE</t>
        </is>
      </c>
      <c r="G945" t="n">
        <v>2.1</v>
      </c>
      <c r="H945" t="n">
        <v>0</v>
      </c>
      <c r="I945" t="n">
        <v>0</v>
      </c>
      <c r="J945" t="n">
        <v>0</v>
      </c>
      <c r="K945" t="n">
        <v>0</v>
      </c>
      <c r="L945" t="n">
        <v>0</v>
      </c>
      <c r="M945" t="n">
        <v>0</v>
      </c>
      <c r="N945" t="n">
        <v>0</v>
      </c>
      <c r="O945" t="n">
        <v>0</v>
      </c>
      <c r="P945" t="n">
        <v>0</v>
      </c>
      <c r="Q945" t="n">
        <v>0</v>
      </c>
      <c r="R945" s="2" t="inlineStr"/>
    </row>
    <row r="946" ht="15" customHeight="1">
      <c r="A946" t="inlineStr">
        <is>
          <t>A 47235-2025</t>
        </is>
      </c>
      <c r="B946" s="1" t="n">
        <v>45930.40729166667</v>
      </c>
      <c r="C946" s="1" t="n">
        <v>46034</v>
      </c>
      <c r="D946" t="inlineStr">
        <is>
          <t>JÄMTLANDS LÄN</t>
        </is>
      </c>
      <c r="E946" t="inlineStr">
        <is>
          <t>BRÄCKE</t>
        </is>
      </c>
      <c r="G946" t="n">
        <v>5.8</v>
      </c>
      <c r="H946" t="n">
        <v>0</v>
      </c>
      <c r="I946" t="n">
        <v>0</v>
      </c>
      <c r="J946" t="n">
        <v>0</v>
      </c>
      <c r="K946" t="n">
        <v>0</v>
      </c>
      <c r="L946" t="n">
        <v>0</v>
      </c>
      <c r="M946" t="n">
        <v>0</v>
      </c>
      <c r="N946" t="n">
        <v>0</v>
      </c>
      <c r="O946" t="n">
        <v>0</v>
      </c>
      <c r="P946" t="n">
        <v>0</v>
      </c>
      <c r="Q946" t="n">
        <v>0</v>
      </c>
      <c r="R946" s="2" t="inlineStr"/>
    </row>
    <row r="947" ht="15" customHeight="1">
      <c r="A947" t="inlineStr">
        <is>
          <t>A 32281-2025</t>
        </is>
      </c>
      <c r="B947" s="1" t="n">
        <v>45835.67778935185</v>
      </c>
      <c r="C947" s="1" t="n">
        <v>46034</v>
      </c>
      <c r="D947" t="inlineStr">
        <is>
          <t>JÄMTLANDS LÄN</t>
        </is>
      </c>
      <c r="E947" t="inlineStr">
        <is>
          <t>BRÄCKE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24588-2025</t>
        </is>
      </c>
      <c r="B948" s="1" t="n">
        <v>45798.53157407408</v>
      </c>
      <c r="C948" s="1" t="n">
        <v>46034</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44848.95137731481</v>
      </c>
      <c r="C949" s="1" t="n">
        <v>46034</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52468-2025</t>
        </is>
      </c>
      <c r="B950" s="1" t="n">
        <v>45954.44833333333</v>
      </c>
      <c r="C950" s="1" t="n">
        <v>46034</v>
      </c>
      <c r="D950" t="inlineStr">
        <is>
          <t>JÄMTLANDS LÄN</t>
        </is>
      </c>
      <c r="E950" t="inlineStr">
        <is>
          <t>BRÄCKE</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4914-2025</t>
        </is>
      </c>
      <c r="B951" s="1" t="n">
        <v>45688.68173611111</v>
      </c>
      <c r="C951" s="1" t="n">
        <v>46034</v>
      </c>
      <c r="D951" t="inlineStr">
        <is>
          <t>JÄMTLANDS LÄN</t>
        </is>
      </c>
      <c r="E951" t="inlineStr">
        <is>
          <t>BRÄCKE</t>
        </is>
      </c>
      <c r="F951" t="inlineStr">
        <is>
          <t>SCA</t>
        </is>
      </c>
      <c r="G951" t="n">
        <v>7.3</v>
      </c>
      <c r="H951" t="n">
        <v>0</v>
      </c>
      <c r="I951" t="n">
        <v>0</v>
      </c>
      <c r="J951" t="n">
        <v>0</v>
      </c>
      <c r="K951" t="n">
        <v>0</v>
      </c>
      <c r="L951" t="n">
        <v>0</v>
      </c>
      <c r="M951" t="n">
        <v>0</v>
      </c>
      <c r="N951" t="n">
        <v>0</v>
      </c>
      <c r="O951" t="n">
        <v>0</v>
      </c>
      <c r="P951" t="n">
        <v>0</v>
      </c>
      <c r="Q951" t="n">
        <v>0</v>
      </c>
      <c r="R951" s="2" t="inlineStr"/>
    </row>
    <row r="952" ht="15" customHeight="1">
      <c r="A952" t="inlineStr">
        <is>
          <t>A 5621-2025</t>
        </is>
      </c>
      <c r="B952" s="1" t="n">
        <v>45693.6357175926</v>
      </c>
      <c r="C952" s="1" t="n">
        <v>46034</v>
      </c>
      <c r="D952" t="inlineStr">
        <is>
          <t>JÄMTLANDS LÄN</t>
        </is>
      </c>
      <c r="E952" t="inlineStr">
        <is>
          <t>BRÄCKE</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31668-2025</t>
        </is>
      </c>
      <c r="B953" s="1" t="n">
        <v>45834.36533564814</v>
      </c>
      <c r="C953" s="1" t="n">
        <v>46034</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5618-2025</t>
        </is>
      </c>
      <c r="B954" s="1" t="n">
        <v>45693.61509259259</v>
      </c>
      <c r="C954" s="1" t="n">
        <v>46034</v>
      </c>
      <c r="D954" t="inlineStr">
        <is>
          <t>JÄMTLANDS LÄN</t>
        </is>
      </c>
      <c r="E954" t="inlineStr">
        <is>
          <t>BRÄCKE</t>
        </is>
      </c>
      <c r="F954" t="inlineStr">
        <is>
          <t>SCA</t>
        </is>
      </c>
      <c r="G954" t="n">
        <v>5.8</v>
      </c>
      <c r="H954" t="n">
        <v>0</v>
      </c>
      <c r="I954" t="n">
        <v>0</v>
      </c>
      <c r="J954" t="n">
        <v>0</v>
      </c>
      <c r="K954" t="n">
        <v>0</v>
      </c>
      <c r="L954" t="n">
        <v>0</v>
      </c>
      <c r="M954" t="n">
        <v>0</v>
      </c>
      <c r="N954" t="n">
        <v>0</v>
      </c>
      <c r="O954" t="n">
        <v>0</v>
      </c>
      <c r="P954" t="n">
        <v>0</v>
      </c>
      <c r="Q954" t="n">
        <v>0</v>
      </c>
      <c r="R954" s="2" t="inlineStr"/>
    </row>
    <row r="955" ht="15" customHeight="1">
      <c r="A955" t="inlineStr">
        <is>
          <t>A 18206-2023</t>
        </is>
      </c>
      <c r="B955" s="1" t="n">
        <v>45041</v>
      </c>
      <c r="C955" s="1" t="n">
        <v>46034</v>
      </c>
      <c r="D955" t="inlineStr">
        <is>
          <t>JÄMTLANDS LÄN</t>
        </is>
      </c>
      <c r="E955" t="inlineStr">
        <is>
          <t>BRÄCKE</t>
        </is>
      </c>
      <c r="G955" t="n">
        <v>5.2</v>
      </c>
      <c r="H955" t="n">
        <v>0</v>
      </c>
      <c r="I955" t="n">
        <v>0</v>
      </c>
      <c r="J955" t="n">
        <v>0</v>
      </c>
      <c r="K955" t="n">
        <v>0</v>
      </c>
      <c r="L955" t="n">
        <v>0</v>
      </c>
      <c r="M955" t="n">
        <v>0</v>
      </c>
      <c r="N955" t="n">
        <v>0</v>
      </c>
      <c r="O955" t="n">
        <v>0</v>
      </c>
      <c r="P955" t="n">
        <v>0</v>
      </c>
      <c r="Q955" t="n">
        <v>0</v>
      </c>
      <c r="R955" s="2" t="inlineStr"/>
    </row>
    <row r="956" ht="15" customHeight="1">
      <c r="A956" t="inlineStr">
        <is>
          <t>A 12524-2025</t>
        </is>
      </c>
      <c r="B956" s="1" t="n">
        <v>45730.6775462963</v>
      </c>
      <c r="C956" s="1" t="n">
        <v>46034</v>
      </c>
      <c r="D956" t="inlineStr">
        <is>
          <t>JÄMTLANDS LÄN</t>
        </is>
      </c>
      <c r="E956" t="inlineStr">
        <is>
          <t>BRÄCKE</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12553-2025</t>
        </is>
      </c>
      <c r="B957" s="1" t="n">
        <v>45731.34431712963</v>
      </c>
      <c r="C957" s="1" t="n">
        <v>46034</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32149-2025</t>
        </is>
      </c>
      <c r="B958" s="1" t="n">
        <v>45835.53086805555</v>
      </c>
      <c r="C958" s="1" t="n">
        <v>46034</v>
      </c>
      <c r="D958" t="inlineStr">
        <is>
          <t>JÄMTLANDS LÄN</t>
        </is>
      </c>
      <c r="E958" t="inlineStr">
        <is>
          <t>BRÄCKE</t>
        </is>
      </c>
      <c r="G958" t="n">
        <v>4.1</v>
      </c>
      <c r="H958" t="n">
        <v>0</v>
      </c>
      <c r="I958" t="n">
        <v>0</v>
      </c>
      <c r="J958" t="n">
        <v>0</v>
      </c>
      <c r="K958" t="n">
        <v>0</v>
      </c>
      <c r="L958" t="n">
        <v>0</v>
      </c>
      <c r="M958" t="n">
        <v>0</v>
      </c>
      <c r="N958" t="n">
        <v>0</v>
      </c>
      <c r="O958" t="n">
        <v>0</v>
      </c>
      <c r="P958" t="n">
        <v>0</v>
      </c>
      <c r="Q958" t="n">
        <v>0</v>
      </c>
      <c r="R958" s="2" t="inlineStr"/>
    </row>
    <row r="959" ht="15" customHeight="1">
      <c r="A959" t="inlineStr">
        <is>
          <t>A 47873-2025</t>
        </is>
      </c>
      <c r="B959" s="1" t="n">
        <v>45932.4528587963</v>
      </c>
      <c r="C959" s="1" t="n">
        <v>46034</v>
      </c>
      <c r="D959" t="inlineStr">
        <is>
          <t>JÄMTLANDS LÄN</t>
        </is>
      </c>
      <c r="E959" t="inlineStr">
        <is>
          <t>BRÄCKE</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50514-2023</t>
        </is>
      </c>
      <c r="B960" s="1" t="n">
        <v>45216</v>
      </c>
      <c r="C960" s="1" t="n">
        <v>46034</v>
      </c>
      <c r="D960" t="inlineStr">
        <is>
          <t>JÄMTLANDS LÄN</t>
        </is>
      </c>
      <c r="E960" t="inlineStr">
        <is>
          <t>BRÄCKE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32146-2025</t>
        </is>
      </c>
      <c r="B961" s="1" t="n">
        <v>45835.52730324074</v>
      </c>
      <c r="C961" s="1" t="n">
        <v>46034</v>
      </c>
      <c r="D961" t="inlineStr">
        <is>
          <t>JÄMTLANDS LÄN</t>
        </is>
      </c>
      <c r="E961" t="inlineStr">
        <is>
          <t>BRÄCKE</t>
        </is>
      </c>
      <c r="G961" t="n">
        <v>9.5</v>
      </c>
      <c r="H961" t="n">
        <v>0</v>
      </c>
      <c r="I961" t="n">
        <v>0</v>
      </c>
      <c r="J961" t="n">
        <v>0</v>
      </c>
      <c r="K961" t="n">
        <v>0</v>
      </c>
      <c r="L961" t="n">
        <v>0</v>
      </c>
      <c r="M961" t="n">
        <v>0</v>
      </c>
      <c r="N961" t="n">
        <v>0</v>
      </c>
      <c r="O961" t="n">
        <v>0</v>
      </c>
      <c r="P961" t="n">
        <v>0</v>
      </c>
      <c r="Q961" t="n">
        <v>0</v>
      </c>
      <c r="R961" s="2" t="inlineStr"/>
    </row>
    <row r="962" ht="15" customHeight="1">
      <c r="A962" t="inlineStr">
        <is>
          <t>A 47868-2025</t>
        </is>
      </c>
      <c r="B962" s="1" t="n">
        <v>45932.44094907407</v>
      </c>
      <c r="C962" s="1" t="n">
        <v>46034</v>
      </c>
      <c r="D962" t="inlineStr">
        <is>
          <t>JÄMTLANDS LÄN</t>
        </is>
      </c>
      <c r="E962" t="inlineStr">
        <is>
          <t>BRÄCKE</t>
        </is>
      </c>
      <c r="F962" t="inlineStr">
        <is>
          <t>Kyrkan</t>
        </is>
      </c>
      <c r="G962" t="n">
        <v>5.9</v>
      </c>
      <c r="H962" t="n">
        <v>0</v>
      </c>
      <c r="I962" t="n">
        <v>0</v>
      </c>
      <c r="J962" t="n">
        <v>0</v>
      </c>
      <c r="K962" t="n">
        <v>0</v>
      </c>
      <c r="L962" t="n">
        <v>0</v>
      </c>
      <c r="M962" t="n">
        <v>0</v>
      </c>
      <c r="N962" t="n">
        <v>0</v>
      </c>
      <c r="O962" t="n">
        <v>0</v>
      </c>
      <c r="P962" t="n">
        <v>0</v>
      </c>
      <c r="Q962" t="n">
        <v>0</v>
      </c>
      <c r="R962" s="2" t="inlineStr"/>
    </row>
    <row r="963" ht="15" customHeight="1">
      <c r="A963" t="inlineStr">
        <is>
          <t>A 52771-2025</t>
        </is>
      </c>
      <c r="B963" s="1" t="n">
        <v>45957.41019675926</v>
      </c>
      <c r="C963" s="1" t="n">
        <v>46034</v>
      </c>
      <c r="D963" t="inlineStr">
        <is>
          <t>JÄMTLANDS LÄN</t>
        </is>
      </c>
      <c r="E963" t="inlineStr">
        <is>
          <t>BRÄCKE</t>
        </is>
      </c>
      <c r="G963" t="n">
        <v>4.5</v>
      </c>
      <c r="H963" t="n">
        <v>0</v>
      </c>
      <c r="I963" t="n">
        <v>0</v>
      </c>
      <c r="J963" t="n">
        <v>0</v>
      </c>
      <c r="K963" t="n">
        <v>0</v>
      </c>
      <c r="L963" t="n">
        <v>0</v>
      </c>
      <c r="M963" t="n">
        <v>0</v>
      </c>
      <c r="N963" t="n">
        <v>0</v>
      </c>
      <c r="O963" t="n">
        <v>0</v>
      </c>
      <c r="P963" t="n">
        <v>0</v>
      </c>
      <c r="Q963" t="n">
        <v>0</v>
      </c>
      <c r="R963" s="2" t="inlineStr"/>
    </row>
    <row r="964" ht="15" customHeight="1">
      <c r="A964" t="inlineStr">
        <is>
          <t>A 31806-2025</t>
        </is>
      </c>
      <c r="B964" s="1" t="n">
        <v>45834.55449074074</v>
      </c>
      <c r="C964" s="1" t="n">
        <v>46034</v>
      </c>
      <c r="D964" t="inlineStr">
        <is>
          <t>JÄMTLANDS LÄN</t>
        </is>
      </c>
      <c r="E964" t="inlineStr">
        <is>
          <t>BRÄCKE</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50515-2023</t>
        </is>
      </c>
      <c r="B965" s="1" t="n">
        <v>45216</v>
      </c>
      <c r="C965" s="1" t="n">
        <v>46034</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31728-2025</t>
        </is>
      </c>
      <c r="B966" s="1" t="n">
        <v>45834.46925925926</v>
      </c>
      <c r="C966" s="1" t="n">
        <v>46034</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31962-2025</t>
        </is>
      </c>
      <c r="B967" s="1" t="n">
        <v>45835.34466435185</v>
      </c>
      <c r="C967" s="1" t="n">
        <v>46034</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31749-2025</t>
        </is>
      </c>
      <c r="B968" s="1" t="n">
        <v>45834.48164351852</v>
      </c>
      <c r="C968" s="1" t="n">
        <v>46034</v>
      </c>
      <c r="D968" t="inlineStr">
        <is>
          <t>JÄMTLANDS LÄN</t>
        </is>
      </c>
      <c r="E968" t="inlineStr">
        <is>
          <t>BRÄCKE</t>
        </is>
      </c>
      <c r="F968" t="inlineStr">
        <is>
          <t>Övriga Aktiebolag</t>
        </is>
      </c>
      <c r="G968" t="n">
        <v>12.5</v>
      </c>
      <c r="H968" t="n">
        <v>0</v>
      </c>
      <c r="I968" t="n">
        <v>0</v>
      </c>
      <c r="J968" t="n">
        <v>0</v>
      </c>
      <c r="K968" t="n">
        <v>0</v>
      </c>
      <c r="L968" t="n">
        <v>0</v>
      </c>
      <c r="M968" t="n">
        <v>0</v>
      </c>
      <c r="N968" t="n">
        <v>0</v>
      </c>
      <c r="O968" t="n">
        <v>0</v>
      </c>
      <c r="P968" t="n">
        <v>0</v>
      </c>
      <c r="Q968" t="n">
        <v>0</v>
      </c>
      <c r="R968" s="2" t="inlineStr"/>
    </row>
    <row r="969" ht="15" customHeight="1">
      <c r="A969" t="inlineStr">
        <is>
          <t>A 32272-2025</t>
        </is>
      </c>
      <c r="B969" s="1" t="n">
        <v>45835.6568287037</v>
      </c>
      <c r="C969" s="1" t="n">
        <v>46034</v>
      </c>
      <c r="D969" t="inlineStr">
        <is>
          <t>JÄMTLANDS LÄN</t>
        </is>
      </c>
      <c r="E969" t="inlineStr">
        <is>
          <t>BRÄCKE</t>
        </is>
      </c>
      <c r="F969" t="inlineStr">
        <is>
          <t>SCA</t>
        </is>
      </c>
      <c r="G969" t="n">
        <v>7.7</v>
      </c>
      <c r="H969" t="n">
        <v>0</v>
      </c>
      <c r="I969" t="n">
        <v>0</v>
      </c>
      <c r="J969" t="n">
        <v>0</v>
      </c>
      <c r="K969" t="n">
        <v>0</v>
      </c>
      <c r="L969" t="n">
        <v>0</v>
      </c>
      <c r="M969" t="n">
        <v>0</v>
      </c>
      <c r="N969" t="n">
        <v>0</v>
      </c>
      <c r="O969" t="n">
        <v>0</v>
      </c>
      <c r="P969" t="n">
        <v>0</v>
      </c>
      <c r="Q969" t="n">
        <v>0</v>
      </c>
      <c r="R969" s="2" t="inlineStr"/>
    </row>
    <row r="970" ht="15" customHeight="1">
      <c r="A970" t="inlineStr">
        <is>
          <t>A 31696-2025</t>
        </is>
      </c>
      <c r="B970" s="1" t="n">
        <v>45834.40726851852</v>
      </c>
      <c r="C970" s="1" t="n">
        <v>46034</v>
      </c>
      <c r="D970" t="inlineStr">
        <is>
          <t>JÄMTLANDS LÄN</t>
        </is>
      </c>
      <c r="E970" t="inlineStr">
        <is>
          <t>BRÄCKE</t>
        </is>
      </c>
      <c r="F970" t="inlineStr">
        <is>
          <t>SCA</t>
        </is>
      </c>
      <c r="G970" t="n">
        <v>15.8</v>
      </c>
      <c r="H970" t="n">
        <v>0</v>
      </c>
      <c r="I970" t="n">
        <v>0</v>
      </c>
      <c r="J970" t="n">
        <v>0</v>
      </c>
      <c r="K970" t="n">
        <v>0</v>
      </c>
      <c r="L970" t="n">
        <v>0</v>
      </c>
      <c r="M970" t="n">
        <v>0</v>
      </c>
      <c r="N970" t="n">
        <v>0</v>
      </c>
      <c r="O970" t="n">
        <v>0</v>
      </c>
      <c r="P970" t="n">
        <v>0</v>
      </c>
      <c r="Q970" t="n">
        <v>0</v>
      </c>
      <c r="R970" s="2" t="inlineStr"/>
    </row>
    <row r="971" ht="15" customHeight="1">
      <c r="A971" t="inlineStr">
        <is>
          <t>A 52991-2025</t>
        </is>
      </c>
      <c r="B971" s="1" t="n">
        <v>45957.71960648148</v>
      </c>
      <c r="C971" s="1" t="n">
        <v>46034</v>
      </c>
      <c r="D971" t="inlineStr">
        <is>
          <t>JÄMTLANDS LÄN</t>
        </is>
      </c>
      <c r="E971" t="inlineStr">
        <is>
          <t>BRÄCKE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44855-2025</t>
        </is>
      </c>
      <c r="B972" s="1" t="n">
        <v>45918</v>
      </c>
      <c r="C972" s="1" t="n">
        <v>46034</v>
      </c>
      <c r="D972" t="inlineStr">
        <is>
          <t>JÄMTLANDS LÄN</t>
        </is>
      </c>
      <c r="E972" t="inlineStr">
        <is>
          <t>BRÄCKE</t>
        </is>
      </c>
      <c r="G972" t="n">
        <v>2</v>
      </c>
      <c r="H972" t="n">
        <v>0</v>
      </c>
      <c r="I972" t="n">
        <v>0</v>
      </c>
      <c r="J972" t="n">
        <v>0</v>
      </c>
      <c r="K972" t="n">
        <v>0</v>
      </c>
      <c r="L972" t="n">
        <v>0</v>
      </c>
      <c r="M972" t="n">
        <v>0</v>
      </c>
      <c r="N972" t="n">
        <v>0</v>
      </c>
      <c r="O972" t="n">
        <v>0</v>
      </c>
      <c r="P972" t="n">
        <v>0</v>
      </c>
      <c r="Q972" t="n">
        <v>0</v>
      </c>
      <c r="R972" s="2" t="inlineStr"/>
    </row>
    <row r="973" ht="15" customHeight="1">
      <c r="A973" t="inlineStr">
        <is>
          <t>A 48177-2025</t>
        </is>
      </c>
      <c r="B973" s="1" t="n">
        <v>45933.44846064815</v>
      </c>
      <c r="C973" s="1" t="n">
        <v>46034</v>
      </c>
      <c r="D973" t="inlineStr">
        <is>
          <t>JÄMTLANDS LÄN</t>
        </is>
      </c>
      <c r="E973" t="inlineStr">
        <is>
          <t>BRÄCKE</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60660-2025</t>
        </is>
      </c>
      <c r="B974" s="1" t="n">
        <v>45996.48990740741</v>
      </c>
      <c r="C974" s="1" t="n">
        <v>46034</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60769-2025</t>
        </is>
      </c>
      <c r="B975" s="1" t="n">
        <v>45999.38702546297</v>
      </c>
      <c r="C975" s="1" t="n">
        <v>46034</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32697-2025</t>
        </is>
      </c>
      <c r="B976" s="1" t="n">
        <v>45839.34427083333</v>
      </c>
      <c r="C976" s="1" t="n">
        <v>46034</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47826-2025</t>
        </is>
      </c>
      <c r="B977" s="1" t="n">
        <v>45932.34487268519</v>
      </c>
      <c r="C977" s="1" t="n">
        <v>46034</v>
      </c>
      <c r="D977" t="inlineStr">
        <is>
          <t>JÄMTLANDS LÄN</t>
        </is>
      </c>
      <c r="E977" t="inlineStr">
        <is>
          <t>BRÄCKE</t>
        </is>
      </c>
      <c r="G977" t="n">
        <v>1.3</v>
      </c>
      <c r="H977" t="n">
        <v>0</v>
      </c>
      <c r="I977" t="n">
        <v>0</v>
      </c>
      <c r="J977" t="n">
        <v>0</v>
      </c>
      <c r="K977" t="n">
        <v>0</v>
      </c>
      <c r="L977" t="n">
        <v>0</v>
      </c>
      <c r="M977" t="n">
        <v>0</v>
      </c>
      <c r="N977" t="n">
        <v>0</v>
      </c>
      <c r="O977" t="n">
        <v>0</v>
      </c>
      <c r="P977" t="n">
        <v>0</v>
      </c>
      <c r="Q977" t="n">
        <v>0</v>
      </c>
      <c r="R977" s="2" t="inlineStr"/>
    </row>
    <row r="978" ht="15" customHeight="1">
      <c r="A978" t="inlineStr">
        <is>
          <t>A 48067-2025</t>
        </is>
      </c>
      <c r="B978" s="1" t="n">
        <v>45932.69829861111</v>
      </c>
      <c r="C978" s="1" t="n">
        <v>46034</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45936.56836805555</v>
      </c>
      <c r="C979" s="1" t="n">
        <v>46034</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22841-2025</t>
        </is>
      </c>
      <c r="B980" s="1" t="n">
        <v>45789</v>
      </c>
      <c r="C980" s="1" t="n">
        <v>46034</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row>
    <row r="981" ht="15" customHeight="1">
      <c r="A981" t="inlineStr">
        <is>
          <t>A 55478-2024</t>
        </is>
      </c>
      <c r="B981" s="1" t="n">
        <v>45622.43795138889</v>
      </c>
      <c r="C981" s="1" t="n">
        <v>46034</v>
      </c>
      <c r="D981" t="inlineStr">
        <is>
          <t>JÄMTLANDS LÄN</t>
        </is>
      </c>
      <c r="E981" t="inlineStr">
        <is>
          <t>BRÄCKE</t>
        </is>
      </c>
      <c r="G981" t="n">
        <v>5.5</v>
      </c>
      <c r="H981" t="n">
        <v>0</v>
      </c>
      <c r="I981" t="n">
        <v>0</v>
      </c>
      <c r="J981" t="n">
        <v>0</v>
      </c>
      <c r="K981" t="n">
        <v>0</v>
      </c>
      <c r="L981" t="n">
        <v>0</v>
      </c>
      <c r="M981" t="n">
        <v>0</v>
      </c>
      <c r="N981" t="n">
        <v>0</v>
      </c>
      <c r="O981" t="n">
        <v>0</v>
      </c>
      <c r="P981" t="n">
        <v>0</v>
      </c>
      <c r="Q981" t="n">
        <v>0</v>
      </c>
      <c r="R981" s="2" t="inlineStr"/>
    </row>
    <row r="982" ht="15" customHeight="1">
      <c r="A982" t="inlineStr">
        <is>
          <t>A 48706-2025</t>
        </is>
      </c>
      <c r="B982" s="1" t="n">
        <v>45936.62423611111</v>
      </c>
      <c r="C982" s="1" t="n">
        <v>46034</v>
      </c>
      <c r="D982" t="inlineStr">
        <is>
          <t>JÄMTLANDS LÄN</t>
        </is>
      </c>
      <c r="E982" t="inlineStr">
        <is>
          <t>BRÄCKE</t>
        </is>
      </c>
      <c r="F982" t="inlineStr">
        <is>
          <t>Övriga Aktiebolag</t>
        </is>
      </c>
      <c r="G982" t="n">
        <v>3.4</v>
      </c>
      <c r="H982" t="n">
        <v>0</v>
      </c>
      <c r="I982" t="n">
        <v>0</v>
      </c>
      <c r="J982" t="n">
        <v>0</v>
      </c>
      <c r="K982" t="n">
        <v>0</v>
      </c>
      <c r="L982" t="n">
        <v>0</v>
      </c>
      <c r="M982" t="n">
        <v>0</v>
      </c>
      <c r="N982" t="n">
        <v>0</v>
      </c>
      <c r="O982" t="n">
        <v>0</v>
      </c>
      <c r="P982" t="n">
        <v>0</v>
      </c>
      <c r="Q982" t="n">
        <v>0</v>
      </c>
      <c r="R982" s="2" t="inlineStr"/>
    </row>
    <row r="983" ht="15" customHeight="1">
      <c r="A983" t="inlineStr">
        <is>
          <t>A 32851-2025</t>
        </is>
      </c>
      <c r="B983" s="1" t="n">
        <v>45839.57388888889</v>
      </c>
      <c r="C983" s="1" t="n">
        <v>46034</v>
      </c>
      <c r="D983" t="inlineStr">
        <is>
          <t>JÄMTLANDS LÄN</t>
        </is>
      </c>
      <c r="E983" t="inlineStr">
        <is>
          <t>BRÄCKE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52476-2025</t>
        </is>
      </c>
      <c r="B984" s="1" t="n">
        <v>45954.46921296296</v>
      </c>
      <c r="C984" s="1" t="n">
        <v>46034</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3840-2024</t>
        </is>
      </c>
      <c r="B985" s="1" t="n">
        <v>45321.94605324074</v>
      </c>
      <c r="C985" s="1" t="n">
        <v>46034</v>
      </c>
      <c r="D985" t="inlineStr">
        <is>
          <t>JÄMTLANDS LÄN</t>
        </is>
      </c>
      <c r="E985" t="inlineStr">
        <is>
          <t>BRÄCKE</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32443-2025</t>
        </is>
      </c>
      <c r="B986" s="1" t="n">
        <v>45838.38613425926</v>
      </c>
      <c r="C986" s="1" t="n">
        <v>46034</v>
      </c>
      <c r="D986" t="inlineStr">
        <is>
          <t>JÄMTLANDS LÄN</t>
        </is>
      </c>
      <c r="E986" t="inlineStr">
        <is>
          <t>BRÄCKE</t>
        </is>
      </c>
      <c r="G986" t="n">
        <v>4.7</v>
      </c>
      <c r="H986" t="n">
        <v>0</v>
      </c>
      <c r="I986" t="n">
        <v>0</v>
      </c>
      <c r="J986" t="n">
        <v>0</v>
      </c>
      <c r="K986" t="n">
        <v>0</v>
      </c>
      <c r="L986" t="n">
        <v>0</v>
      </c>
      <c r="M986" t="n">
        <v>0</v>
      </c>
      <c r="N986" t="n">
        <v>0</v>
      </c>
      <c r="O986" t="n">
        <v>0</v>
      </c>
      <c r="P986" t="n">
        <v>0</v>
      </c>
      <c r="Q986" t="n">
        <v>0</v>
      </c>
      <c r="R986" s="2" t="inlineStr"/>
    </row>
    <row r="987" ht="15" customHeight="1">
      <c r="A987" t="inlineStr">
        <is>
          <t>A 32659-2025</t>
        </is>
      </c>
      <c r="B987" s="1" t="n">
        <v>45838.67873842592</v>
      </c>
      <c r="C987" s="1" t="n">
        <v>46034</v>
      </c>
      <c r="D987" t="inlineStr">
        <is>
          <t>JÄMTLANDS LÄN</t>
        </is>
      </c>
      <c r="E987" t="inlineStr">
        <is>
          <t>BRÄCKE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32913-2025</t>
        </is>
      </c>
      <c r="B988" s="1" t="n">
        <v>45839.63605324074</v>
      </c>
      <c r="C988" s="1" t="n">
        <v>46034</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32596-2025</t>
        </is>
      </c>
      <c r="B989" s="1" t="n">
        <v>45838.61584490741</v>
      </c>
      <c r="C989" s="1" t="n">
        <v>46034</v>
      </c>
      <c r="D989" t="inlineStr">
        <is>
          <t>JÄMTLANDS LÄN</t>
        </is>
      </c>
      <c r="E989" t="inlineStr">
        <is>
          <t>BRÄCKE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54789-2023</t>
        </is>
      </c>
      <c r="B990" s="1" t="n">
        <v>45236.48659722223</v>
      </c>
      <c r="C990" s="1" t="n">
        <v>46034</v>
      </c>
      <c r="D990" t="inlineStr">
        <is>
          <t>JÄMTLANDS LÄN</t>
        </is>
      </c>
      <c r="E990" t="inlineStr">
        <is>
          <t>BRÄCKE</t>
        </is>
      </c>
      <c r="G990" t="n">
        <v>7.1</v>
      </c>
      <c r="H990" t="n">
        <v>0</v>
      </c>
      <c r="I990" t="n">
        <v>0</v>
      </c>
      <c r="J990" t="n">
        <v>0</v>
      </c>
      <c r="K990" t="n">
        <v>0</v>
      </c>
      <c r="L990" t="n">
        <v>0</v>
      </c>
      <c r="M990" t="n">
        <v>0</v>
      </c>
      <c r="N990" t="n">
        <v>0</v>
      </c>
      <c r="O990" t="n">
        <v>0</v>
      </c>
      <c r="P990" t="n">
        <v>0</v>
      </c>
      <c r="Q990" t="n">
        <v>0</v>
      </c>
      <c r="R990" s="2" t="inlineStr"/>
    </row>
    <row r="991" ht="15" customHeight="1">
      <c r="A991" t="inlineStr">
        <is>
          <t>A 48562-2025</t>
        </is>
      </c>
      <c r="B991" s="1" t="n">
        <v>45936.43636574074</v>
      </c>
      <c r="C991" s="1" t="n">
        <v>46034</v>
      </c>
      <c r="D991" t="inlineStr">
        <is>
          <t>JÄMTLANDS LÄN</t>
        </is>
      </c>
      <c r="E991" t="inlineStr">
        <is>
          <t>BRÄCKE</t>
        </is>
      </c>
      <c r="F991" t="inlineStr">
        <is>
          <t>Övriga Aktiebolag</t>
        </is>
      </c>
      <c r="G991" t="n">
        <v>6.6</v>
      </c>
      <c r="H991" t="n">
        <v>0</v>
      </c>
      <c r="I991" t="n">
        <v>0</v>
      </c>
      <c r="J991" t="n">
        <v>0</v>
      </c>
      <c r="K991" t="n">
        <v>0</v>
      </c>
      <c r="L991" t="n">
        <v>0</v>
      </c>
      <c r="M991" t="n">
        <v>0</v>
      </c>
      <c r="N991" t="n">
        <v>0</v>
      </c>
      <c r="O991" t="n">
        <v>0</v>
      </c>
      <c r="P991" t="n">
        <v>0</v>
      </c>
      <c r="Q991" t="n">
        <v>0</v>
      </c>
      <c r="R991" s="2" t="inlineStr"/>
    </row>
    <row r="992" ht="15" customHeight="1">
      <c r="A992" t="inlineStr">
        <is>
          <t>A 49292-2025</t>
        </is>
      </c>
      <c r="B992" s="1" t="n">
        <v>45938.53203703704</v>
      </c>
      <c r="C992" s="1" t="n">
        <v>46034</v>
      </c>
      <c r="D992" t="inlineStr">
        <is>
          <t>JÄMTLANDS LÄN</t>
        </is>
      </c>
      <c r="E992" t="inlineStr">
        <is>
          <t>BRÄCKE</t>
        </is>
      </c>
      <c r="G992" t="n">
        <v>4.4</v>
      </c>
      <c r="H992" t="n">
        <v>0</v>
      </c>
      <c r="I992" t="n">
        <v>0</v>
      </c>
      <c r="J992" t="n">
        <v>0</v>
      </c>
      <c r="K992" t="n">
        <v>0</v>
      </c>
      <c r="L992" t="n">
        <v>0</v>
      </c>
      <c r="M992" t="n">
        <v>0</v>
      </c>
      <c r="N992" t="n">
        <v>0</v>
      </c>
      <c r="O992" t="n">
        <v>0</v>
      </c>
      <c r="P992" t="n">
        <v>0</v>
      </c>
      <c r="Q992" t="n">
        <v>0</v>
      </c>
      <c r="R992" s="2" t="inlineStr"/>
    </row>
    <row r="993" ht="15" customHeight="1">
      <c r="A993" t="inlineStr">
        <is>
          <t>A 48851-2025</t>
        </is>
      </c>
      <c r="B993" s="1" t="n">
        <v>45937.42969907408</v>
      </c>
      <c r="C993" s="1" t="n">
        <v>46034</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49260-2025</t>
        </is>
      </c>
      <c r="B994" s="1" t="n">
        <v>45938.49702546297</v>
      </c>
      <c r="C994" s="1" t="n">
        <v>46034</v>
      </c>
      <c r="D994" t="inlineStr">
        <is>
          <t>JÄMTLANDS LÄN</t>
        </is>
      </c>
      <c r="E994" t="inlineStr">
        <is>
          <t>BRÄCKE</t>
        </is>
      </c>
      <c r="G994" t="n">
        <v>4.2</v>
      </c>
      <c r="H994" t="n">
        <v>0</v>
      </c>
      <c r="I994" t="n">
        <v>0</v>
      </c>
      <c r="J994" t="n">
        <v>0</v>
      </c>
      <c r="K994" t="n">
        <v>0</v>
      </c>
      <c r="L994" t="n">
        <v>0</v>
      </c>
      <c r="M994" t="n">
        <v>0</v>
      </c>
      <c r="N994" t="n">
        <v>0</v>
      </c>
      <c r="O994" t="n">
        <v>0</v>
      </c>
      <c r="P994" t="n">
        <v>0</v>
      </c>
      <c r="Q994" t="n">
        <v>0</v>
      </c>
      <c r="R994" s="2" t="inlineStr"/>
    </row>
    <row r="995" ht="15" customHeight="1">
      <c r="A995" t="inlineStr">
        <is>
          <t>A 33133-2025</t>
        </is>
      </c>
      <c r="B995" s="1" t="n">
        <v>45840.5050462963</v>
      </c>
      <c r="C995" s="1" t="n">
        <v>46034</v>
      </c>
      <c r="D995" t="inlineStr">
        <is>
          <t>JÄMTLANDS LÄN</t>
        </is>
      </c>
      <c r="E995" t="inlineStr">
        <is>
          <t>BRÄCKE</t>
        </is>
      </c>
      <c r="G995" t="n">
        <v>3.8</v>
      </c>
      <c r="H995" t="n">
        <v>0</v>
      </c>
      <c r="I995" t="n">
        <v>0</v>
      </c>
      <c r="J995" t="n">
        <v>0</v>
      </c>
      <c r="K995" t="n">
        <v>0</v>
      </c>
      <c r="L995" t="n">
        <v>0</v>
      </c>
      <c r="M995" t="n">
        <v>0</v>
      </c>
      <c r="N995" t="n">
        <v>0</v>
      </c>
      <c r="O995" t="n">
        <v>0</v>
      </c>
      <c r="P995" t="n">
        <v>0</v>
      </c>
      <c r="Q995" t="n">
        <v>0</v>
      </c>
      <c r="R995" s="2" t="inlineStr"/>
    </row>
    <row r="996" ht="15" customHeight="1">
      <c r="A996" t="inlineStr">
        <is>
          <t>A 45028-2023</t>
        </is>
      </c>
      <c r="B996" s="1" t="n">
        <v>45190</v>
      </c>
      <c r="C996" s="1" t="n">
        <v>46034</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48982-2025</t>
        </is>
      </c>
      <c r="B997" s="1" t="n">
        <v>45937.57377314815</v>
      </c>
      <c r="C997" s="1" t="n">
        <v>46034</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3862-2025</t>
        </is>
      </c>
      <c r="B998" s="1" t="n">
        <v>45684.31023148148</v>
      </c>
      <c r="C998" s="1" t="n">
        <v>46034</v>
      </c>
      <c r="D998" t="inlineStr">
        <is>
          <t>JÄMTLANDS LÄN</t>
        </is>
      </c>
      <c r="E998" t="inlineStr">
        <is>
          <t>BRÄCKE</t>
        </is>
      </c>
      <c r="G998" t="n">
        <v>7</v>
      </c>
      <c r="H998" t="n">
        <v>0</v>
      </c>
      <c r="I998" t="n">
        <v>0</v>
      </c>
      <c r="J998" t="n">
        <v>0</v>
      </c>
      <c r="K998" t="n">
        <v>0</v>
      </c>
      <c r="L998" t="n">
        <v>0</v>
      </c>
      <c r="M998" t="n">
        <v>0</v>
      </c>
      <c r="N998" t="n">
        <v>0</v>
      </c>
      <c r="O998" t="n">
        <v>0</v>
      </c>
      <c r="P998" t="n">
        <v>0</v>
      </c>
      <c r="Q998" t="n">
        <v>0</v>
      </c>
      <c r="R998" s="2" t="inlineStr"/>
    </row>
    <row r="999" ht="15" customHeight="1">
      <c r="A999" t="inlineStr">
        <is>
          <t>A 49276-2025</t>
        </is>
      </c>
      <c r="B999" s="1" t="n">
        <v>45938.50738425926</v>
      </c>
      <c r="C999" s="1" t="n">
        <v>46034</v>
      </c>
      <c r="D999" t="inlineStr">
        <is>
          <t>JÄMTLANDS LÄN</t>
        </is>
      </c>
      <c r="E999" t="inlineStr">
        <is>
          <t>BRÄCKE</t>
        </is>
      </c>
      <c r="G999" t="n">
        <v>1.7</v>
      </c>
      <c r="H999" t="n">
        <v>0</v>
      </c>
      <c r="I999" t="n">
        <v>0</v>
      </c>
      <c r="J999" t="n">
        <v>0</v>
      </c>
      <c r="K999" t="n">
        <v>0</v>
      </c>
      <c r="L999" t="n">
        <v>0</v>
      </c>
      <c r="M999" t="n">
        <v>0</v>
      </c>
      <c r="N999" t="n">
        <v>0</v>
      </c>
      <c r="O999" t="n">
        <v>0</v>
      </c>
      <c r="P999" t="n">
        <v>0</v>
      </c>
      <c r="Q999" t="n">
        <v>0</v>
      </c>
      <c r="R999" s="2" t="inlineStr"/>
    </row>
    <row r="1000" ht="15" customHeight="1">
      <c r="A1000" t="inlineStr">
        <is>
          <t>A 49255-2025</t>
        </is>
      </c>
      <c r="B1000" s="1" t="n">
        <v>45938.49164351852</v>
      </c>
      <c r="C1000" s="1" t="n">
        <v>46034</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33275-2025</t>
        </is>
      </c>
      <c r="B1001" s="1" t="n">
        <v>45840.69829861111</v>
      </c>
      <c r="C1001" s="1" t="n">
        <v>46034</v>
      </c>
      <c r="D1001" t="inlineStr">
        <is>
          <t>JÄMTLANDS LÄN</t>
        </is>
      </c>
      <c r="E1001" t="inlineStr">
        <is>
          <t>BRÄCKE</t>
        </is>
      </c>
      <c r="F1001" t="inlineStr">
        <is>
          <t>SCA</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29262-2024</t>
        </is>
      </c>
      <c r="B1002" s="1" t="n">
        <v>45482.9487962963</v>
      </c>
      <c r="C1002" s="1" t="n">
        <v>46034</v>
      </c>
      <c r="D1002" t="inlineStr">
        <is>
          <t>JÄMTLANDS LÄN</t>
        </is>
      </c>
      <c r="E1002" t="inlineStr">
        <is>
          <t>BRÄCKE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49666-2025</t>
        </is>
      </c>
      <c r="B1003" s="1" t="n">
        <v>45939.63657407407</v>
      </c>
      <c r="C1003" s="1" t="n">
        <v>46034</v>
      </c>
      <c r="D1003" t="inlineStr">
        <is>
          <t>JÄMTLANDS LÄN</t>
        </is>
      </c>
      <c r="E1003" t="inlineStr">
        <is>
          <t>BRÄCKE</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44403-2023</t>
        </is>
      </c>
      <c r="B1004" s="1" t="n">
        <v>45188.94601851852</v>
      </c>
      <c r="C1004" s="1" t="n">
        <v>46034</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25895-2023</t>
        </is>
      </c>
      <c r="B1005" s="1" t="n">
        <v>45085</v>
      </c>
      <c r="C1005" s="1" t="n">
        <v>46034</v>
      </c>
      <c r="D1005" t="inlineStr">
        <is>
          <t>JÄMTLANDS LÄN</t>
        </is>
      </c>
      <c r="E1005" t="inlineStr">
        <is>
          <t>BRÄCKE</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4857-2025</t>
        </is>
      </c>
      <c r="B1006" s="1" t="n">
        <v>45688.67418981482</v>
      </c>
      <c r="C1006" s="1" t="n">
        <v>46034</v>
      </c>
      <c r="D1006" t="inlineStr">
        <is>
          <t>JÄMTLANDS LÄN</t>
        </is>
      </c>
      <c r="E1006" t="inlineStr">
        <is>
          <t>BRÄCKE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49046-2025</t>
        </is>
      </c>
      <c r="B1007" s="1" t="n">
        <v>45937.63693287037</v>
      </c>
      <c r="C1007" s="1" t="n">
        <v>46034</v>
      </c>
      <c r="D1007" t="inlineStr">
        <is>
          <t>JÄMTLANDS LÄN</t>
        </is>
      </c>
      <c r="E1007" t="inlineStr">
        <is>
          <t>BRÄCKE</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33648-2025</t>
        </is>
      </c>
      <c r="B1008" s="1" t="n">
        <v>45841.65681712963</v>
      </c>
      <c r="C1008" s="1" t="n">
        <v>46034</v>
      </c>
      <c r="D1008" t="inlineStr">
        <is>
          <t>JÄMTLANDS LÄN</t>
        </is>
      </c>
      <c r="E1008" t="inlineStr">
        <is>
          <t>BRÄCKE</t>
        </is>
      </c>
      <c r="F1008" t="inlineStr">
        <is>
          <t>SCA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33854-2025</t>
        </is>
      </c>
      <c r="B1009" s="1" t="n">
        <v>45842.51112268519</v>
      </c>
      <c r="C1009" s="1" t="n">
        <v>46034</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33868-2025</t>
        </is>
      </c>
      <c r="B1010" s="1" t="n">
        <v>45842.53967592592</v>
      </c>
      <c r="C1010" s="1" t="n">
        <v>46034</v>
      </c>
      <c r="D1010" t="inlineStr">
        <is>
          <t>JÄMTLANDS LÄN</t>
        </is>
      </c>
      <c r="E1010" t="inlineStr">
        <is>
          <t>BRÄCKE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33900-2025</t>
        </is>
      </c>
      <c r="B1011" s="1" t="n">
        <v>45842.59454861111</v>
      </c>
      <c r="C1011" s="1" t="n">
        <v>46034</v>
      </c>
      <c r="D1011" t="inlineStr">
        <is>
          <t>JÄMTLANDS LÄN</t>
        </is>
      </c>
      <c r="E1011" t="inlineStr">
        <is>
          <t>BRÄCKE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49826-2025</t>
        </is>
      </c>
      <c r="B1012" s="1" t="n">
        <v>45940.44829861111</v>
      </c>
      <c r="C1012" s="1" t="n">
        <v>46034</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50214-2025</t>
        </is>
      </c>
      <c r="B1013" s="1" t="n">
        <v>45943.67826388889</v>
      </c>
      <c r="C1013" s="1" t="n">
        <v>46034</v>
      </c>
      <c r="D1013" t="inlineStr">
        <is>
          <t>JÄMTLANDS LÄN</t>
        </is>
      </c>
      <c r="E1013" t="inlineStr">
        <is>
          <t>BRÄCKE</t>
        </is>
      </c>
      <c r="F1013" t="inlineStr">
        <is>
          <t>SCA</t>
        </is>
      </c>
      <c r="G1013" t="n">
        <v>15.7</v>
      </c>
      <c r="H1013" t="n">
        <v>0</v>
      </c>
      <c r="I1013" t="n">
        <v>0</v>
      </c>
      <c r="J1013" t="n">
        <v>0</v>
      </c>
      <c r="K1013" t="n">
        <v>0</v>
      </c>
      <c r="L1013" t="n">
        <v>0</v>
      </c>
      <c r="M1013" t="n">
        <v>0</v>
      </c>
      <c r="N1013" t="n">
        <v>0</v>
      </c>
      <c r="O1013" t="n">
        <v>0</v>
      </c>
      <c r="P1013" t="n">
        <v>0</v>
      </c>
      <c r="Q1013" t="n">
        <v>0</v>
      </c>
      <c r="R1013" s="2" t="inlineStr"/>
    </row>
    <row r="1014" ht="15" customHeight="1">
      <c r="A1014" t="inlineStr">
        <is>
          <t>A 34189-2025</t>
        </is>
      </c>
      <c r="B1014" s="1" t="n">
        <v>45845.61555555555</v>
      </c>
      <c r="C1014" s="1" t="n">
        <v>46034</v>
      </c>
      <c r="D1014" t="inlineStr">
        <is>
          <t>JÄMTLANDS LÄN</t>
        </is>
      </c>
      <c r="E1014" t="inlineStr">
        <is>
          <t>BRÄCKE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54035-2021</t>
        </is>
      </c>
      <c r="B1015" s="1" t="n">
        <v>44470</v>
      </c>
      <c r="C1015" s="1" t="n">
        <v>46034</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33937-2025</t>
        </is>
      </c>
      <c r="B1016" s="1" t="n">
        <v>45842.63650462963</v>
      </c>
      <c r="C1016" s="1" t="n">
        <v>46034</v>
      </c>
      <c r="D1016" t="inlineStr">
        <is>
          <t>JÄMTLANDS LÄN</t>
        </is>
      </c>
      <c r="E1016" t="inlineStr">
        <is>
          <t>BRÄCKE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51416-2024</t>
        </is>
      </c>
      <c r="B1017" s="1" t="n">
        <v>45604.44829861111</v>
      </c>
      <c r="C1017" s="1" t="n">
        <v>46034</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44321-2023</t>
        </is>
      </c>
      <c r="B1018" s="1" t="n">
        <v>45188.65484953704</v>
      </c>
      <c r="C1018" s="1" t="n">
        <v>46034</v>
      </c>
      <c r="D1018" t="inlineStr">
        <is>
          <t>JÄMTLANDS LÄN</t>
        </is>
      </c>
      <c r="E1018" t="inlineStr">
        <is>
          <t>BRÄCKE</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44328-2023</t>
        </is>
      </c>
      <c r="B1019" s="1" t="n">
        <v>45188.659375</v>
      </c>
      <c r="C1019" s="1" t="n">
        <v>46034</v>
      </c>
      <c r="D1019" t="inlineStr">
        <is>
          <t>JÄMTLANDS LÄN</t>
        </is>
      </c>
      <c r="E1019" t="inlineStr">
        <is>
          <t>BRÄCKE</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51441-2023</t>
        </is>
      </c>
      <c r="B1020" s="1" t="n">
        <v>45219</v>
      </c>
      <c r="C1020" s="1" t="n">
        <v>46034</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8780-2025</t>
        </is>
      </c>
      <c r="B1021" s="1" t="n">
        <v>45712.615625</v>
      </c>
      <c r="C1021" s="1" t="n">
        <v>46034</v>
      </c>
      <c r="D1021" t="inlineStr">
        <is>
          <t>JÄMTLANDS LÄN</t>
        </is>
      </c>
      <c r="E1021" t="inlineStr">
        <is>
          <t>BRÄCKE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33776-2025</t>
        </is>
      </c>
      <c r="B1022" s="1" t="n">
        <v>45842.39412037037</v>
      </c>
      <c r="C1022" s="1" t="n">
        <v>46034</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50016-2025</t>
        </is>
      </c>
      <c r="B1023" s="1" t="n">
        <v>45943.35318287037</v>
      </c>
      <c r="C1023" s="1" t="n">
        <v>46034</v>
      </c>
      <c r="D1023" t="inlineStr">
        <is>
          <t>JÄMTLANDS LÄN</t>
        </is>
      </c>
      <c r="E1023" t="inlineStr">
        <is>
          <t>BRÄCKE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2035-2022</t>
        </is>
      </c>
      <c r="B1024" s="1" t="n">
        <v>44575.6277662037</v>
      </c>
      <c r="C1024" s="1" t="n">
        <v>46034</v>
      </c>
      <c r="D1024" t="inlineStr">
        <is>
          <t>JÄMTLANDS LÄN</t>
        </is>
      </c>
      <c r="E1024" t="inlineStr">
        <is>
          <t>BRÄCKE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33956-2025</t>
        </is>
      </c>
      <c r="B1025" s="1" t="n">
        <v>45842.67746527777</v>
      </c>
      <c r="C1025" s="1" t="n">
        <v>46034</v>
      </c>
      <c r="D1025" t="inlineStr">
        <is>
          <t>JÄMTLANDS LÄN</t>
        </is>
      </c>
      <c r="E1025" t="inlineStr">
        <is>
          <t>BRÄCKE</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36392-2022</t>
        </is>
      </c>
      <c r="B1026" s="1" t="n">
        <v>44803.94673611111</v>
      </c>
      <c r="C1026" s="1" t="n">
        <v>46034</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37238-2021</t>
        </is>
      </c>
      <c r="B1027" s="1" t="n">
        <v>44396.93490740741</v>
      </c>
      <c r="C1027" s="1" t="n">
        <v>46034</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50216-2025</t>
        </is>
      </c>
      <c r="B1028" s="1" t="n">
        <v>45943.67859953704</v>
      </c>
      <c r="C1028" s="1" t="n">
        <v>46034</v>
      </c>
      <c r="D1028" t="inlineStr">
        <is>
          <t>JÄMTLANDS LÄN</t>
        </is>
      </c>
      <c r="E1028" t="inlineStr">
        <is>
          <t>BRÄCKE</t>
        </is>
      </c>
      <c r="F1028" t="inlineStr">
        <is>
          <t>SCA</t>
        </is>
      </c>
      <c r="G1028" t="n">
        <v>15.7</v>
      </c>
      <c r="H1028" t="n">
        <v>0</v>
      </c>
      <c r="I1028" t="n">
        <v>0</v>
      </c>
      <c r="J1028" t="n">
        <v>0</v>
      </c>
      <c r="K1028" t="n">
        <v>0</v>
      </c>
      <c r="L1028" t="n">
        <v>0</v>
      </c>
      <c r="M1028" t="n">
        <v>0</v>
      </c>
      <c r="N1028" t="n">
        <v>0</v>
      </c>
      <c r="O1028" t="n">
        <v>0</v>
      </c>
      <c r="P1028" t="n">
        <v>0</v>
      </c>
      <c r="Q1028" t="n">
        <v>0</v>
      </c>
      <c r="R1028" s="2" t="inlineStr"/>
    </row>
    <row r="1029" ht="15" customHeight="1">
      <c r="A1029" t="inlineStr">
        <is>
          <t>A 34087-2025</t>
        </is>
      </c>
      <c r="B1029" s="1" t="n">
        <v>45845.46913194445</v>
      </c>
      <c r="C1029" s="1" t="n">
        <v>46034</v>
      </c>
      <c r="D1029" t="inlineStr">
        <is>
          <t>JÄMTLANDS LÄN</t>
        </is>
      </c>
      <c r="E1029" t="inlineStr">
        <is>
          <t>BRÄCKE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60762-2025</t>
        </is>
      </c>
      <c r="B1030" s="1" t="n">
        <v>45999.3863425926</v>
      </c>
      <c r="C1030" s="1" t="n">
        <v>46034</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33873-2025</t>
        </is>
      </c>
      <c r="B1031" s="1" t="n">
        <v>45842.54912037037</v>
      </c>
      <c r="C1031" s="1" t="n">
        <v>46034</v>
      </c>
      <c r="D1031" t="inlineStr">
        <is>
          <t>JÄMTLANDS LÄN</t>
        </is>
      </c>
      <c r="E1031" t="inlineStr">
        <is>
          <t>BRÄCKE</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24010-2024</t>
        </is>
      </c>
      <c r="B1032" s="1" t="n">
        <v>45456.40370370371</v>
      </c>
      <c r="C1032" s="1" t="n">
        <v>46034</v>
      </c>
      <c r="D1032" t="inlineStr">
        <is>
          <t>JÄMTLANDS LÄN</t>
        </is>
      </c>
      <c r="E1032" t="inlineStr">
        <is>
          <t>BRÄCKE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33902-2025</t>
        </is>
      </c>
      <c r="B1033" s="1" t="n">
        <v>45842.59513888889</v>
      </c>
      <c r="C1033" s="1" t="n">
        <v>46034</v>
      </c>
      <c r="D1033" t="inlineStr">
        <is>
          <t>JÄMTLANDS LÄN</t>
        </is>
      </c>
      <c r="E1033" t="inlineStr">
        <is>
          <t>BRÄCKE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50079-2025</t>
        </is>
      </c>
      <c r="B1034" s="1" t="n">
        <v>45943.46916666667</v>
      </c>
      <c r="C1034" s="1" t="n">
        <v>46034</v>
      </c>
      <c r="D1034" t="inlineStr">
        <is>
          <t>JÄMTLANDS LÄN</t>
        </is>
      </c>
      <c r="E1034" t="inlineStr">
        <is>
          <t>BRÄCKE</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18645-2024</t>
        </is>
      </c>
      <c r="B1035" s="1" t="n">
        <v>45425.96738425926</v>
      </c>
      <c r="C1035" s="1" t="n">
        <v>46034</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52798-2025</t>
        </is>
      </c>
      <c r="B1036" s="1" t="n">
        <v>45957.44013888889</v>
      </c>
      <c r="C1036" s="1" t="n">
        <v>46034</v>
      </c>
      <c r="D1036" t="inlineStr">
        <is>
          <t>JÄMTLANDS LÄN</t>
        </is>
      </c>
      <c r="E1036" t="inlineStr">
        <is>
          <t>BRÄCKE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44872.95638888889</v>
      </c>
      <c r="C1037" s="1" t="n">
        <v>46034</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29751-2023</t>
        </is>
      </c>
      <c r="B1038" s="1" t="n">
        <v>45107</v>
      </c>
      <c r="C1038" s="1" t="n">
        <v>46034</v>
      </c>
      <c r="D1038" t="inlineStr">
        <is>
          <t>JÄMTLANDS LÄN</t>
        </is>
      </c>
      <c r="E1038" t="inlineStr">
        <is>
          <t>BRÄCKE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3737-2025</t>
        </is>
      </c>
      <c r="B1039" s="1" t="n">
        <v>45681.57335648148</v>
      </c>
      <c r="C1039" s="1" t="n">
        <v>46034</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33796-2025</t>
        </is>
      </c>
      <c r="B1040" s="1" t="n">
        <v>45842.43670138889</v>
      </c>
      <c r="C1040" s="1" t="n">
        <v>46034</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50257-2025</t>
        </is>
      </c>
      <c r="B1041" s="1" t="n">
        <v>45944.34462962963</v>
      </c>
      <c r="C1041" s="1" t="n">
        <v>46034</v>
      </c>
      <c r="D1041" t="inlineStr">
        <is>
          <t>JÄMTLANDS LÄN</t>
        </is>
      </c>
      <c r="E1041" t="inlineStr">
        <is>
          <t>BRÄCKE</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34155-2025</t>
        </is>
      </c>
      <c r="B1042" s="1" t="n">
        <v>45845.57334490741</v>
      </c>
      <c r="C1042" s="1" t="n">
        <v>46034</v>
      </c>
      <c r="D1042" t="inlineStr">
        <is>
          <t>JÄMTLANDS LÄN</t>
        </is>
      </c>
      <c r="E1042" t="inlineStr">
        <is>
          <t>BRÄCKE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52137-2023</t>
        </is>
      </c>
      <c r="B1043" s="1" t="n">
        <v>45223</v>
      </c>
      <c r="C1043" s="1" t="n">
        <v>46034</v>
      </c>
      <c r="D1043" t="inlineStr">
        <is>
          <t>JÄMTLANDS LÄN</t>
        </is>
      </c>
      <c r="E1043" t="inlineStr">
        <is>
          <t>BRÄCKE</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50271-2025</t>
        </is>
      </c>
      <c r="B1044" s="1" t="n">
        <v>45944.35690972222</v>
      </c>
      <c r="C1044" s="1" t="n">
        <v>46034</v>
      </c>
      <c r="D1044" t="inlineStr">
        <is>
          <t>JÄMTLANDS LÄN</t>
        </is>
      </c>
      <c r="E1044" t="inlineStr">
        <is>
          <t>BRÄCKE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34460-2025</t>
        </is>
      </c>
      <c r="B1045" s="1" t="n">
        <v>45847.34458333333</v>
      </c>
      <c r="C1045" s="1" t="n">
        <v>46034</v>
      </c>
      <c r="D1045" t="inlineStr">
        <is>
          <t>JÄMTLANDS LÄN</t>
        </is>
      </c>
      <c r="E1045" t="inlineStr">
        <is>
          <t>BRÄCKE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45950-2023</t>
        </is>
      </c>
      <c r="B1046" s="1" t="n">
        <v>45195</v>
      </c>
      <c r="C1046" s="1" t="n">
        <v>46034</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56686-2023</t>
        </is>
      </c>
      <c r="B1047" s="1" t="n">
        <v>45243.96622685185</v>
      </c>
      <c r="C1047" s="1" t="n">
        <v>46034</v>
      </c>
      <c r="D1047" t="inlineStr">
        <is>
          <t>JÄMTLANDS LÄN</t>
        </is>
      </c>
      <c r="E1047" t="inlineStr">
        <is>
          <t>BRÄCKE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20267-2024</t>
        </is>
      </c>
      <c r="B1048" s="1" t="n">
        <v>45434.9487962963</v>
      </c>
      <c r="C1048" s="1" t="n">
        <v>46034</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50272-2025</t>
        </is>
      </c>
      <c r="B1049" s="1" t="n">
        <v>45944.365</v>
      </c>
      <c r="C1049" s="1" t="n">
        <v>46034</v>
      </c>
      <c r="D1049" t="inlineStr">
        <is>
          <t>JÄMTLANDS LÄN</t>
        </is>
      </c>
      <c r="E1049" t="inlineStr">
        <is>
          <t>BRÄCKE</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34338-2025</t>
        </is>
      </c>
      <c r="B1050" s="1" t="n">
        <v>45846.45711805556</v>
      </c>
      <c r="C1050" s="1" t="n">
        <v>46034</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50262-2025</t>
        </is>
      </c>
      <c r="B1051" s="1" t="n">
        <v>45944.34542824074</v>
      </c>
      <c r="C1051" s="1" t="n">
        <v>46034</v>
      </c>
      <c r="D1051" t="inlineStr">
        <is>
          <t>JÄMTLANDS LÄN</t>
        </is>
      </c>
      <c r="E1051" t="inlineStr">
        <is>
          <t>BRÄCKE</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16073-2021</t>
        </is>
      </c>
      <c r="B1052" s="1" t="n">
        <v>44287</v>
      </c>
      <c r="C1052" s="1" t="n">
        <v>46034</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34294-2025</t>
        </is>
      </c>
      <c r="B1053" s="1" t="n">
        <v>45846.34422453704</v>
      </c>
      <c r="C1053" s="1" t="n">
        <v>46034</v>
      </c>
      <c r="D1053" t="inlineStr">
        <is>
          <t>JÄMTLANDS LÄN</t>
        </is>
      </c>
      <c r="E1053" t="inlineStr">
        <is>
          <t>BRÄCKE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30874-2024</t>
        </is>
      </c>
      <c r="B1054" s="1" t="n">
        <v>45498.3091087963</v>
      </c>
      <c r="C1054" s="1" t="n">
        <v>46034</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50256-2025</t>
        </is>
      </c>
      <c r="B1055" s="1" t="n">
        <v>45944.34435185185</v>
      </c>
      <c r="C1055" s="1" t="n">
        <v>46034</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50263-2025</t>
        </is>
      </c>
      <c r="B1056" s="1" t="n">
        <v>45944.34545138889</v>
      </c>
      <c r="C1056" s="1" t="n">
        <v>46034</v>
      </c>
      <c r="D1056" t="inlineStr">
        <is>
          <t>JÄMTLANDS LÄN</t>
        </is>
      </c>
      <c r="E1056" t="inlineStr">
        <is>
          <t>BRÄCKE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34469-2025</t>
        </is>
      </c>
      <c r="B1057" s="1" t="n">
        <v>45847.34608796296</v>
      </c>
      <c r="C1057" s="1" t="n">
        <v>46034</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34322-2025</t>
        </is>
      </c>
      <c r="B1058" s="1" t="n">
        <v>45846.42747685185</v>
      </c>
      <c r="C1058" s="1" t="n">
        <v>46034</v>
      </c>
      <c r="D1058" t="inlineStr">
        <is>
          <t>JÄMTLANDS LÄN</t>
        </is>
      </c>
      <c r="E1058" t="inlineStr">
        <is>
          <t>BRÄCKE</t>
        </is>
      </c>
      <c r="F1058" t="inlineStr">
        <is>
          <t>SCA</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50669-2025</t>
        </is>
      </c>
      <c r="B1059" s="1" t="n">
        <v>45945.70633101852</v>
      </c>
      <c r="C1059" s="1" t="n">
        <v>46034</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34613-2025</t>
        </is>
      </c>
      <c r="B1060" s="1" t="n">
        <v>45847.67751157407</v>
      </c>
      <c r="C1060" s="1" t="n">
        <v>46034</v>
      </c>
      <c r="D1060" t="inlineStr">
        <is>
          <t>JÄMTLANDS LÄN</t>
        </is>
      </c>
      <c r="E1060" t="inlineStr">
        <is>
          <t>BRÄCKE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34614-2025</t>
        </is>
      </c>
      <c r="B1061" s="1" t="n">
        <v>45847.67768518518</v>
      </c>
      <c r="C1061" s="1" t="n">
        <v>46034</v>
      </c>
      <c r="D1061" t="inlineStr">
        <is>
          <t>JÄMTLANDS LÄN</t>
        </is>
      </c>
      <c r="E1061" t="inlineStr">
        <is>
          <t>BRÄCKE</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16707-2024</t>
        </is>
      </c>
      <c r="B1062" s="1" t="n">
        <v>45409.07706018518</v>
      </c>
      <c r="C1062" s="1" t="n">
        <v>46034</v>
      </c>
      <c r="D1062" t="inlineStr">
        <is>
          <t>JÄMTLANDS LÄN</t>
        </is>
      </c>
      <c r="E1062" t="inlineStr">
        <is>
          <t>BRÄCKE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12063-2023</t>
        </is>
      </c>
      <c r="B1063" s="1" t="n">
        <v>44996</v>
      </c>
      <c r="C1063" s="1" t="n">
        <v>46034</v>
      </c>
      <c r="D1063" t="inlineStr">
        <is>
          <t>JÄMTLANDS LÄN</t>
        </is>
      </c>
      <c r="E1063" t="inlineStr">
        <is>
          <t>BRÄCKE</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34518-2025</t>
        </is>
      </c>
      <c r="B1064" s="1" t="n">
        <v>45847.46910879629</v>
      </c>
      <c r="C1064" s="1" t="n">
        <v>46034</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52781-2025</t>
        </is>
      </c>
      <c r="B1065" s="1" t="n">
        <v>45957.4228125</v>
      </c>
      <c r="C1065" s="1" t="n">
        <v>46034</v>
      </c>
      <c r="D1065" t="inlineStr">
        <is>
          <t>JÄMTLANDS LÄN</t>
        </is>
      </c>
      <c r="E1065" t="inlineStr">
        <is>
          <t>BRÄCKE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17577-2022</t>
        </is>
      </c>
      <c r="B1066" s="1" t="n">
        <v>44679</v>
      </c>
      <c r="C1066" s="1" t="n">
        <v>46034</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34983-2025</t>
        </is>
      </c>
      <c r="B1067" s="1" t="n">
        <v>45849.71234953704</v>
      </c>
      <c r="C1067" s="1" t="n">
        <v>46034</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34680-2025</t>
        </is>
      </c>
      <c r="B1068" s="1" t="n">
        <v>45848.42799768518</v>
      </c>
      <c r="C1068" s="1" t="n">
        <v>46034</v>
      </c>
      <c r="D1068" t="inlineStr">
        <is>
          <t>JÄMTLANDS LÄN</t>
        </is>
      </c>
      <c r="E1068" t="inlineStr">
        <is>
          <t>BRÄCKE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34828-2025</t>
        </is>
      </c>
      <c r="B1069" s="1" t="n">
        <v>45849.38579861111</v>
      </c>
      <c r="C1069" s="1" t="n">
        <v>46034</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34746-2025</t>
        </is>
      </c>
      <c r="B1070" s="1" t="n">
        <v>45848.61505787037</v>
      </c>
      <c r="C1070" s="1" t="n">
        <v>46034</v>
      </c>
      <c r="D1070" t="inlineStr">
        <is>
          <t>JÄMTLANDS LÄN</t>
        </is>
      </c>
      <c r="E1070" t="inlineStr">
        <is>
          <t>BRÄCKE</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34648-2025</t>
        </is>
      </c>
      <c r="B1071" s="1" t="n">
        <v>45848.34487268519</v>
      </c>
      <c r="C1071" s="1" t="n">
        <v>46034</v>
      </c>
      <c r="D1071" t="inlineStr">
        <is>
          <t>JÄMTLANDS LÄN</t>
        </is>
      </c>
      <c r="E1071" t="inlineStr">
        <is>
          <t>BRÄCKE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53139-2025</t>
        </is>
      </c>
      <c r="B1072" s="1" t="n">
        <v>45958.47019675926</v>
      </c>
      <c r="C1072" s="1" t="n">
        <v>46034</v>
      </c>
      <c r="D1072" t="inlineStr">
        <is>
          <t>JÄMTLANDS LÄN</t>
        </is>
      </c>
      <c r="E1072" t="inlineStr">
        <is>
          <t>BRÄCKE</t>
        </is>
      </c>
      <c r="F1072" t="inlineStr">
        <is>
          <t>Övriga Aktiebolag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3239-2022</t>
        </is>
      </c>
      <c r="B1073" s="1" t="n">
        <v>44582.93296296296</v>
      </c>
      <c r="C1073" s="1" t="n">
        <v>46034</v>
      </c>
      <c r="D1073" t="inlineStr">
        <is>
          <t>JÄMTLANDS LÄN</t>
        </is>
      </c>
      <c r="E1073" t="inlineStr">
        <is>
          <t>BRÄCKE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34783-2025</t>
        </is>
      </c>
      <c r="B1074" s="1" t="n">
        <v>45848.67740740741</v>
      </c>
      <c r="C1074" s="1" t="n">
        <v>46034</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34773-2025</t>
        </is>
      </c>
      <c r="B1075" s="1" t="n">
        <v>45848.65672453704</v>
      </c>
      <c r="C1075" s="1" t="n">
        <v>46034</v>
      </c>
      <c r="D1075" t="inlineStr">
        <is>
          <t>JÄMTLANDS LÄN</t>
        </is>
      </c>
      <c r="E1075" t="inlineStr">
        <is>
          <t>BRÄCKE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61171-2025</t>
        </is>
      </c>
      <c r="B1076" s="1" t="n">
        <v>46000.57232638889</v>
      </c>
      <c r="C1076" s="1" t="n">
        <v>46034</v>
      </c>
      <c r="D1076" t="inlineStr">
        <is>
          <t>JÄMTLANDS LÄN</t>
        </is>
      </c>
      <c r="E1076" t="inlineStr">
        <is>
          <t>BRÄCKE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61433-2025</t>
        </is>
      </c>
      <c r="B1077" s="1" t="n">
        <v>46001.55944444444</v>
      </c>
      <c r="C1077" s="1" t="n">
        <v>46034</v>
      </c>
      <c r="D1077" t="inlineStr">
        <is>
          <t>JÄMTLANDS LÄN</t>
        </is>
      </c>
      <c r="E1077" t="inlineStr">
        <is>
          <t>BRÄCKE</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34912-2025</t>
        </is>
      </c>
      <c r="B1078" s="1" t="n">
        <v>45849.5378587963</v>
      </c>
      <c r="C1078" s="1" t="n">
        <v>46034</v>
      </c>
      <c r="D1078" t="inlineStr">
        <is>
          <t>JÄMTLANDS LÄN</t>
        </is>
      </c>
      <c r="E1078" t="inlineStr">
        <is>
          <t>BRÄCKE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34786-2025</t>
        </is>
      </c>
      <c r="B1079" s="1" t="n">
        <v>45848.67784722222</v>
      </c>
      <c r="C1079" s="1" t="n">
        <v>46034</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61149-2023</t>
        </is>
      </c>
      <c r="B1080" s="1" t="n">
        <v>45261.96777777778</v>
      </c>
      <c r="C1080" s="1" t="n">
        <v>46034</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8052-2022</t>
        </is>
      </c>
      <c r="B1081" s="1" t="n">
        <v>44609</v>
      </c>
      <c r="C1081" s="1" t="n">
        <v>46034</v>
      </c>
      <c r="D1081" t="inlineStr">
        <is>
          <t>JÄMTLANDS LÄN</t>
        </is>
      </c>
      <c r="E1081" t="inlineStr">
        <is>
          <t>BRÄCKE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51540-2024</t>
        </is>
      </c>
      <c r="B1082" s="1" t="n">
        <v>45604</v>
      </c>
      <c r="C1082" s="1" t="n">
        <v>46034</v>
      </c>
      <c r="D1082" t="inlineStr">
        <is>
          <t>JÄMTLANDS LÄN</t>
        </is>
      </c>
      <c r="E1082" t="inlineStr">
        <is>
          <t>BRÄCKE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3866-2025</t>
        </is>
      </c>
      <c r="B1083" s="1" t="n">
        <v>45684.31995370371</v>
      </c>
      <c r="C1083" s="1" t="n">
        <v>46034</v>
      </c>
      <c r="D1083" t="inlineStr">
        <is>
          <t>JÄMTLANDS LÄN</t>
        </is>
      </c>
      <c r="E1083" t="inlineStr">
        <is>
          <t>BRÄCKE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35060-2025</t>
        </is>
      </c>
      <c r="B1084" s="1" t="n">
        <v>45852.42747685185</v>
      </c>
      <c r="C1084" s="1" t="n">
        <v>46034</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61489-2025</t>
        </is>
      </c>
      <c r="B1085" s="1" t="n">
        <v>46001.63672453703</v>
      </c>
      <c r="C1085" s="1" t="n">
        <v>46034</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29107-2025</t>
        </is>
      </c>
      <c r="B1086" s="1" t="n">
        <v>45821.58030092593</v>
      </c>
      <c r="C1086" s="1" t="n">
        <v>46034</v>
      </c>
      <c r="D1086" t="inlineStr">
        <is>
          <t>JÄMTLANDS LÄN</t>
        </is>
      </c>
      <c r="E1086" t="inlineStr">
        <is>
          <t>BRÄCKE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15423-2025</t>
        </is>
      </c>
      <c r="B1087" s="1" t="n">
        <v>45747.4640162037</v>
      </c>
      <c r="C1087" s="1" t="n">
        <v>46034</v>
      </c>
      <c r="D1087" t="inlineStr">
        <is>
          <t>JÄMTLANDS LÄN</t>
        </is>
      </c>
      <c r="E1087" t="inlineStr">
        <is>
          <t>BRÄCKE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34315-2022</t>
        </is>
      </c>
      <c r="B1088" s="1" t="n">
        <v>44792</v>
      </c>
      <c r="C1088" s="1" t="n">
        <v>46034</v>
      </c>
      <c r="D1088" t="inlineStr">
        <is>
          <t>JÄMTLANDS LÄN</t>
        </is>
      </c>
      <c r="E1088" t="inlineStr">
        <is>
          <t>BRÄCKE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35229-2025</t>
        </is>
      </c>
      <c r="B1089" s="1" t="n">
        <v>45853.59420138889</v>
      </c>
      <c r="C1089" s="1" t="n">
        <v>46034</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61226-2025</t>
        </is>
      </c>
      <c r="B1090" s="1" t="n">
        <v>46000.63048611111</v>
      </c>
      <c r="C1090" s="1" t="n">
        <v>46034</v>
      </c>
      <c r="D1090" t="inlineStr">
        <is>
          <t>JÄMTLANDS LÄN</t>
        </is>
      </c>
      <c r="E1090" t="inlineStr">
        <is>
          <t>BRÄCKE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35325-2025</t>
        </is>
      </c>
      <c r="B1091" s="1" t="n">
        <v>45854.52606481482</v>
      </c>
      <c r="C1091" s="1" t="n">
        <v>46034</v>
      </c>
      <c r="D1091" t="inlineStr">
        <is>
          <t>JÄMTLANDS LÄN</t>
        </is>
      </c>
      <c r="E1091" t="inlineStr">
        <is>
          <t>BRÄCKE</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35324-2025</t>
        </is>
      </c>
      <c r="B1092" s="1" t="n">
        <v>45854.51079861111</v>
      </c>
      <c r="C1092" s="1" t="n">
        <v>46034</v>
      </c>
      <c r="D1092" t="inlineStr">
        <is>
          <t>JÄMTLANDS LÄN</t>
        </is>
      </c>
      <c r="E1092" t="inlineStr">
        <is>
          <t>BRÄCKE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35326-2025</t>
        </is>
      </c>
      <c r="B1093" s="1" t="n">
        <v>45854.52724537037</v>
      </c>
      <c r="C1093" s="1" t="n">
        <v>46034</v>
      </c>
      <c r="D1093" t="inlineStr">
        <is>
          <t>JÄMTLANDS LÄN</t>
        </is>
      </c>
      <c r="E1093" t="inlineStr">
        <is>
          <t>BRÄCKE</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35445-2025</t>
        </is>
      </c>
      <c r="B1094" s="1" t="n">
        <v>45855.53196759259</v>
      </c>
      <c r="C1094" s="1" t="n">
        <v>46034</v>
      </c>
      <c r="D1094" t="inlineStr">
        <is>
          <t>JÄMTLANDS LÄN</t>
        </is>
      </c>
      <c r="E1094" t="inlineStr">
        <is>
          <t>BRÄCKE</t>
        </is>
      </c>
      <c r="F1094" t="inlineStr">
        <is>
          <t>SCA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56687-2023</t>
        </is>
      </c>
      <c r="B1095" s="1" t="n">
        <v>45243.96633101852</v>
      </c>
      <c r="C1095" s="1" t="n">
        <v>46034</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56688-2023</t>
        </is>
      </c>
      <c r="B1096" s="1" t="n">
        <v>45243.96645833334</v>
      </c>
      <c r="C1096" s="1" t="n">
        <v>46034</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35327-2025</t>
        </is>
      </c>
      <c r="B1097" s="1" t="n">
        <v>45854.5283449074</v>
      </c>
      <c r="C1097" s="1" t="n">
        <v>46034</v>
      </c>
      <c r="D1097" t="inlineStr">
        <is>
          <t>JÄMTLANDS LÄN</t>
        </is>
      </c>
      <c r="E1097" t="inlineStr">
        <is>
          <t>BRÄCKE</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35331-2025</t>
        </is>
      </c>
      <c r="B1098" s="1" t="n">
        <v>45854.57344907407</v>
      </c>
      <c r="C1098" s="1" t="n">
        <v>46034</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25056-2023</t>
        </is>
      </c>
      <c r="B1099" s="1" t="n">
        <v>45085.94633101852</v>
      </c>
      <c r="C1099" s="1" t="n">
        <v>46034</v>
      </c>
      <c r="D1099" t="inlineStr">
        <is>
          <t>JÄMTLANDS LÄN</t>
        </is>
      </c>
      <c r="E1099" t="inlineStr">
        <is>
          <t>BRÄCKE</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53138-2025</t>
        </is>
      </c>
      <c r="B1100" s="1" t="n">
        <v>45958.47013888889</v>
      </c>
      <c r="C1100" s="1" t="n">
        <v>46034</v>
      </c>
      <c r="D1100" t="inlineStr">
        <is>
          <t>JÄMTLANDS LÄN</t>
        </is>
      </c>
      <c r="E1100" t="inlineStr">
        <is>
          <t>BRÄCKE</t>
        </is>
      </c>
      <c r="F1100" t="inlineStr">
        <is>
          <t>Övriga Aktiebolag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53210-2025</t>
        </is>
      </c>
      <c r="B1101" s="1" t="n">
        <v>45958.59469907408</v>
      </c>
      <c r="C1101" s="1" t="n">
        <v>46034</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15944-2025</t>
        </is>
      </c>
      <c r="B1102" s="1" t="n">
        <v>45749.48545138889</v>
      </c>
      <c r="C1102" s="1" t="n">
        <v>46034</v>
      </c>
      <c r="D1102" t="inlineStr">
        <is>
          <t>JÄMTLANDS LÄN</t>
        </is>
      </c>
      <c r="E1102" t="inlineStr">
        <is>
          <t>BRÄCKE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64266-2023</t>
        </is>
      </c>
      <c r="B1103" s="1" t="n">
        <v>45279.94579861111</v>
      </c>
      <c r="C1103" s="1" t="n">
        <v>46034</v>
      </c>
      <c r="D1103" t="inlineStr">
        <is>
          <t>JÄMTLANDS LÄN</t>
        </is>
      </c>
      <c r="E1103" t="inlineStr">
        <is>
          <t>BRÄCKE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53168-2025</t>
        </is>
      </c>
      <c r="B1104" s="1" t="n">
        <v>45958.51083333333</v>
      </c>
      <c r="C1104" s="1" t="n">
        <v>46034</v>
      </c>
      <c r="D1104" t="inlineStr">
        <is>
          <t>JÄMTLANDS LÄN</t>
        </is>
      </c>
      <c r="E1104" t="inlineStr">
        <is>
          <t>BRÄCKE</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35642-2025</t>
        </is>
      </c>
      <c r="B1105" s="1" t="n">
        <v>45859.48991898148</v>
      </c>
      <c r="C1105" s="1" t="n">
        <v>46034</v>
      </c>
      <c r="D1105" t="inlineStr">
        <is>
          <t>JÄMTLANDS LÄN</t>
        </is>
      </c>
      <c r="E1105" t="inlineStr">
        <is>
          <t>BRÄCKE</t>
        </is>
      </c>
      <c r="F1105" t="inlineStr">
        <is>
          <t>SCA</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35668-2025</t>
        </is>
      </c>
      <c r="B1106" s="1" t="n">
        <v>45859.61552083334</v>
      </c>
      <c r="C1106" s="1" t="n">
        <v>46034</v>
      </c>
      <c r="D1106" t="inlineStr">
        <is>
          <t>JÄMTLANDS LÄN</t>
        </is>
      </c>
      <c r="E1106" t="inlineStr">
        <is>
          <t>BRÄCKE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61190-2025</t>
        </is>
      </c>
      <c r="B1107" s="1" t="n">
        <v>46000.59221064814</v>
      </c>
      <c r="C1107" s="1" t="n">
        <v>46034</v>
      </c>
      <c r="D1107" t="inlineStr">
        <is>
          <t>JÄMTLANDS LÄN</t>
        </is>
      </c>
      <c r="E1107" t="inlineStr">
        <is>
          <t>BRÄCKE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61196-2025</t>
        </is>
      </c>
      <c r="B1108" s="1" t="n">
        <v>46000.60346064815</v>
      </c>
      <c r="C1108" s="1" t="n">
        <v>46034</v>
      </c>
      <c r="D1108" t="inlineStr">
        <is>
          <t>JÄMTLANDS LÄN</t>
        </is>
      </c>
      <c r="E1108" t="inlineStr">
        <is>
          <t>BRÄCKE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53140-2025</t>
        </is>
      </c>
      <c r="B1109" s="1" t="n">
        <v>45958.4703125</v>
      </c>
      <c r="C1109" s="1" t="n">
        <v>46034</v>
      </c>
      <c r="D1109" t="inlineStr">
        <is>
          <t>JÄMTLANDS LÄN</t>
        </is>
      </c>
      <c r="E1109" t="inlineStr">
        <is>
          <t>BRÄCKE</t>
        </is>
      </c>
      <c r="F1109" t="inlineStr">
        <is>
          <t>Övriga Aktiebolag</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30102-2021</t>
        </is>
      </c>
      <c r="B1110" s="1" t="n">
        <v>44363</v>
      </c>
      <c r="C1110" s="1" t="n">
        <v>46034</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46034</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32471-2021</t>
        </is>
      </c>
      <c r="B1112" s="1" t="n">
        <v>44371</v>
      </c>
      <c r="C1112" s="1" t="n">
        <v>46034</v>
      </c>
      <c r="D1112" t="inlineStr">
        <is>
          <t>JÄMTLANDS LÄN</t>
        </is>
      </c>
      <c r="E1112" t="inlineStr">
        <is>
          <t>BRÄCKE</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24432-2024</t>
        </is>
      </c>
      <c r="B1113" s="1" t="n">
        <v>45457.96054398148</v>
      </c>
      <c r="C1113" s="1" t="n">
        <v>46034</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35731-2025</t>
        </is>
      </c>
      <c r="B1114" s="1" t="n">
        <v>45860.46923611111</v>
      </c>
      <c r="C1114" s="1" t="n">
        <v>46034</v>
      </c>
      <c r="D1114" t="inlineStr">
        <is>
          <t>JÄMTLANDS LÄN</t>
        </is>
      </c>
      <c r="E1114" t="inlineStr">
        <is>
          <t>BRÄCKE</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50520-2024</t>
        </is>
      </c>
      <c r="B1115" s="1" t="n">
        <v>45601.55320601852</v>
      </c>
      <c r="C1115" s="1" t="n">
        <v>46034</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13249-2025</t>
        </is>
      </c>
      <c r="B1116" s="1" t="n">
        <v>45735.48996527777</v>
      </c>
      <c r="C1116" s="1" t="n">
        <v>46034</v>
      </c>
      <c r="D1116" t="inlineStr">
        <is>
          <t>JÄMTLANDS LÄN</t>
        </is>
      </c>
      <c r="E1116" t="inlineStr">
        <is>
          <t>BRÄCKE</t>
        </is>
      </c>
      <c r="F1116" t="inlineStr">
        <is>
          <t>SCA</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53047-2023</t>
        </is>
      </c>
      <c r="B1117" s="1" t="n">
        <v>45226.96398148148</v>
      </c>
      <c r="C1117" s="1" t="n">
        <v>46034</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35712-2025</t>
        </is>
      </c>
      <c r="B1118" s="1" t="n">
        <v>45860.40660879629</v>
      </c>
      <c r="C1118" s="1" t="n">
        <v>46034</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53352-2025</t>
        </is>
      </c>
      <c r="B1119" s="1" t="n">
        <v>45959.44840277778</v>
      </c>
      <c r="C1119" s="1" t="n">
        <v>46034</v>
      </c>
      <c r="D1119" t="inlineStr">
        <is>
          <t>JÄMTLANDS LÄN</t>
        </is>
      </c>
      <c r="E1119" t="inlineStr">
        <is>
          <t>BRÄCKE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35880-2025</t>
        </is>
      </c>
      <c r="B1120" s="1" t="n">
        <v>45862.38334490741</v>
      </c>
      <c r="C1120" s="1" t="n">
        <v>46034</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35906-2025</t>
        </is>
      </c>
      <c r="B1121" s="1" t="n">
        <v>45862.51081018519</v>
      </c>
      <c r="C1121" s="1" t="n">
        <v>46034</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35879-2025</t>
        </is>
      </c>
      <c r="B1122" s="1" t="n">
        <v>45862.37929398148</v>
      </c>
      <c r="C1122" s="1" t="n">
        <v>46034</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35908-2025</t>
        </is>
      </c>
      <c r="B1123" s="1" t="n">
        <v>45862.51113425926</v>
      </c>
      <c r="C1123" s="1" t="n">
        <v>46034</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3025-2021</t>
        </is>
      </c>
      <c r="B1124" s="1" t="n">
        <v>44216</v>
      </c>
      <c r="C1124" s="1" t="n">
        <v>46034</v>
      </c>
      <c r="D1124" t="inlineStr">
        <is>
          <t>JÄMTLANDS LÄN</t>
        </is>
      </c>
      <c r="E1124" t="inlineStr">
        <is>
          <t>BRÄCKE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64643-2023</t>
        </is>
      </c>
      <c r="B1125" s="1" t="n">
        <v>45281</v>
      </c>
      <c r="C1125" s="1" t="n">
        <v>46034</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50223-2023</t>
        </is>
      </c>
      <c r="B1126" s="1" t="n">
        <v>45215.94747685185</v>
      </c>
      <c r="C1126" s="1" t="n">
        <v>46034</v>
      </c>
      <c r="D1126" t="inlineStr">
        <is>
          <t>JÄMTLANDS LÄN</t>
        </is>
      </c>
      <c r="E1126" t="inlineStr">
        <is>
          <t>BRÄCKE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36223-2025</t>
        </is>
      </c>
      <c r="B1127" s="1" t="n">
        <v>45867.51101851852</v>
      </c>
      <c r="C1127" s="1" t="n">
        <v>46034</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53197-2025</t>
        </is>
      </c>
      <c r="B1128" s="1" t="n">
        <v>45958.57358796296</v>
      </c>
      <c r="C1128" s="1" t="n">
        <v>46034</v>
      </c>
      <c r="D1128" t="inlineStr">
        <is>
          <t>JÄMTLANDS LÄN</t>
        </is>
      </c>
      <c r="E1128" t="inlineStr">
        <is>
          <t>BRÄCKE</t>
        </is>
      </c>
      <c r="F1128" t="inlineStr">
        <is>
          <t>SCA</t>
        </is>
      </c>
      <c r="G1128" t="n">
        <v>43.4</v>
      </c>
      <c r="H1128" t="n">
        <v>0</v>
      </c>
      <c r="I1128" t="n">
        <v>0</v>
      </c>
      <c r="J1128" t="n">
        <v>0</v>
      </c>
      <c r="K1128" t="n">
        <v>0</v>
      </c>
      <c r="L1128" t="n">
        <v>0</v>
      </c>
      <c r="M1128" t="n">
        <v>0</v>
      </c>
      <c r="N1128" t="n">
        <v>0</v>
      </c>
      <c r="O1128" t="n">
        <v>0</v>
      </c>
      <c r="P1128" t="n">
        <v>0</v>
      </c>
      <c r="Q1128" t="n">
        <v>0</v>
      </c>
      <c r="R1128" s="2" t="inlineStr"/>
    </row>
    <row r="1129" ht="15" customHeight="1">
      <c r="A1129" t="inlineStr">
        <is>
          <t>A 48816-2022</t>
        </is>
      </c>
      <c r="B1129" s="1" t="n">
        <v>44859</v>
      </c>
      <c r="C1129" s="1" t="n">
        <v>46034</v>
      </c>
      <c r="D1129" t="inlineStr">
        <is>
          <t>JÄMTLANDS LÄN</t>
        </is>
      </c>
      <c r="E1129" t="inlineStr">
        <is>
          <t>BRÄCKE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29314-2021</t>
        </is>
      </c>
      <c r="B1130" s="1" t="n">
        <v>44361</v>
      </c>
      <c r="C1130" s="1" t="n">
        <v>46034</v>
      </c>
      <c r="D1130" t="inlineStr">
        <is>
          <t>JÄMTLANDS LÄN</t>
        </is>
      </c>
      <c r="E1130" t="inlineStr">
        <is>
          <t>BRÄCKE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24195-2023</t>
        </is>
      </c>
      <c r="B1131" s="1" t="n">
        <v>45079</v>
      </c>
      <c r="C1131" s="1" t="n">
        <v>46034</v>
      </c>
      <c r="D1131" t="inlineStr">
        <is>
          <t>JÄMTLANDS LÄN</t>
        </is>
      </c>
      <c r="E1131" t="inlineStr">
        <is>
          <t>BRÄCKE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36034-2025</t>
        </is>
      </c>
      <c r="B1132" s="1" t="n">
        <v>45865.64755787037</v>
      </c>
      <c r="C1132" s="1" t="n">
        <v>46034</v>
      </c>
      <c r="D1132" t="inlineStr">
        <is>
          <t>JÄMTLANDS LÄN</t>
        </is>
      </c>
      <c r="E1132" t="inlineStr">
        <is>
          <t>BRÄCKE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3389-2024</t>
        </is>
      </c>
      <c r="B1133" s="1" t="n">
        <v>45317.9409837963</v>
      </c>
      <c r="C1133" s="1" t="n">
        <v>46034</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49646-2023</t>
        </is>
      </c>
      <c r="B1134" s="1" t="n">
        <v>45211</v>
      </c>
      <c r="C1134" s="1" t="n">
        <v>46034</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53270-2025</t>
        </is>
      </c>
      <c r="B1135" s="1" t="n">
        <v>45958.70261574074</v>
      </c>
      <c r="C1135" s="1" t="n">
        <v>46034</v>
      </c>
      <c r="D1135" t="inlineStr">
        <is>
          <t>JÄMTLANDS LÄN</t>
        </is>
      </c>
      <c r="E1135" t="inlineStr">
        <is>
          <t>BRÄCKE</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17209-2023</t>
        </is>
      </c>
      <c r="B1136" s="1" t="n">
        <v>45034</v>
      </c>
      <c r="C1136" s="1" t="n">
        <v>46034</v>
      </c>
      <c r="D1136" t="inlineStr">
        <is>
          <t>JÄMTLANDS LÄN</t>
        </is>
      </c>
      <c r="E1136" t="inlineStr">
        <is>
          <t>BRÄCKE</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53185-2025</t>
        </is>
      </c>
      <c r="B1137" s="1" t="n">
        <v>45958.55537037037</v>
      </c>
      <c r="C1137" s="1" t="n">
        <v>46034</v>
      </c>
      <c r="D1137" t="inlineStr">
        <is>
          <t>JÄMTLANDS LÄN</t>
        </is>
      </c>
      <c r="E1137" t="inlineStr">
        <is>
          <t>BRÄCKE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20879-2023</t>
        </is>
      </c>
      <c r="B1138" s="1" t="n">
        <v>45058.94399305555</v>
      </c>
      <c r="C1138" s="1" t="n">
        <v>46034</v>
      </c>
      <c r="D1138" t="inlineStr">
        <is>
          <t>JÄMTLANDS LÄN</t>
        </is>
      </c>
      <c r="E1138" t="inlineStr">
        <is>
          <t>BRÄCKE</t>
        </is>
      </c>
      <c r="F1138" t="inlineStr">
        <is>
          <t>Naturvårdsverket</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18965-2025</t>
        </is>
      </c>
      <c r="B1139" s="1" t="n">
        <v>45764.53155092592</v>
      </c>
      <c r="C1139" s="1" t="n">
        <v>46034</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18982-2025</t>
        </is>
      </c>
      <c r="B1140" s="1" t="n">
        <v>45764.55288194444</v>
      </c>
      <c r="C1140" s="1" t="n">
        <v>46034</v>
      </c>
      <c r="D1140" t="inlineStr">
        <is>
          <t>JÄMTLANDS LÄN</t>
        </is>
      </c>
      <c r="E1140" t="inlineStr">
        <is>
          <t>BRÄCKE</t>
        </is>
      </c>
      <c r="F1140" t="inlineStr">
        <is>
          <t>SCA</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53114-2025</t>
        </is>
      </c>
      <c r="B1141" s="1" t="n">
        <v>45958.44440972222</v>
      </c>
      <c r="C1141" s="1" t="n">
        <v>46034</v>
      </c>
      <c r="D1141" t="inlineStr">
        <is>
          <t>JÄMTLANDS LÄN</t>
        </is>
      </c>
      <c r="E1141" t="inlineStr">
        <is>
          <t>BRÄCKE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43785-2022</t>
        </is>
      </c>
      <c r="B1142" s="1" t="n">
        <v>44837</v>
      </c>
      <c r="C1142" s="1" t="n">
        <v>46034</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36222-2025</t>
        </is>
      </c>
      <c r="B1143" s="1" t="n">
        <v>45867.51087962963</v>
      </c>
      <c r="C1143" s="1" t="n">
        <v>46034</v>
      </c>
      <c r="D1143" t="inlineStr">
        <is>
          <t>JÄMTLANDS LÄN</t>
        </is>
      </c>
      <c r="E1143" t="inlineStr">
        <is>
          <t>BRÄCKE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24056-2022</t>
        </is>
      </c>
      <c r="B1144" s="1" t="n">
        <v>44724.938125</v>
      </c>
      <c r="C1144" s="1" t="n">
        <v>46034</v>
      </c>
      <c r="D1144" t="inlineStr">
        <is>
          <t>JÄMTLANDS LÄN</t>
        </is>
      </c>
      <c r="E1144" t="inlineStr">
        <is>
          <t>BRÄCKE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36169-2025</t>
        </is>
      </c>
      <c r="B1145" s="1" t="n">
        <v>45867.38596064815</v>
      </c>
      <c r="C1145" s="1" t="n">
        <v>46034</v>
      </c>
      <c r="D1145" t="inlineStr">
        <is>
          <t>JÄMTLANDS LÄN</t>
        </is>
      </c>
      <c r="E1145" t="inlineStr">
        <is>
          <t>BRÄCKE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36508-2025</t>
        </is>
      </c>
      <c r="B1146" s="1" t="n">
        <v>45869.57351851852</v>
      </c>
      <c r="C1146" s="1" t="n">
        <v>46034</v>
      </c>
      <c r="D1146" t="inlineStr">
        <is>
          <t>JÄMTLANDS LÄN</t>
        </is>
      </c>
      <c r="E1146" t="inlineStr">
        <is>
          <t>BRÄCKE</t>
        </is>
      </c>
      <c r="F1146" t="inlineStr">
        <is>
          <t>SCA</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53169-2025</t>
        </is>
      </c>
      <c r="B1147" s="1" t="n">
        <v>45958.51101851852</v>
      </c>
      <c r="C1147" s="1" t="n">
        <v>46034</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61415-2025</t>
        </is>
      </c>
      <c r="B1148" s="1" t="n">
        <v>46001.53170138889</v>
      </c>
      <c r="C1148" s="1" t="n">
        <v>46034</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20624-2023</t>
        </is>
      </c>
      <c r="B1149" s="1" t="n">
        <v>45057.94346064814</v>
      </c>
      <c r="C1149" s="1" t="n">
        <v>46034</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36507-2025</t>
        </is>
      </c>
      <c r="B1150" s="1" t="n">
        <v>45869.57335648148</v>
      </c>
      <c r="C1150" s="1" t="n">
        <v>46034</v>
      </c>
      <c r="D1150" t="inlineStr">
        <is>
          <t>JÄMTLANDS LÄN</t>
        </is>
      </c>
      <c r="E1150" t="inlineStr">
        <is>
          <t>BRÄCKE</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36386-2025</t>
        </is>
      </c>
      <c r="B1151" s="1" t="n">
        <v>45868.59412037037</v>
      </c>
      <c r="C1151" s="1" t="n">
        <v>46034</v>
      </c>
      <c r="D1151" t="inlineStr">
        <is>
          <t>JÄMTLANDS LÄN</t>
        </is>
      </c>
      <c r="E1151" t="inlineStr">
        <is>
          <t>BRÄCKE</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64302-2023</t>
        </is>
      </c>
      <c r="B1152" s="1" t="n">
        <v>45280</v>
      </c>
      <c r="C1152" s="1" t="n">
        <v>46034</v>
      </c>
      <c r="D1152" t="inlineStr">
        <is>
          <t>JÄMTLANDS LÄN</t>
        </is>
      </c>
      <c r="E1152" t="inlineStr">
        <is>
          <t>BRÄCKE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53943-2025</t>
        </is>
      </c>
      <c r="B1153" s="1" t="n">
        <v>45961.48997685185</v>
      </c>
      <c r="C1153" s="1" t="n">
        <v>46034</v>
      </c>
      <c r="D1153" t="inlineStr">
        <is>
          <t>JÄMTLANDS LÄN</t>
        </is>
      </c>
      <c r="E1153" t="inlineStr">
        <is>
          <t>BRÄCKE</t>
        </is>
      </c>
      <c r="F1153" t="inlineStr">
        <is>
          <t>SCA</t>
        </is>
      </c>
      <c r="G1153" t="n">
        <v>14.2</v>
      </c>
      <c r="H1153" t="n">
        <v>0</v>
      </c>
      <c r="I1153" t="n">
        <v>0</v>
      </c>
      <c r="J1153" t="n">
        <v>0</v>
      </c>
      <c r="K1153" t="n">
        <v>0</v>
      </c>
      <c r="L1153" t="n">
        <v>0</v>
      </c>
      <c r="M1153" t="n">
        <v>0</v>
      </c>
      <c r="N1153" t="n">
        <v>0</v>
      </c>
      <c r="O1153" t="n">
        <v>0</v>
      </c>
      <c r="P1153" t="n">
        <v>0</v>
      </c>
      <c r="Q1153" t="n">
        <v>0</v>
      </c>
      <c r="R1153" s="2" t="inlineStr"/>
    </row>
    <row r="1154" ht="15" customHeight="1">
      <c r="A1154" t="inlineStr">
        <is>
          <t>A 36311-2025</t>
        </is>
      </c>
      <c r="B1154" s="1" t="n">
        <v>45868.34434027778</v>
      </c>
      <c r="C1154" s="1" t="n">
        <v>46034</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61173-2025</t>
        </is>
      </c>
      <c r="B1155" s="1" t="n">
        <v>46000</v>
      </c>
      <c r="C1155" s="1" t="n">
        <v>46034</v>
      </c>
      <c r="D1155" t="inlineStr">
        <is>
          <t>JÄMTLANDS LÄN</t>
        </is>
      </c>
      <c r="E1155" t="inlineStr">
        <is>
          <t>BRÄCKE</t>
        </is>
      </c>
      <c r="G1155" t="n">
        <v>16.5</v>
      </c>
      <c r="H1155" t="n">
        <v>0</v>
      </c>
      <c r="I1155" t="n">
        <v>0</v>
      </c>
      <c r="J1155" t="n">
        <v>0</v>
      </c>
      <c r="K1155" t="n">
        <v>0</v>
      </c>
      <c r="L1155" t="n">
        <v>0</v>
      </c>
      <c r="M1155" t="n">
        <v>0</v>
      </c>
      <c r="N1155" t="n">
        <v>0</v>
      </c>
      <c r="O1155" t="n">
        <v>0</v>
      </c>
      <c r="P1155" t="n">
        <v>0</v>
      </c>
      <c r="Q1155" t="n">
        <v>0</v>
      </c>
      <c r="R1155" s="2" t="inlineStr"/>
    </row>
    <row r="1156" ht="15" customHeight="1">
      <c r="A1156" t="inlineStr">
        <is>
          <t>A 36534-2025</t>
        </is>
      </c>
      <c r="B1156" s="1" t="n">
        <v>45869.61495370371</v>
      </c>
      <c r="C1156" s="1" t="n">
        <v>46034</v>
      </c>
      <c r="D1156" t="inlineStr">
        <is>
          <t>JÄMTLANDS LÄN</t>
        </is>
      </c>
      <c r="E1156" t="inlineStr">
        <is>
          <t>BRÄCKE</t>
        </is>
      </c>
      <c r="F1156" t="inlineStr">
        <is>
          <t>SCA</t>
        </is>
      </c>
      <c r="G1156" t="n">
        <v>22.1</v>
      </c>
      <c r="H1156" t="n">
        <v>0</v>
      </c>
      <c r="I1156" t="n">
        <v>0</v>
      </c>
      <c r="J1156" t="n">
        <v>0</v>
      </c>
      <c r="K1156" t="n">
        <v>0</v>
      </c>
      <c r="L1156" t="n">
        <v>0</v>
      </c>
      <c r="M1156" t="n">
        <v>0</v>
      </c>
      <c r="N1156" t="n">
        <v>0</v>
      </c>
      <c r="O1156" t="n">
        <v>0</v>
      </c>
      <c r="P1156" t="n">
        <v>0</v>
      </c>
      <c r="Q1156" t="n">
        <v>0</v>
      </c>
      <c r="R1156" s="2" t="inlineStr"/>
    </row>
    <row r="1157" ht="15" customHeight="1">
      <c r="A1157" t="inlineStr">
        <is>
          <t>A 54010-2025</t>
        </is>
      </c>
      <c r="B1157" s="1" t="n">
        <v>45961.6153125</v>
      </c>
      <c r="C1157" s="1" t="n">
        <v>46034</v>
      </c>
      <c r="D1157" t="inlineStr">
        <is>
          <t>JÄMTLANDS LÄN</t>
        </is>
      </c>
      <c r="E1157" t="inlineStr">
        <is>
          <t>BRÄCKE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54011-2025</t>
        </is>
      </c>
      <c r="B1158" s="1" t="n">
        <v>45961.61545138889</v>
      </c>
      <c r="C1158" s="1" t="n">
        <v>46034</v>
      </c>
      <c r="D1158" t="inlineStr">
        <is>
          <t>JÄMTLANDS LÄN</t>
        </is>
      </c>
      <c r="E1158" t="inlineStr">
        <is>
          <t>BRÄCKE</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53260-2024</t>
        </is>
      </c>
      <c r="B1159" s="1" t="n">
        <v>45614</v>
      </c>
      <c r="C1159" s="1" t="n">
        <v>46034</v>
      </c>
      <c r="D1159" t="inlineStr">
        <is>
          <t>JÄMTLANDS LÄN</t>
        </is>
      </c>
      <c r="E1159" t="inlineStr">
        <is>
          <t>BRÄCKE</t>
        </is>
      </c>
      <c r="F1159" t="inlineStr">
        <is>
          <t>SCA</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59416-2023</t>
        </is>
      </c>
      <c r="B1160" s="1" t="n">
        <v>45253</v>
      </c>
      <c r="C1160" s="1" t="n">
        <v>46034</v>
      </c>
      <c r="D1160" t="inlineStr">
        <is>
          <t>JÄMTLANDS LÄN</t>
        </is>
      </c>
      <c r="E1160" t="inlineStr">
        <is>
          <t>BRÄCKE</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49709-2024</t>
        </is>
      </c>
      <c r="B1161" s="1" t="n">
        <v>45596.69858796296</v>
      </c>
      <c r="C1161" s="1" t="n">
        <v>46034</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61903-2025</t>
        </is>
      </c>
      <c r="B1162" s="1" t="n">
        <v>46003.46973379629</v>
      </c>
      <c r="C1162" s="1" t="n">
        <v>46034</v>
      </c>
      <c r="D1162" t="inlineStr">
        <is>
          <t>JÄMTLANDS LÄN</t>
        </is>
      </c>
      <c r="E1162" t="inlineStr">
        <is>
          <t>BRÄCKE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17568-2023</t>
        </is>
      </c>
      <c r="B1163" s="1" t="n">
        <v>45036</v>
      </c>
      <c r="C1163" s="1" t="n">
        <v>46034</v>
      </c>
      <c r="D1163" t="inlineStr">
        <is>
          <t>JÄMTLANDS LÄN</t>
        </is>
      </c>
      <c r="E1163" t="inlineStr">
        <is>
          <t>BRÄCKE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61859-2025</t>
        </is>
      </c>
      <c r="B1164" s="1" t="n">
        <v>46003.38662037037</v>
      </c>
      <c r="C1164" s="1" t="n">
        <v>46034</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49185-2024</t>
        </is>
      </c>
      <c r="B1165" s="1" t="n">
        <v>45595.34466435185</v>
      </c>
      <c r="C1165" s="1" t="n">
        <v>46034</v>
      </c>
      <c r="D1165" t="inlineStr">
        <is>
          <t>JÄMTLANDS LÄN</t>
        </is>
      </c>
      <c r="E1165" t="inlineStr">
        <is>
          <t>BRÄCKE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54007-2025</t>
        </is>
      </c>
      <c r="B1166" s="1" t="n">
        <v>45961.61497685185</v>
      </c>
      <c r="C1166" s="1" t="n">
        <v>46034</v>
      </c>
      <c r="D1166" t="inlineStr">
        <is>
          <t>JÄMTLANDS LÄN</t>
        </is>
      </c>
      <c r="E1166" t="inlineStr">
        <is>
          <t>BRÄCKE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57011-2022</t>
        </is>
      </c>
      <c r="B1167" s="1" t="n">
        <v>44894</v>
      </c>
      <c r="C1167" s="1" t="n">
        <v>46034</v>
      </c>
      <c r="D1167" t="inlineStr">
        <is>
          <t>JÄMTLANDS LÄN</t>
        </is>
      </c>
      <c r="E1167" t="inlineStr">
        <is>
          <t>BRÄCKE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38862-2024</t>
        </is>
      </c>
      <c r="B1168" s="1" t="n">
        <v>45547.63063657407</v>
      </c>
      <c r="C1168" s="1" t="n">
        <v>46034</v>
      </c>
      <c r="D1168" t="inlineStr">
        <is>
          <t>JÄMTLANDS LÄN</t>
        </is>
      </c>
      <c r="E1168" t="inlineStr">
        <is>
          <t>BRÄCKE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57412-2023</t>
        </is>
      </c>
      <c r="B1169" s="1" t="n">
        <v>45245</v>
      </c>
      <c r="C1169" s="1" t="n">
        <v>46034</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57419-2023</t>
        </is>
      </c>
      <c r="B1170" s="1" t="n">
        <v>45245.96983796296</v>
      </c>
      <c r="C1170" s="1" t="n">
        <v>46034</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41647-2023</t>
        </is>
      </c>
      <c r="B1171" s="1" t="n">
        <v>45175.95690972222</v>
      </c>
      <c r="C1171" s="1" t="n">
        <v>46034</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10110-2025</t>
        </is>
      </c>
      <c r="B1172" s="1" t="n">
        <v>45719.58855324074</v>
      </c>
      <c r="C1172" s="1" t="n">
        <v>46034</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37117-2025</t>
        </is>
      </c>
      <c r="B1173" s="1" t="n">
        <v>45875.51163194444</v>
      </c>
      <c r="C1173" s="1" t="n">
        <v>46034</v>
      </c>
      <c r="D1173" t="inlineStr">
        <is>
          <t>JÄMTLANDS LÄN</t>
        </is>
      </c>
      <c r="E1173" t="inlineStr">
        <is>
          <t>BRÄCKE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53608-2024</t>
        </is>
      </c>
      <c r="B1174" s="1" t="n">
        <v>45614</v>
      </c>
      <c r="C1174" s="1" t="n">
        <v>46034</v>
      </c>
      <c r="D1174" t="inlineStr">
        <is>
          <t>JÄMTLANDS LÄN</t>
        </is>
      </c>
      <c r="E1174" t="inlineStr">
        <is>
          <t>BRÄCKE</t>
        </is>
      </c>
      <c r="F1174" t="inlineStr">
        <is>
          <t>SCA</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52127-2023</t>
        </is>
      </c>
      <c r="B1175" s="1" t="n">
        <v>45223.96543981481</v>
      </c>
      <c r="C1175" s="1" t="n">
        <v>46034</v>
      </c>
      <c r="D1175" t="inlineStr">
        <is>
          <t>JÄMTLANDS LÄN</t>
        </is>
      </c>
      <c r="E1175" t="inlineStr">
        <is>
          <t>BRÄCKE</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37116-2025</t>
        </is>
      </c>
      <c r="B1176" s="1" t="n">
        <v>45875.51150462963</v>
      </c>
      <c r="C1176" s="1" t="n">
        <v>46034</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37093-2025</t>
        </is>
      </c>
      <c r="B1177" s="1" t="n">
        <v>45875.46909722222</v>
      </c>
      <c r="C1177" s="1" t="n">
        <v>46034</v>
      </c>
      <c r="D1177" t="inlineStr">
        <is>
          <t>JÄMTLANDS LÄN</t>
        </is>
      </c>
      <c r="E1177" t="inlineStr">
        <is>
          <t>BRÄCKE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61587-2025</t>
        </is>
      </c>
      <c r="B1178" s="1" t="n">
        <v>46002.34481481482</v>
      </c>
      <c r="C1178" s="1" t="n">
        <v>46034</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37185-2025</t>
        </is>
      </c>
      <c r="B1179" s="1" t="n">
        <v>45875.63608796296</v>
      </c>
      <c r="C1179" s="1" t="n">
        <v>46034</v>
      </c>
      <c r="D1179" t="inlineStr">
        <is>
          <t>JÄMTLANDS LÄN</t>
        </is>
      </c>
      <c r="E1179" t="inlineStr">
        <is>
          <t>BRÄCKE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29456-2024</t>
        </is>
      </c>
      <c r="B1180" s="1" t="n">
        <v>45483.96898148148</v>
      </c>
      <c r="C1180" s="1" t="n">
        <v>46034</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29460-2024</t>
        </is>
      </c>
      <c r="B1181" s="1" t="n">
        <v>45483.96952546296</v>
      </c>
      <c r="C1181" s="1" t="n">
        <v>46034</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37074-2025</t>
        </is>
      </c>
      <c r="B1182" s="1" t="n">
        <v>45875.40717592592</v>
      </c>
      <c r="C1182" s="1" t="n">
        <v>46034</v>
      </c>
      <c r="D1182" t="inlineStr">
        <is>
          <t>JÄMTLANDS LÄN</t>
        </is>
      </c>
      <c r="E1182" t="inlineStr">
        <is>
          <t>BRÄCKE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16634-2025</t>
        </is>
      </c>
      <c r="B1183" s="1" t="n">
        <v>45754.3653125</v>
      </c>
      <c r="C1183" s="1" t="n">
        <v>46034</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36970-2025</t>
        </is>
      </c>
      <c r="B1184" s="1" t="n">
        <v>45874.63700231481</v>
      </c>
      <c r="C1184" s="1" t="n">
        <v>46034</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35395-2024</t>
        </is>
      </c>
      <c r="B1185" s="1" t="n">
        <v>45531.403125</v>
      </c>
      <c r="C1185" s="1" t="n">
        <v>46034</v>
      </c>
      <c r="D1185" t="inlineStr">
        <is>
          <t>JÄMTLANDS LÄN</t>
        </is>
      </c>
      <c r="E1185" t="inlineStr">
        <is>
          <t>BRÄCKE</t>
        </is>
      </c>
      <c r="F1185" t="inlineStr">
        <is>
          <t>SCA</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35400-2024</t>
        </is>
      </c>
      <c r="B1186" s="1" t="n">
        <v>45531.40457175926</v>
      </c>
      <c r="C1186" s="1" t="n">
        <v>46034</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37459-2025</t>
        </is>
      </c>
      <c r="B1187" s="1" t="n">
        <v>45877.57327546296</v>
      </c>
      <c r="C1187" s="1" t="n">
        <v>46034</v>
      </c>
      <c r="D1187" t="inlineStr">
        <is>
          <t>JÄMTLANDS LÄN</t>
        </is>
      </c>
      <c r="E1187" t="inlineStr">
        <is>
          <t>BRÄCKE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46034</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37464-2025</t>
        </is>
      </c>
      <c r="B1189" s="1" t="n">
        <v>45877.57395833333</v>
      </c>
      <c r="C1189" s="1" t="n">
        <v>46034</v>
      </c>
      <c r="D1189" t="inlineStr">
        <is>
          <t>JÄMTLANDS LÄN</t>
        </is>
      </c>
      <c r="E1189" t="inlineStr">
        <is>
          <t>BRÄCKE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37377-2025</t>
        </is>
      </c>
      <c r="B1190" s="1" t="n">
        <v>45877.3653125</v>
      </c>
      <c r="C1190" s="1" t="n">
        <v>46034</v>
      </c>
      <c r="D1190" t="inlineStr">
        <is>
          <t>JÄMTLANDS LÄN</t>
        </is>
      </c>
      <c r="E1190" t="inlineStr">
        <is>
          <t>BRÄCKE</t>
        </is>
      </c>
      <c r="F1190" t="inlineStr">
        <is>
          <t>SCA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62022-2025</t>
        </is>
      </c>
      <c r="B1191" s="1" t="n">
        <v>46003.69835648148</v>
      </c>
      <c r="C1191" s="1" t="n">
        <v>46034</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54009-2025</t>
        </is>
      </c>
      <c r="B1192" s="1" t="n">
        <v>45961.61516203704</v>
      </c>
      <c r="C1192" s="1" t="n">
        <v>46034</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37394-2025</t>
        </is>
      </c>
      <c r="B1193" s="1" t="n">
        <v>45877.4275462963</v>
      </c>
      <c r="C1193" s="1" t="n">
        <v>46034</v>
      </c>
      <c r="D1193" t="inlineStr">
        <is>
          <t>JÄMTLANDS LÄN</t>
        </is>
      </c>
      <c r="E1193" t="inlineStr">
        <is>
          <t>BRÄCKE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37412-2025</t>
        </is>
      </c>
      <c r="B1194" s="1" t="n">
        <v>45877.46915509259</v>
      </c>
      <c r="C1194" s="1" t="n">
        <v>46034</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37403-2025</t>
        </is>
      </c>
      <c r="B1195" s="1" t="n">
        <v>45877.44828703703</v>
      </c>
      <c r="C1195" s="1" t="n">
        <v>46034</v>
      </c>
      <c r="D1195" t="inlineStr">
        <is>
          <t>JÄMTLANDS LÄN</t>
        </is>
      </c>
      <c r="E1195" t="inlineStr">
        <is>
          <t>BRÄCKE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37411-2025</t>
        </is>
      </c>
      <c r="B1196" s="1" t="n">
        <v>45877.46912037037</v>
      </c>
      <c r="C1196" s="1" t="n">
        <v>46034</v>
      </c>
      <c r="D1196" t="inlineStr">
        <is>
          <t>JÄMTLANDS LÄN</t>
        </is>
      </c>
      <c r="E1196" t="inlineStr">
        <is>
          <t>BRÄCKE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37460-2025</t>
        </is>
      </c>
      <c r="B1197" s="1" t="n">
        <v>45877.57342592593</v>
      </c>
      <c r="C1197" s="1" t="n">
        <v>46034</v>
      </c>
      <c r="D1197" t="inlineStr">
        <is>
          <t>JÄMTLANDS LÄN</t>
        </is>
      </c>
      <c r="E1197" t="inlineStr">
        <is>
          <t>BRÄCKE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37241-2025</t>
        </is>
      </c>
      <c r="B1198" s="1" t="n">
        <v>45876.38599537037</v>
      </c>
      <c r="C1198" s="1" t="n">
        <v>46034</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37423-2025</t>
        </is>
      </c>
      <c r="B1199" s="1" t="n">
        <v>45877.48996527777</v>
      </c>
      <c r="C1199" s="1" t="n">
        <v>46034</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35766-2023</t>
        </is>
      </c>
      <c r="B1200" s="1" t="n">
        <v>45147</v>
      </c>
      <c r="C1200" s="1" t="n">
        <v>46034</v>
      </c>
      <c r="D1200" t="inlineStr">
        <is>
          <t>JÄMTLANDS LÄN</t>
        </is>
      </c>
      <c r="E1200" t="inlineStr">
        <is>
          <t>BRÄCKE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7943-2025</t>
        </is>
      </c>
      <c r="B1201" s="1" t="n">
        <v>45707.40697916667</v>
      </c>
      <c r="C1201" s="1" t="n">
        <v>46034</v>
      </c>
      <c r="D1201" t="inlineStr">
        <is>
          <t>JÄMTLANDS LÄN</t>
        </is>
      </c>
      <c r="E1201" t="inlineStr">
        <is>
          <t>BRÄCKE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50220-2023</t>
        </is>
      </c>
      <c r="B1202" s="1" t="n">
        <v>45215</v>
      </c>
      <c r="C1202" s="1" t="n">
        <v>46034</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31888-2024</t>
        </is>
      </c>
      <c r="B1203" s="1" t="n">
        <v>45509</v>
      </c>
      <c r="C1203" s="1" t="n">
        <v>46034</v>
      </c>
      <c r="D1203" t="inlineStr">
        <is>
          <t>JÄMTLANDS LÄN</t>
        </is>
      </c>
      <c r="E1203" t="inlineStr">
        <is>
          <t>BRÄCKE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37974-2025</t>
        </is>
      </c>
      <c r="B1204" s="1" t="n">
        <v>45881.67743055556</v>
      </c>
      <c r="C1204" s="1" t="n">
        <v>46034</v>
      </c>
      <c r="D1204" t="inlineStr">
        <is>
          <t>JÄMTLANDS LÄN</t>
        </is>
      </c>
      <c r="E1204" t="inlineStr">
        <is>
          <t>BRÄCKE</t>
        </is>
      </c>
      <c r="F1204" t="inlineStr">
        <is>
          <t>SCA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37887-2025</t>
        </is>
      </c>
      <c r="B1205" s="1" t="n">
        <v>45881.51099537037</v>
      </c>
      <c r="C1205" s="1" t="n">
        <v>46034</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37585-2025</t>
        </is>
      </c>
      <c r="B1206" s="1" t="n">
        <v>45880.40076388889</v>
      </c>
      <c r="C1206" s="1" t="n">
        <v>46034</v>
      </c>
      <c r="D1206" t="inlineStr">
        <is>
          <t>JÄMTLANDS LÄN</t>
        </is>
      </c>
      <c r="E1206" t="inlineStr">
        <is>
          <t>BRÄCKE</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26100-2021</t>
        </is>
      </c>
      <c r="B1207" s="1" t="n">
        <v>44344.93584490741</v>
      </c>
      <c r="C1207" s="1" t="n">
        <v>46034</v>
      </c>
      <c r="D1207" t="inlineStr">
        <is>
          <t>JÄMTLANDS LÄN</t>
        </is>
      </c>
      <c r="E1207" t="inlineStr">
        <is>
          <t>BRÄCKE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62023-2025</t>
        </is>
      </c>
      <c r="B1208" s="1" t="n">
        <v>46003.69858796296</v>
      </c>
      <c r="C1208" s="1" t="n">
        <v>46034</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61862-2025</t>
        </is>
      </c>
      <c r="B1209" s="1" t="n">
        <v>46003.38708333333</v>
      </c>
      <c r="C1209" s="1" t="n">
        <v>46034</v>
      </c>
      <c r="D1209" t="inlineStr">
        <is>
          <t>JÄMTLANDS LÄN</t>
        </is>
      </c>
      <c r="E1209" t="inlineStr">
        <is>
          <t>BRÄCKE</t>
        </is>
      </c>
      <c r="F1209" t="inlineStr">
        <is>
          <t>SCA</t>
        </is>
      </c>
      <c r="G1209" t="n">
        <v>12.1</v>
      </c>
      <c r="H1209" t="n">
        <v>0</v>
      </c>
      <c r="I1209" t="n">
        <v>0</v>
      </c>
      <c r="J1209" t="n">
        <v>0</v>
      </c>
      <c r="K1209" t="n">
        <v>0</v>
      </c>
      <c r="L1209" t="n">
        <v>0</v>
      </c>
      <c r="M1209" t="n">
        <v>0</v>
      </c>
      <c r="N1209" t="n">
        <v>0</v>
      </c>
      <c r="O1209" t="n">
        <v>0</v>
      </c>
      <c r="P1209" t="n">
        <v>0</v>
      </c>
      <c r="Q1209" t="n">
        <v>0</v>
      </c>
      <c r="R1209" s="2" t="inlineStr"/>
    </row>
    <row r="1210" ht="15" customHeight="1">
      <c r="A1210" t="inlineStr">
        <is>
          <t>A 37709-2025</t>
        </is>
      </c>
      <c r="B1210" s="1" t="n">
        <v>45880.59458333333</v>
      </c>
      <c r="C1210" s="1" t="n">
        <v>46034</v>
      </c>
      <c r="D1210" t="inlineStr">
        <is>
          <t>JÄMTLANDS LÄN</t>
        </is>
      </c>
      <c r="E1210" t="inlineStr">
        <is>
          <t>BRÄCKE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23687-2022</t>
        </is>
      </c>
      <c r="B1211" s="1" t="n">
        <v>44721</v>
      </c>
      <c r="C1211" s="1" t="n">
        <v>46034</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53829-2025</t>
        </is>
      </c>
      <c r="B1212" s="1" t="n">
        <v>45961.34475694445</v>
      </c>
      <c r="C1212" s="1" t="n">
        <v>46034</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37938-2025</t>
        </is>
      </c>
      <c r="B1213" s="1" t="n">
        <v>45880</v>
      </c>
      <c r="C1213" s="1" t="n">
        <v>46034</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50840-2023</t>
        </is>
      </c>
      <c r="B1214" s="1" t="n">
        <v>45217</v>
      </c>
      <c r="C1214" s="1" t="n">
        <v>46034</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53844-2025</t>
        </is>
      </c>
      <c r="B1215" s="1" t="n">
        <v>45961.36488425926</v>
      </c>
      <c r="C1215" s="1" t="n">
        <v>46034</v>
      </c>
      <c r="D1215" t="inlineStr">
        <is>
          <t>JÄMTLANDS LÄN</t>
        </is>
      </c>
      <c r="E1215" t="inlineStr">
        <is>
          <t>BRÄCKE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53868-2025</t>
        </is>
      </c>
      <c r="B1216" s="1" t="n">
        <v>45961.38594907407</v>
      </c>
      <c r="C1216" s="1" t="n">
        <v>46034</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61827-2025</t>
        </is>
      </c>
      <c r="B1217" s="1" t="n">
        <v>46003.33991898148</v>
      </c>
      <c r="C1217" s="1" t="n">
        <v>46034</v>
      </c>
      <c r="D1217" t="inlineStr">
        <is>
          <t>JÄMTLANDS LÄN</t>
        </is>
      </c>
      <c r="E1217" t="inlineStr">
        <is>
          <t>BRÄCKE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38030-2025</t>
        </is>
      </c>
      <c r="B1218" s="1" t="n">
        <v>45882.36521990741</v>
      </c>
      <c r="C1218" s="1" t="n">
        <v>46034</v>
      </c>
      <c r="D1218" t="inlineStr">
        <is>
          <t>JÄMTLANDS LÄN</t>
        </is>
      </c>
      <c r="E1218" t="inlineStr">
        <is>
          <t>BRÄCKE</t>
        </is>
      </c>
      <c r="F1218" t="inlineStr">
        <is>
          <t>SCA</t>
        </is>
      </c>
      <c r="G1218" t="n">
        <v>11.6</v>
      </c>
      <c r="H1218" t="n">
        <v>0</v>
      </c>
      <c r="I1218" t="n">
        <v>0</v>
      </c>
      <c r="J1218" t="n">
        <v>0</v>
      </c>
      <c r="K1218" t="n">
        <v>0</v>
      </c>
      <c r="L1218" t="n">
        <v>0</v>
      </c>
      <c r="M1218" t="n">
        <v>0</v>
      </c>
      <c r="N1218" t="n">
        <v>0</v>
      </c>
      <c r="O1218" t="n">
        <v>0</v>
      </c>
      <c r="P1218" t="n">
        <v>0</v>
      </c>
      <c r="Q1218" t="n">
        <v>0</v>
      </c>
      <c r="R1218" s="2" t="inlineStr"/>
    </row>
    <row r="1219" ht="15" customHeight="1">
      <c r="A1219" t="inlineStr">
        <is>
          <t>A 38324-2025</t>
        </is>
      </c>
      <c r="B1219" s="1" t="n">
        <v>45883.49037037037</v>
      </c>
      <c r="C1219" s="1" t="n">
        <v>46034</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38072-2025</t>
        </is>
      </c>
      <c r="B1220" s="1" t="n">
        <v>45882</v>
      </c>
      <c r="C1220" s="1" t="n">
        <v>46034</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38304-2025</t>
        </is>
      </c>
      <c r="B1221" s="1" t="n">
        <v>45883.46912037037</v>
      </c>
      <c r="C1221" s="1" t="n">
        <v>46034</v>
      </c>
      <c r="D1221" t="inlineStr">
        <is>
          <t>JÄMTLANDS LÄN</t>
        </is>
      </c>
      <c r="E1221" t="inlineStr">
        <is>
          <t>BRÄCKE</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38361-2025</t>
        </is>
      </c>
      <c r="B1222" s="1" t="n">
        <v>45883.53303240741</v>
      </c>
      <c r="C1222" s="1" t="n">
        <v>46034</v>
      </c>
      <c r="D1222" t="inlineStr">
        <is>
          <t>JÄMTLANDS LÄN</t>
        </is>
      </c>
      <c r="E1222" t="inlineStr">
        <is>
          <t>BRÄCKE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38456-2025</t>
        </is>
      </c>
      <c r="B1223" s="1" t="n">
        <v>45883.69831018519</v>
      </c>
      <c r="C1223" s="1" t="n">
        <v>46034</v>
      </c>
      <c r="D1223" t="inlineStr">
        <is>
          <t>JÄMTLANDS LÄN</t>
        </is>
      </c>
      <c r="E1223" t="inlineStr">
        <is>
          <t>BRÄCKE</t>
        </is>
      </c>
      <c r="F1223" t="inlineStr">
        <is>
          <t>SCA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38326-2025</t>
        </is>
      </c>
      <c r="B1224" s="1" t="n">
        <v>45883.49070601852</v>
      </c>
      <c r="C1224" s="1" t="n">
        <v>46034</v>
      </c>
      <c r="D1224" t="inlineStr">
        <is>
          <t>JÄMTLANDS LÄN</t>
        </is>
      </c>
      <c r="E1224" t="inlineStr">
        <is>
          <t>BRÄCKE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38333-2025</t>
        </is>
      </c>
      <c r="B1225" s="1" t="n">
        <v>45883.49164351852</v>
      </c>
      <c r="C1225" s="1" t="n">
        <v>46034</v>
      </c>
      <c r="D1225" t="inlineStr">
        <is>
          <t>JÄMTLANDS LÄN</t>
        </is>
      </c>
      <c r="E1225" t="inlineStr">
        <is>
          <t>BRÄCKE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38459-2025</t>
        </is>
      </c>
      <c r="B1226" s="1" t="n">
        <v>45883.71927083333</v>
      </c>
      <c r="C1226" s="1" t="n">
        <v>46034</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38095-2025</t>
        </is>
      </c>
      <c r="B1227" s="1" t="n">
        <v>45882.49050925926</v>
      </c>
      <c r="C1227" s="1" t="n">
        <v>46034</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38381-2025</t>
        </is>
      </c>
      <c r="B1228" s="1" t="n">
        <v>45883.57380787037</v>
      </c>
      <c r="C1228" s="1" t="n">
        <v>46034</v>
      </c>
      <c r="D1228" t="inlineStr">
        <is>
          <t>JÄMTLANDS LÄN</t>
        </is>
      </c>
      <c r="E1228" t="inlineStr">
        <is>
          <t>BRÄCKE</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62406-2025</t>
        </is>
      </c>
      <c r="B1229" s="1" t="n">
        <v>46007.4287962963</v>
      </c>
      <c r="C1229" s="1" t="n">
        <v>46034</v>
      </c>
      <c r="D1229" t="inlineStr">
        <is>
          <t>JÄMTLANDS LÄN</t>
        </is>
      </c>
      <c r="E1229" t="inlineStr">
        <is>
          <t>BRÄCKE</t>
        </is>
      </c>
      <c r="F1229" t="inlineStr">
        <is>
          <t>Övriga Aktiebolag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62445-2025</t>
        </is>
      </c>
      <c r="B1230" s="1" t="n">
        <v>46007.484375</v>
      </c>
      <c r="C1230" s="1" t="n">
        <v>46034</v>
      </c>
      <c r="D1230" t="inlineStr">
        <is>
          <t>JÄMTLANDS LÄN</t>
        </is>
      </c>
      <c r="E1230" t="inlineStr">
        <is>
          <t>BRÄCKE</t>
        </is>
      </c>
      <c r="F1230" t="inlineStr">
        <is>
          <t>Övriga Aktiebolag</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62457-2025</t>
        </is>
      </c>
      <c r="B1231" s="1" t="n">
        <v>46007.50248842593</v>
      </c>
      <c r="C1231" s="1" t="n">
        <v>46034</v>
      </c>
      <c r="D1231" t="inlineStr">
        <is>
          <t>JÄMTLANDS LÄN</t>
        </is>
      </c>
      <c r="E1231" t="inlineStr">
        <is>
          <t>BRÄCKE</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62460-2025</t>
        </is>
      </c>
      <c r="B1232" s="1" t="n">
        <v>46007.50479166667</v>
      </c>
      <c r="C1232" s="1" t="n">
        <v>46034</v>
      </c>
      <c r="D1232" t="inlineStr">
        <is>
          <t>JÄMTLANDS LÄN</t>
        </is>
      </c>
      <c r="E1232" t="inlineStr">
        <is>
          <t>BRÄCKE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2581-2025</t>
        </is>
      </c>
      <c r="B1233" s="1" t="n">
        <v>45674.67771990741</v>
      </c>
      <c r="C1233" s="1" t="n">
        <v>46034</v>
      </c>
      <c r="D1233" t="inlineStr">
        <is>
          <t>JÄMTLANDS LÄN</t>
        </is>
      </c>
      <c r="E1233" t="inlineStr">
        <is>
          <t>BRÄCKE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38329-2025</t>
        </is>
      </c>
      <c r="B1234" s="1" t="n">
        <v>45883.49111111111</v>
      </c>
      <c r="C1234" s="1" t="n">
        <v>46034</v>
      </c>
      <c r="D1234" t="inlineStr">
        <is>
          <t>JÄMTLANDS LÄN</t>
        </is>
      </c>
      <c r="E1234" t="inlineStr">
        <is>
          <t>BRÄCKE</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38123-2025</t>
        </is>
      </c>
      <c r="B1235" s="1" t="n">
        <v>45882.55259259259</v>
      </c>
      <c r="C1235" s="1" t="n">
        <v>46034</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54160-2025</t>
        </is>
      </c>
      <c r="B1236" s="1" t="n">
        <v>45964.50528935185</v>
      </c>
      <c r="C1236" s="1" t="n">
        <v>46034</v>
      </c>
      <c r="D1236" t="inlineStr">
        <is>
          <t>JÄMTLANDS LÄN</t>
        </is>
      </c>
      <c r="E1236" t="inlineStr">
        <is>
          <t>BRÄCKE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38378-2025</t>
        </is>
      </c>
      <c r="B1237" s="1" t="n">
        <v>45883.57368055556</v>
      </c>
      <c r="C1237" s="1" t="n">
        <v>46034</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38391-2025</t>
        </is>
      </c>
      <c r="B1238" s="1" t="n">
        <v>45883.57501157407</v>
      </c>
      <c r="C1238" s="1" t="n">
        <v>46034</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38328-2025</t>
        </is>
      </c>
      <c r="B1239" s="1" t="n">
        <v>45883.4909837963</v>
      </c>
      <c r="C1239" s="1" t="n">
        <v>46034</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38358-2025</t>
        </is>
      </c>
      <c r="B1240" s="1" t="n">
        <v>45883.5327662037</v>
      </c>
      <c r="C1240" s="1" t="n">
        <v>46034</v>
      </c>
      <c r="D1240" t="inlineStr">
        <is>
          <t>JÄMTLANDS LÄN</t>
        </is>
      </c>
      <c r="E1240" t="inlineStr">
        <is>
          <t>BRÄCKE</t>
        </is>
      </c>
      <c r="F1240" t="inlineStr">
        <is>
          <t>SCA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38025-2025</t>
        </is>
      </c>
      <c r="B1241" s="1" t="n">
        <v>45882.34527777778</v>
      </c>
      <c r="C1241" s="1" t="n">
        <v>46034</v>
      </c>
      <c r="D1241" t="inlineStr">
        <is>
          <t>JÄMTLANDS LÄN</t>
        </is>
      </c>
      <c r="E1241" t="inlineStr">
        <is>
          <t>BRÄCKE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62546-2025</t>
        </is>
      </c>
      <c r="B1242" s="1" t="n">
        <v>46007.6616087963</v>
      </c>
      <c r="C1242" s="1" t="n">
        <v>46034</v>
      </c>
      <c r="D1242" t="inlineStr">
        <is>
          <t>JÄMTLANDS LÄN</t>
        </is>
      </c>
      <c r="E1242" t="inlineStr">
        <is>
          <t>BRÄCKE</t>
        </is>
      </c>
      <c r="G1242" t="n">
        <v>14.1</v>
      </c>
      <c r="H1242" t="n">
        <v>0</v>
      </c>
      <c r="I1242" t="n">
        <v>0</v>
      </c>
      <c r="J1242" t="n">
        <v>0</v>
      </c>
      <c r="K1242" t="n">
        <v>0</v>
      </c>
      <c r="L1242" t="n">
        <v>0</v>
      </c>
      <c r="M1242" t="n">
        <v>0</v>
      </c>
      <c r="N1242" t="n">
        <v>0</v>
      </c>
      <c r="O1242" t="n">
        <v>0</v>
      </c>
      <c r="P1242" t="n">
        <v>0</v>
      </c>
      <c r="Q1242" t="n">
        <v>0</v>
      </c>
      <c r="R1242" s="2" t="inlineStr"/>
    </row>
    <row r="1243" ht="15" customHeight="1">
      <c r="A1243" t="inlineStr">
        <is>
          <t>A 38245-2025</t>
        </is>
      </c>
      <c r="B1243" s="1" t="n">
        <v>45883.36563657408</v>
      </c>
      <c r="C1243" s="1" t="n">
        <v>46034</v>
      </c>
      <c r="D1243" t="inlineStr">
        <is>
          <t>JÄMTLANDS LÄN</t>
        </is>
      </c>
      <c r="E1243" t="inlineStr">
        <is>
          <t>BRÄCKE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38353-2025</t>
        </is>
      </c>
      <c r="B1244" s="1" t="n">
        <v>45883.53201388889</v>
      </c>
      <c r="C1244" s="1" t="n">
        <v>46034</v>
      </c>
      <c r="D1244" t="inlineStr">
        <is>
          <t>JÄMTLANDS LÄN</t>
        </is>
      </c>
      <c r="E1244" t="inlineStr">
        <is>
          <t>BRÄCKE</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54316-2025</t>
        </is>
      </c>
      <c r="B1245" s="1" t="n">
        <v>45965.32975694445</v>
      </c>
      <c r="C1245" s="1" t="n">
        <v>46034</v>
      </c>
      <c r="D1245" t="inlineStr">
        <is>
          <t>JÄMTLANDS LÄN</t>
        </is>
      </c>
      <c r="E1245" t="inlineStr">
        <is>
          <t>BRÄCKE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41923-2023</t>
        </is>
      </c>
      <c r="B1246" s="1" t="n">
        <v>45176</v>
      </c>
      <c r="C1246" s="1" t="n">
        <v>46034</v>
      </c>
      <c r="D1246" t="inlineStr">
        <is>
          <t>JÄMTLANDS LÄN</t>
        </is>
      </c>
      <c r="E1246" t="inlineStr">
        <is>
          <t>BRÄCKE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54372-2025</t>
        </is>
      </c>
      <c r="B1247" s="1" t="n">
        <v>45965.41297453704</v>
      </c>
      <c r="C1247" s="1" t="n">
        <v>46034</v>
      </c>
      <c r="D1247" t="inlineStr">
        <is>
          <t>JÄMTLANDS LÄN</t>
        </is>
      </c>
      <c r="E1247" t="inlineStr">
        <is>
          <t>BRÄCKE</t>
        </is>
      </c>
      <c r="F1247" t="inlineStr">
        <is>
          <t>Övriga Aktiebolag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37824-2025</t>
        </is>
      </c>
      <c r="B1248" s="1" t="n">
        <v>45881.40686342592</v>
      </c>
      <c r="C1248" s="1" t="n">
        <v>46034</v>
      </c>
      <c r="D1248" t="inlineStr">
        <is>
          <t>JÄMTLANDS LÄN</t>
        </is>
      </c>
      <c r="E1248" t="inlineStr">
        <is>
          <t>BRÄCKE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54568-2022</t>
        </is>
      </c>
      <c r="B1249" s="1" t="n">
        <v>44882.95480324074</v>
      </c>
      <c r="C1249" s="1" t="n">
        <v>46034</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38278-2025</t>
        </is>
      </c>
      <c r="B1250" s="1" t="n">
        <v>45883.41405092592</v>
      </c>
      <c r="C1250" s="1" t="n">
        <v>46034</v>
      </c>
      <c r="D1250" t="inlineStr">
        <is>
          <t>JÄMTLANDS LÄN</t>
        </is>
      </c>
      <c r="E1250" t="inlineStr">
        <is>
          <t>BRÄCKE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38352-2025</t>
        </is>
      </c>
      <c r="B1251" s="1" t="n">
        <v>45883.53186342592</v>
      </c>
      <c r="C1251" s="1" t="n">
        <v>46034</v>
      </c>
      <c r="D1251" t="inlineStr">
        <is>
          <t>JÄMTLANDS LÄN</t>
        </is>
      </c>
      <c r="E1251" t="inlineStr">
        <is>
          <t>BRÄCKE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38379-2025</t>
        </is>
      </c>
      <c r="B1252" s="1" t="n">
        <v>45883.57377314815</v>
      </c>
      <c r="C1252" s="1" t="n">
        <v>46034</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29323-2023</t>
        </is>
      </c>
      <c r="B1253" s="1" t="n">
        <v>45105</v>
      </c>
      <c r="C1253" s="1" t="n">
        <v>46034</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38461-2025</t>
        </is>
      </c>
      <c r="B1254" s="1" t="n">
        <v>45883.71962962963</v>
      </c>
      <c r="C1254" s="1" t="n">
        <v>46034</v>
      </c>
      <c r="D1254" t="inlineStr">
        <is>
          <t>JÄMTLANDS LÄN</t>
        </is>
      </c>
      <c r="E1254" t="inlineStr">
        <is>
          <t>BRÄCKE</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38241-2025</t>
        </is>
      </c>
      <c r="B1255" s="1" t="n">
        <v>45883.36541666667</v>
      </c>
      <c r="C1255" s="1" t="n">
        <v>46034</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54158-2025</t>
        </is>
      </c>
      <c r="B1256" s="1" t="n">
        <v>45964.50181712963</v>
      </c>
      <c r="C1256" s="1" t="n">
        <v>46034</v>
      </c>
      <c r="D1256" t="inlineStr">
        <is>
          <t>JÄMTLANDS LÄN</t>
        </is>
      </c>
      <c r="E1256" t="inlineStr">
        <is>
          <t>BRÄCKE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54315-2025</t>
        </is>
      </c>
      <c r="B1257" s="1" t="n">
        <v>45965.32789351852</v>
      </c>
      <c r="C1257" s="1" t="n">
        <v>46034</v>
      </c>
      <c r="D1257" t="inlineStr">
        <is>
          <t>JÄMTLANDS LÄN</t>
        </is>
      </c>
      <c r="E1257" t="inlineStr">
        <is>
          <t>BRÄCKE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25676-2023</t>
        </is>
      </c>
      <c r="B1258" s="1" t="n">
        <v>45089.93925925926</v>
      </c>
      <c r="C1258" s="1" t="n">
        <v>46034</v>
      </c>
      <c r="D1258" t="inlineStr">
        <is>
          <t>JÄMTLANDS LÄN</t>
        </is>
      </c>
      <c r="E1258" t="inlineStr">
        <is>
          <t>BRÄCKE</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39930-2022</t>
        </is>
      </c>
      <c r="B1259" s="1" t="n">
        <v>44819</v>
      </c>
      <c r="C1259" s="1" t="n">
        <v>46034</v>
      </c>
      <c r="D1259" t="inlineStr">
        <is>
          <t>JÄMTLANDS LÄN</t>
        </is>
      </c>
      <c r="E1259" t="inlineStr">
        <is>
          <t>BRÄCKE</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62261-2025</t>
        </is>
      </c>
      <c r="B1260" s="1" t="n">
        <v>46006.61622685185</v>
      </c>
      <c r="C1260" s="1" t="n">
        <v>46034</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62233-2025</t>
        </is>
      </c>
      <c r="B1261" s="1" t="n">
        <v>46006.59424768519</v>
      </c>
      <c r="C1261" s="1" t="n">
        <v>46034</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54422-2025</t>
        </is>
      </c>
      <c r="B1262" s="1" t="n">
        <v>45965.48649305556</v>
      </c>
      <c r="C1262" s="1" t="n">
        <v>46034</v>
      </c>
      <c r="D1262" t="inlineStr">
        <is>
          <t>JÄMTLANDS LÄN</t>
        </is>
      </c>
      <c r="E1262" t="inlineStr">
        <is>
          <t>BRÄCKE</t>
        </is>
      </c>
      <c r="F1262" t="inlineStr">
        <is>
          <t>Övriga Aktiebolag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54323-2025</t>
        </is>
      </c>
      <c r="B1263" s="1" t="n">
        <v>45965.34454861111</v>
      </c>
      <c r="C1263" s="1" t="n">
        <v>46034</v>
      </c>
      <c r="D1263" t="inlineStr">
        <is>
          <t>JÄMTLANDS LÄN</t>
        </is>
      </c>
      <c r="E1263" t="inlineStr">
        <is>
          <t>BRÄCKE</t>
        </is>
      </c>
      <c r="F1263" t="inlineStr">
        <is>
          <t>SCA</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58776-2023</t>
        </is>
      </c>
      <c r="B1264" s="1" t="n">
        <v>45251.96740740741</v>
      </c>
      <c r="C1264" s="1" t="n">
        <v>46034</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54257-2025</t>
        </is>
      </c>
      <c r="B1265" s="1" t="n">
        <v>45964.65732638889</v>
      </c>
      <c r="C1265" s="1" t="n">
        <v>46034</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62464-2025</t>
        </is>
      </c>
      <c r="B1266" s="1" t="n">
        <v>46007.50673611111</v>
      </c>
      <c r="C1266" s="1" t="n">
        <v>46034</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62389-2025</t>
        </is>
      </c>
      <c r="B1267" s="1" t="n">
        <v>46007.38496527778</v>
      </c>
      <c r="C1267" s="1" t="n">
        <v>46034</v>
      </c>
      <c r="D1267" t="inlineStr">
        <is>
          <t>JÄMTLANDS LÄN</t>
        </is>
      </c>
      <c r="E1267" t="inlineStr">
        <is>
          <t>BRÄCKE</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17905-2025</t>
        </is>
      </c>
      <c r="B1268" s="1" t="n">
        <v>45758.71907407408</v>
      </c>
      <c r="C1268" s="1" t="n">
        <v>46034</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62063-2025</t>
        </is>
      </c>
      <c r="B1269" s="1" t="n">
        <v>46006.34462962963</v>
      </c>
      <c r="C1269" s="1" t="n">
        <v>46034</v>
      </c>
      <c r="D1269" t="inlineStr">
        <is>
          <t>JÄMTLANDS LÄN</t>
        </is>
      </c>
      <c r="E1269" t="inlineStr">
        <is>
          <t>BRÄCKE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62466-2025</t>
        </is>
      </c>
      <c r="B1270" s="1" t="n">
        <v>46007.50883101852</v>
      </c>
      <c r="C1270" s="1" t="n">
        <v>46034</v>
      </c>
      <c r="D1270" t="inlineStr">
        <is>
          <t>JÄMTLANDS LÄN</t>
        </is>
      </c>
      <c r="E1270" t="inlineStr">
        <is>
          <t>BRÄCKE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62511-2025</t>
        </is>
      </c>
      <c r="B1271" s="1" t="n">
        <v>46007.59884259259</v>
      </c>
      <c r="C1271" s="1" t="n">
        <v>46034</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39662-2024</t>
        </is>
      </c>
      <c r="B1272" s="1" t="n">
        <v>45552.51068287037</v>
      </c>
      <c r="C1272" s="1" t="n">
        <v>46034</v>
      </c>
      <c r="D1272" t="inlineStr">
        <is>
          <t>JÄMTLANDS LÄN</t>
        </is>
      </c>
      <c r="E1272" t="inlineStr">
        <is>
          <t>BRÄCKE</t>
        </is>
      </c>
      <c r="F1272" t="inlineStr">
        <is>
          <t>SCA</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62236-2025</t>
        </is>
      </c>
      <c r="B1273" s="1" t="n">
        <v>46006.59461805555</v>
      </c>
      <c r="C1273" s="1" t="n">
        <v>46034</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62265-2025</t>
        </is>
      </c>
      <c r="B1274" s="1" t="n">
        <v>46006.61657407408</v>
      </c>
      <c r="C1274" s="1" t="n">
        <v>46034</v>
      </c>
      <c r="D1274" t="inlineStr">
        <is>
          <t>JÄMTLANDS LÄN</t>
        </is>
      </c>
      <c r="E1274" t="inlineStr">
        <is>
          <t>BRÄCKE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62535-2025</t>
        </is>
      </c>
      <c r="B1275" s="1" t="n">
        <v>46007.63792824074</v>
      </c>
      <c r="C1275" s="1" t="n">
        <v>46034</v>
      </c>
      <c r="D1275" t="inlineStr">
        <is>
          <t>JÄMTLANDS LÄN</t>
        </is>
      </c>
      <c r="E1275" t="inlineStr">
        <is>
          <t>BRÄCKE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62536-2025</t>
        </is>
      </c>
      <c r="B1276" s="1" t="n">
        <v>46007.63947916667</v>
      </c>
      <c r="C1276" s="1" t="n">
        <v>46034</v>
      </c>
      <c r="D1276" t="inlineStr">
        <is>
          <t>JÄMTLANDS LÄN</t>
        </is>
      </c>
      <c r="E1276" t="inlineStr">
        <is>
          <t>BRÄCKE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58461-2023</t>
        </is>
      </c>
      <c r="B1277" s="1" t="n">
        <v>45250</v>
      </c>
      <c r="C1277" s="1" t="n">
        <v>46034</v>
      </c>
      <c r="D1277" t="inlineStr">
        <is>
          <t>JÄMTLANDS LÄN</t>
        </is>
      </c>
      <c r="E1277" t="inlineStr">
        <is>
          <t>BRÄCKE</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58467-2023</t>
        </is>
      </c>
      <c r="B1278" s="1" t="n">
        <v>45250.96192129629</v>
      </c>
      <c r="C1278" s="1" t="n">
        <v>46034</v>
      </c>
      <c r="D1278" t="inlineStr">
        <is>
          <t>JÄMTLANDS LÄN</t>
        </is>
      </c>
      <c r="E1278" t="inlineStr">
        <is>
          <t>BRÄCKE</t>
        </is>
      </c>
      <c r="F1278" t="inlineStr">
        <is>
          <t>SCA</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62533-2025</t>
        </is>
      </c>
      <c r="B1279" s="1" t="n">
        <v>46007.63633101852</v>
      </c>
      <c r="C1279" s="1" t="n">
        <v>46034</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62499-2025</t>
        </is>
      </c>
      <c r="B1280" s="1" t="n">
        <v>46007.58229166667</v>
      </c>
      <c r="C1280" s="1" t="n">
        <v>46034</v>
      </c>
      <c r="D1280" t="inlineStr">
        <is>
          <t>JÄMTLANDS LÄN</t>
        </is>
      </c>
      <c r="E1280" t="inlineStr">
        <is>
          <t>BRÄCKE</t>
        </is>
      </c>
      <c r="F1280" t="inlineStr">
        <is>
          <t>Övriga Aktiebolag</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2483-2025</t>
        </is>
      </c>
      <c r="B1281" s="1" t="n">
        <v>45673</v>
      </c>
      <c r="C1281" s="1" t="n">
        <v>46034</v>
      </c>
      <c r="D1281" t="inlineStr">
        <is>
          <t>JÄMTLANDS LÄN</t>
        </is>
      </c>
      <c r="E1281" t="inlineStr">
        <is>
          <t>BRÄCKE</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55069-2025</t>
        </is>
      </c>
      <c r="B1282" s="1" t="n">
        <v>45967.72344907407</v>
      </c>
      <c r="C1282" s="1" t="n">
        <v>46034</v>
      </c>
      <c r="D1282" t="inlineStr">
        <is>
          <t>JÄMTLANDS LÄN</t>
        </is>
      </c>
      <c r="E1282" t="inlineStr">
        <is>
          <t>BRÄCKE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4887-2025</t>
        </is>
      </c>
      <c r="B1283" s="1" t="n">
        <v>45688.67800925926</v>
      </c>
      <c r="C1283" s="1" t="n">
        <v>46034</v>
      </c>
      <c r="D1283" t="inlineStr">
        <is>
          <t>JÄMTLANDS LÄN</t>
        </is>
      </c>
      <c r="E1283" t="inlineStr">
        <is>
          <t>BRÄCKE</t>
        </is>
      </c>
      <c r="F1283" t="inlineStr">
        <is>
          <t>SCA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4893-2025</t>
        </is>
      </c>
      <c r="B1284" s="1" t="n">
        <v>45688.67871527778</v>
      </c>
      <c r="C1284" s="1" t="n">
        <v>46034</v>
      </c>
      <c r="D1284" t="inlineStr">
        <is>
          <t>JÄMTLANDS LÄN</t>
        </is>
      </c>
      <c r="E1284" t="inlineStr">
        <is>
          <t>BRÄCKE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54328-2023</t>
        </is>
      </c>
      <c r="B1285" s="1" t="n">
        <v>45232.95774305556</v>
      </c>
      <c r="C1285" s="1" t="n">
        <v>46034</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38847-2025</t>
        </is>
      </c>
      <c r="B1286" s="1" t="n">
        <v>45887.54438657407</v>
      </c>
      <c r="C1286" s="1" t="n">
        <v>46034</v>
      </c>
      <c r="D1286" t="inlineStr">
        <is>
          <t>JÄMTLANDS LÄN</t>
        </is>
      </c>
      <c r="E1286" t="inlineStr">
        <is>
          <t>BRÄCKE</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29314-2021</t>
        </is>
      </c>
      <c r="B1287" s="1" t="n">
        <v>44361</v>
      </c>
      <c r="C1287" s="1" t="n">
        <v>46034</v>
      </c>
      <c r="D1287" t="inlineStr">
        <is>
          <t>JÄMTLANDS LÄN</t>
        </is>
      </c>
      <c r="E1287" t="inlineStr">
        <is>
          <t>BRÄCKE</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8422-2022</t>
        </is>
      </c>
      <c r="B1288" s="1" t="n">
        <v>44610</v>
      </c>
      <c r="C1288" s="1" t="n">
        <v>46034</v>
      </c>
      <c r="D1288" t="inlineStr">
        <is>
          <t>JÄMTLANDS LÄN</t>
        </is>
      </c>
      <c r="E1288" t="inlineStr">
        <is>
          <t>BRÄCKE</t>
        </is>
      </c>
      <c r="F1288" t="inlineStr">
        <is>
          <t>SCA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54741-2025</t>
        </is>
      </c>
      <c r="B1289" s="1" t="n">
        <v>45966.57350694444</v>
      </c>
      <c r="C1289" s="1" t="n">
        <v>46034</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62950-2025</t>
        </is>
      </c>
      <c r="B1290" s="1" t="n">
        <v>46009.44737268519</v>
      </c>
      <c r="C1290" s="1" t="n">
        <v>46034</v>
      </c>
      <c r="D1290" t="inlineStr">
        <is>
          <t>JÄMTLANDS LÄN</t>
        </is>
      </c>
      <c r="E1290" t="inlineStr">
        <is>
          <t>BRÄCKE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54887-2025</t>
        </is>
      </c>
      <c r="B1291" s="1" t="n">
        <v>45967.34484953704</v>
      </c>
      <c r="C1291" s="1" t="n">
        <v>46034</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54886-2025</t>
        </is>
      </c>
      <c r="B1292" s="1" t="n">
        <v>45967.34481481482</v>
      </c>
      <c r="C1292" s="1" t="n">
        <v>46034</v>
      </c>
      <c r="D1292" t="inlineStr">
        <is>
          <t>JÄMTLANDS LÄN</t>
        </is>
      </c>
      <c r="E1292" t="inlineStr">
        <is>
          <t>BRÄCKE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54888-2025</t>
        </is>
      </c>
      <c r="B1293" s="1" t="n">
        <v>45967.34487268519</v>
      </c>
      <c r="C1293" s="1" t="n">
        <v>46034</v>
      </c>
      <c r="D1293" t="inlineStr">
        <is>
          <t>JÄMTLANDS LÄN</t>
        </is>
      </c>
      <c r="E1293" t="inlineStr">
        <is>
          <t>BRÄCKE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62625-2025</t>
        </is>
      </c>
      <c r="B1294" s="1" t="n">
        <v>46008.34506944445</v>
      </c>
      <c r="C1294" s="1" t="n">
        <v>46034</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54775-2025</t>
        </is>
      </c>
      <c r="B1295" s="1" t="n">
        <v>45966.61333333333</v>
      </c>
      <c r="C1295" s="1" t="n">
        <v>46034</v>
      </c>
      <c r="D1295" t="inlineStr">
        <is>
          <t>JÄMTLANDS LÄN</t>
        </is>
      </c>
      <c r="E1295" t="inlineStr">
        <is>
          <t>BRÄCKE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54793-2025</t>
        </is>
      </c>
      <c r="B1296" s="1" t="n">
        <v>45966.63584490741</v>
      </c>
      <c r="C1296" s="1" t="n">
        <v>46034</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54885-2025</t>
        </is>
      </c>
      <c r="B1297" s="1" t="n">
        <v>45967.34465277778</v>
      </c>
      <c r="C1297" s="1" t="n">
        <v>46034</v>
      </c>
      <c r="D1297" t="inlineStr">
        <is>
          <t>JÄMTLANDS LÄN</t>
        </is>
      </c>
      <c r="E1297" t="inlineStr">
        <is>
          <t>BRÄCKE</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40765-2023</t>
        </is>
      </c>
      <c r="B1298" s="1" t="n">
        <v>45170</v>
      </c>
      <c r="C1298" s="1" t="n">
        <v>46034</v>
      </c>
      <c r="D1298" t="inlineStr">
        <is>
          <t>JÄMTLANDS LÄN</t>
        </is>
      </c>
      <c r="E1298" t="inlineStr">
        <is>
          <t>BRÄCKE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62943-2025</t>
        </is>
      </c>
      <c r="B1299" s="1" t="n">
        <v>46009.43425925926</v>
      </c>
      <c r="C1299" s="1" t="n">
        <v>46034</v>
      </c>
      <c r="D1299" t="inlineStr">
        <is>
          <t>JÄMTLANDS LÄN</t>
        </is>
      </c>
      <c r="E1299" t="inlineStr">
        <is>
          <t>BRÄCKE</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58082-2023</t>
        </is>
      </c>
      <c r="B1300" s="1" t="n">
        <v>45247.96538194444</v>
      </c>
      <c r="C1300" s="1" t="n">
        <v>46034</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58083-2023</t>
        </is>
      </c>
      <c r="B1301" s="1" t="n">
        <v>45247</v>
      </c>
      <c r="C1301" s="1" t="n">
        <v>46034</v>
      </c>
      <c r="D1301" t="inlineStr">
        <is>
          <t>JÄMTLANDS LÄN</t>
        </is>
      </c>
      <c r="E1301" t="inlineStr">
        <is>
          <t>BRÄCKE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54904-2025</t>
        </is>
      </c>
      <c r="B1302" s="1" t="n">
        <v>45967.36640046296</v>
      </c>
      <c r="C1302" s="1" t="n">
        <v>46034</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22986-2023</t>
        </is>
      </c>
      <c r="B1303" s="1" t="n">
        <v>45072.94140046297</v>
      </c>
      <c r="C1303" s="1" t="n">
        <v>46034</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62997-2025</t>
        </is>
      </c>
      <c r="B1304" s="1" t="n">
        <v>46009.55484953704</v>
      </c>
      <c r="C1304" s="1" t="n">
        <v>46034</v>
      </c>
      <c r="D1304" t="inlineStr">
        <is>
          <t>JÄMTLANDS LÄN</t>
        </is>
      </c>
      <c r="E1304" t="inlineStr">
        <is>
          <t>BRÄCKE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1799-2024</t>
        </is>
      </c>
      <c r="B1305" s="1" t="n">
        <v>45307</v>
      </c>
      <c r="C1305" s="1" t="n">
        <v>46034</v>
      </c>
      <c r="D1305" t="inlineStr">
        <is>
          <t>JÄMTLANDS LÄN</t>
        </is>
      </c>
      <c r="E1305" t="inlineStr">
        <is>
          <t>BRÄCKE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50151-2023</t>
        </is>
      </c>
      <c r="B1306" s="1" t="n">
        <v>45208</v>
      </c>
      <c r="C1306" s="1" t="n">
        <v>46034</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54642-2025</t>
        </is>
      </c>
      <c r="B1307" s="1" t="n">
        <v>45966.36555555555</v>
      </c>
      <c r="C1307" s="1" t="n">
        <v>46034</v>
      </c>
      <c r="D1307" t="inlineStr">
        <is>
          <t>JÄMTLANDS LÄN</t>
        </is>
      </c>
      <c r="E1307" t="inlineStr">
        <is>
          <t>BRÄCKE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55028-2025</t>
        </is>
      </c>
      <c r="B1308" s="1" t="n">
        <v>45967.63650462963</v>
      </c>
      <c r="C1308" s="1" t="n">
        <v>46034</v>
      </c>
      <c r="D1308" t="inlineStr">
        <is>
          <t>JÄMTLANDS LÄN</t>
        </is>
      </c>
      <c r="E1308" t="inlineStr">
        <is>
          <t>BRÄCKE</t>
        </is>
      </c>
      <c r="F1308" t="inlineStr">
        <is>
          <t>SCA</t>
        </is>
      </c>
      <c r="G1308" t="n">
        <v>16.4</v>
      </c>
      <c r="H1308" t="n">
        <v>0</v>
      </c>
      <c r="I1308" t="n">
        <v>0</v>
      </c>
      <c r="J1308" t="n">
        <v>0</v>
      </c>
      <c r="K1308" t="n">
        <v>0</v>
      </c>
      <c r="L1308" t="n">
        <v>0</v>
      </c>
      <c r="M1308" t="n">
        <v>0</v>
      </c>
      <c r="N1308" t="n">
        <v>0</v>
      </c>
      <c r="O1308" t="n">
        <v>0</v>
      </c>
      <c r="P1308" t="n">
        <v>0</v>
      </c>
      <c r="Q1308" t="n">
        <v>0</v>
      </c>
      <c r="R1308" s="2" t="inlineStr"/>
    </row>
    <row r="1309" ht="15" customHeight="1">
      <c r="A1309" t="inlineStr">
        <is>
          <t>A 54681-2025</t>
        </is>
      </c>
      <c r="B1309" s="1" t="n">
        <v>45966.42777777778</v>
      </c>
      <c r="C1309" s="1" t="n">
        <v>46034</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48433-2023</t>
        </is>
      </c>
      <c r="B1310" s="1" t="n">
        <v>45205</v>
      </c>
      <c r="C1310" s="1" t="n">
        <v>46034</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48473-2023</t>
        </is>
      </c>
      <c r="B1311" s="1" t="n">
        <v>45206.95770833334</v>
      </c>
      <c r="C1311" s="1" t="n">
        <v>46034</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19342-2025</t>
        </is>
      </c>
      <c r="B1312" s="1" t="n">
        <v>45769.59520833333</v>
      </c>
      <c r="C1312" s="1" t="n">
        <v>46034</v>
      </c>
      <c r="D1312" t="inlineStr">
        <is>
          <t>JÄMTLANDS LÄN</t>
        </is>
      </c>
      <c r="E1312" t="inlineStr">
        <is>
          <t>BRÄCKE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55485-2025</t>
        </is>
      </c>
      <c r="B1313" s="1" t="n">
        <v>45971.5733912037</v>
      </c>
      <c r="C1313" s="1" t="n">
        <v>46034</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63319-2025</t>
        </is>
      </c>
      <c r="B1314" s="1" t="n">
        <v>46010.63584490741</v>
      </c>
      <c r="C1314" s="1" t="n">
        <v>46034</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10476-2022</t>
        </is>
      </c>
      <c r="B1315" s="1" t="n">
        <v>44623</v>
      </c>
      <c r="C1315" s="1" t="n">
        <v>46034</v>
      </c>
      <c r="D1315" t="inlineStr">
        <is>
          <t>JÄMTLANDS LÄN</t>
        </is>
      </c>
      <c r="E1315" t="inlineStr">
        <is>
          <t>BRÄCKE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55388-2025</t>
        </is>
      </c>
      <c r="B1316" s="1" t="n">
        <v>45971.43935185186</v>
      </c>
      <c r="C1316" s="1" t="n">
        <v>46034</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10542-2022</t>
        </is>
      </c>
      <c r="B1317" s="1" t="n">
        <v>44623.92204861111</v>
      </c>
      <c r="C1317" s="1" t="n">
        <v>46034</v>
      </c>
      <c r="D1317" t="inlineStr">
        <is>
          <t>JÄMTLANDS LÄN</t>
        </is>
      </c>
      <c r="E1317" t="inlineStr">
        <is>
          <t>BRÄCKE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32636-2024</t>
        </is>
      </c>
      <c r="B1318" s="1" t="n">
        <v>45513.96137731482</v>
      </c>
      <c r="C1318" s="1" t="n">
        <v>46034</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49861-2022</t>
        </is>
      </c>
      <c r="B1319" s="1" t="n">
        <v>44862</v>
      </c>
      <c r="C1319" s="1" t="n">
        <v>46034</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55149-2025</t>
        </is>
      </c>
      <c r="B1320" s="1" t="n">
        <v>45968.44840277778</v>
      </c>
      <c r="C1320" s="1" t="n">
        <v>46034</v>
      </c>
      <c r="D1320" t="inlineStr">
        <is>
          <t>JÄMTLANDS LÄN</t>
        </is>
      </c>
      <c r="E1320" t="inlineStr">
        <is>
          <t>BRÄCKE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55367-2025</t>
        </is>
      </c>
      <c r="B1321" s="1" t="n">
        <v>45971.41381944445</v>
      </c>
      <c r="C1321" s="1" t="n">
        <v>46034</v>
      </c>
      <c r="D1321" t="inlineStr">
        <is>
          <t>JÄMTLANDS LÄN</t>
        </is>
      </c>
      <c r="E1321" t="inlineStr">
        <is>
          <t>BRÄCKE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20003-2024</t>
        </is>
      </c>
      <c r="B1322" s="1" t="n">
        <v>45433.94275462963</v>
      </c>
      <c r="C1322" s="1" t="n">
        <v>46034</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20009-2024</t>
        </is>
      </c>
      <c r="B1323" s="1" t="n">
        <v>45433.94325231481</v>
      </c>
      <c r="C1323" s="1" t="n">
        <v>46034</v>
      </c>
      <c r="D1323" t="inlineStr">
        <is>
          <t>JÄMTLANDS LÄN</t>
        </is>
      </c>
      <c r="E1323" t="inlineStr">
        <is>
          <t>BRÄCKE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55524-2025</t>
        </is>
      </c>
      <c r="B1324" s="1" t="n">
        <v>45971.61523148148</v>
      </c>
      <c r="C1324" s="1" t="n">
        <v>46034</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55138-2025</t>
        </is>
      </c>
      <c r="B1325" s="1" t="n">
        <v>45968.42784722222</v>
      </c>
      <c r="C1325" s="1" t="n">
        <v>46034</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22116-2024</t>
        </is>
      </c>
      <c r="B1326" s="1" t="n">
        <v>45443.95230324074</v>
      </c>
      <c r="C1326" s="1" t="n">
        <v>46034</v>
      </c>
      <c r="D1326" t="inlineStr">
        <is>
          <t>JÄMTLANDS LÄN</t>
        </is>
      </c>
      <c r="E1326" t="inlineStr">
        <is>
          <t>BRÄCKE</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55457-2025</t>
        </is>
      </c>
      <c r="B1327" s="1" t="n">
        <v>45971.51321759259</v>
      </c>
      <c r="C1327" s="1" t="n">
        <v>46034</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57066-2024</t>
        </is>
      </c>
      <c r="B1328" s="1" t="n">
        <v>45629.35359953704</v>
      </c>
      <c r="C1328" s="1" t="n">
        <v>46034</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61787-2023</t>
        </is>
      </c>
      <c r="B1329" s="1" t="n">
        <v>45265.95765046297</v>
      </c>
      <c r="C1329" s="1" t="n">
        <v>46034</v>
      </c>
      <c r="D1329" t="inlineStr">
        <is>
          <t>JÄMTLANDS LÄN</t>
        </is>
      </c>
      <c r="E1329" t="inlineStr">
        <is>
          <t>BRÄCKE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55382-2025</t>
        </is>
      </c>
      <c r="B1330" s="1" t="n">
        <v>45971.42909722222</v>
      </c>
      <c r="C1330" s="1" t="n">
        <v>46034</v>
      </c>
      <c r="D1330" t="inlineStr">
        <is>
          <t>JÄMTLANDS LÄN</t>
        </is>
      </c>
      <c r="E1330" t="inlineStr">
        <is>
          <t>BRÄCKE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782-2025</t>
        </is>
      </c>
      <c r="B1331" s="1" t="n">
        <v>45665.48423611111</v>
      </c>
      <c r="C1331" s="1" t="n">
        <v>46034</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54447-2023</t>
        </is>
      </c>
      <c r="B1332" s="1" t="n">
        <v>45233.44271990741</v>
      </c>
      <c r="C1332" s="1" t="n">
        <v>46034</v>
      </c>
      <c r="D1332" t="inlineStr">
        <is>
          <t>JÄMTLANDS LÄN</t>
        </is>
      </c>
      <c r="E1332" t="inlineStr">
        <is>
          <t>BRÄCKE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41936-2023</t>
        </is>
      </c>
      <c r="B1333" s="1" t="n">
        <v>45176.94594907408</v>
      </c>
      <c r="C1333" s="1" t="n">
        <v>46034</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55733-2025</t>
        </is>
      </c>
      <c r="B1334" s="1" t="n">
        <v>45972.55298611111</v>
      </c>
      <c r="C1334" s="1" t="n">
        <v>46034</v>
      </c>
      <c r="D1334" t="inlineStr">
        <is>
          <t>JÄMTLANDS LÄN</t>
        </is>
      </c>
      <c r="E1334" t="inlineStr">
        <is>
          <t>BRÄCKE</t>
        </is>
      </c>
      <c r="F1334" t="inlineStr">
        <is>
          <t>SCA</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55654-2025</t>
        </is>
      </c>
      <c r="B1335" s="1" t="n">
        <v>45972.38594907407</v>
      </c>
      <c r="C1335" s="1" t="n">
        <v>46034</v>
      </c>
      <c r="D1335" t="inlineStr">
        <is>
          <t>JÄMTLANDS LÄN</t>
        </is>
      </c>
      <c r="E1335" t="inlineStr">
        <is>
          <t>BRÄCKE</t>
        </is>
      </c>
      <c r="F1335" t="inlineStr">
        <is>
          <t>SCA</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55880-2025</t>
        </is>
      </c>
      <c r="B1336" s="1" t="n">
        <v>45973.36510416667</v>
      </c>
      <c r="C1336" s="1" t="n">
        <v>46034</v>
      </c>
      <c r="D1336" t="inlineStr">
        <is>
          <t>JÄMTLANDS LÄN</t>
        </is>
      </c>
      <c r="E1336" t="inlineStr">
        <is>
          <t>BRÄCKE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59419-2023</t>
        </is>
      </c>
      <c r="B1337" s="1" t="n">
        <v>45253.96864583333</v>
      </c>
      <c r="C1337" s="1" t="n">
        <v>46034</v>
      </c>
      <c r="D1337" t="inlineStr">
        <is>
          <t>JÄMTLANDS LÄN</t>
        </is>
      </c>
      <c r="E1337" t="inlineStr">
        <is>
          <t>BRÄCKE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8865-2023</t>
        </is>
      </c>
      <c r="B1338" s="1" t="n">
        <v>44978</v>
      </c>
      <c r="C1338" s="1" t="n">
        <v>46034</v>
      </c>
      <c r="D1338" t="inlineStr">
        <is>
          <t>JÄMTLANDS LÄN</t>
        </is>
      </c>
      <c r="E1338" t="inlineStr">
        <is>
          <t>BRÄCKE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63641-2025</t>
        </is>
      </c>
      <c r="B1339" s="1" t="n">
        <v>46014.40689814815</v>
      </c>
      <c r="C1339" s="1" t="n">
        <v>46034</v>
      </c>
      <c r="D1339" t="inlineStr">
        <is>
          <t>JÄMTLANDS LÄN</t>
        </is>
      </c>
      <c r="E1339" t="inlineStr">
        <is>
          <t>BRÄCKE</t>
        </is>
      </c>
      <c r="F1339" t="inlineStr">
        <is>
          <t>SCA</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8958-2023</t>
        </is>
      </c>
      <c r="B1340" s="1" t="n">
        <v>44979.47976851852</v>
      </c>
      <c r="C1340" s="1" t="n">
        <v>46034</v>
      </c>
      <c r="D1340" t="inlineStr">
        <is>
          <t>JÄMTLANDS LÄN</t>
        </is>
      </c>
      <c r="E1340" t="inlineStr">
        <is>
          <t>BRÄCKE</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55636-2025</t>
        </is>
      </c>
      <c r="B1341" s="1" t="n">
        <v>45972.345</v>
      </c>
      <c r="C1341" s="1" t="n">
        <v>46034</v>
      </c>
      <c r="D1341" t="inlineStr">
        <is>
          <t>JÄMTLANDS LÄN</t>
        </is>
      </c>
      <c r="E1341" t="inlineStr">
        <is>
          <t>BRÄCKE</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6768-2023</t>
        </is>
      </c>
      <c r="B1342" s="1" t="n">
        <v>44966.93079861111</v>
      </c>
      <c r="C1342" s="1" t="n">
        <v>46034</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c r="U1342">
        <f>HYPERLINK("https://klasma.github.io/Logging_2305/knärot/A 6768-2023 karta knärot.png", "A 6768-2023")</f>
        <v/>
      </c>
      <c r="V1342">
        <f>HYPERLINK("https://klasma.github.io/Logging_2305/klagomål/A 6768-2023 FSC-klagomål.docx", "A 6768-2023")</f>
        <v/>
      </c>
      <c r="W1342">
        <f>HYPERLINK("https://klasma.github.io/Logging_2305/klagomålsmail/A 6768-2023 FSC-klagomål mail.docx", "A 6768-2023")</f>
        <v/>
      </c>
      <c r="X1342">
        <f>HYPERLINK("https://klasma.github.io/Logging_2305/tillsyn/A 6768-2023 tillsynsbegäran.docx", "A 6768-2023")</f>
        <v/>
      </c>
      <c r="Y1342">
        <f>HYPERLINK("https://klasma.github.io/Logging_2305/tillsynsmail/A 6768-2023 tillsynsbegäran mail.docx", "A 6768-2023")</f>
        <v/>
      </c>
    </row>
    <row r="1343" ht="15" customHeight="1">
      <c r="A1343" t="inlineStr">
        <is>
          <t>A 63089-2025</t>
        </is>
      </c>
      <c r="B1343" s="1" t="n">
        <v>46009.67777777778</v>
      </c>
      <c r="C1343" s="1" t="n">
        <v>46034</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55905-2025</t>
        </is>
      </c>
      <c r="B1344" s="1" t="n">
        <v>45973.39108796296</v>
      </c>
      <c r="C1344" s="1" t="n">
        <v>46034</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45758-2024</t>
        </is>
      </c>
      <c r="B1345" s="1" t="n">
        <v>45579.6357175926</v>
      </c>
      <c r="C1345" s="1" t="n">
        <v>46034</v>
      </c>
      <c r="D1345" t="inlineStr">
        <is>
          <t>JÄMTLANDS LÄN</t>
        </is>
      </c>
      <c r="E1345" t="inlineStr">
        <is>
          <t>BRÄCKE</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56535-2025</t>
        </is>
      </c>
      <c r="B1346" s="1" t="n">
        <v>45975.46998842592</v>
      </c>
      <c r="C1346" s="1" t="n">
        <v>46034</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48770-2023</t>
        </is>
      </c>
      <c r="B1347" s="1" t="n">
        <v>45208.9489699074</v>
      </c>
      <c r="C1347" s="1" t="n">
        <v>46034</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48435-2023</t>
        </is>
      </c>
      <c r="B1348" s="1" t="n">
        <v>45205</v>
      </c>
      <c r="C1348" s="1" t="n">
        <v>46034</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48480-2023</t>
        </is>
      </c>
      <c r="B1349" s="1" t="n">
        <v>45206.95831018518</v>
      </c>
      <c r="C1349" s="1" t="n">
        <v>46034</v>
      </c>
      <c r="D1349" t="inlineStr">
        <is>
          <t>JÄMTLANDS LÄN</t>
        </is>
      </c>
      <c r="E1349" t="inlineStr">
        <is>
          <t>BRÄCKE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45807-2024</t>
        </is>
      </c>
      <c r="B1350" s="1" t="n">
        <v>45579.69815972223</v>
      </c>
      <c r="C1350" s="1" t="n">
        <v>46034</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52610-2024</t>
        </is>
      </c>
      <c r="B1351" s="1" t="n">
        <v>45609.78957175926</v>
      </c>
      <c r="C1351" s="1" t="n">
        <v>46034</v>
      </c>
      <c r="D1351" t="inlineStr">
        <is>
          <t>JÄMTLANDS LÄN</t>
        </is>
      </c>
      <c r="E1351" t="inlineStr">
        <is>
          <t>BRÄCKE</t>
        </is>
      </c>
      <c r="G1351" t="n">
        <v>16.7</v>
      </c>
      <c r="H1351" t="n">
        <v>0</v>
      </c>
      <c r="I1351" t="n">
        <v>0</v>
      </c>
      <c r="J1351" t="n">
        <v>0</v>
      </c>
      <c r="K1351" t="n">
        <v>0</v>
      </c>
      <c r="L1351" t="n">
        <v>0</v>
      </c>
      <c r="M1351" t="n">
        <v>0</v>
      </c>
      <c r="N1351" t="n">
        <v>0</v>
      </c>
      <c r="O1351" t="n">
        <v>0</v>
      </c>
      <c r="P1351" t="n">
        <v>0</v>
      </c>
      <c r="Q1351" t="n">
        <v>0</v>
      </c>
      <c r="R1351" s="2" t="inlineStr"/>
    </row>
    <row r="1352" ht="15" customHeight="1">
      <c r="A1352" t="inlineStr">
        <is>
          <t>A 55468-2024</t>
        </is>
      </c>
      <c r="B1352" s="1" t="n">
        <v>45622.43024305555</v>
      </c>
      <c r="C1352" s="1" t="n">
        <v>46034</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46034</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56309-2025</t>
        </is>
      </c>
      <c r="B1354" s="1" t="n">
        <v>45974.61491898148</v>
      </c>
      <c r="C1354" s="1" t="n">
        <v>46034</v>
      </c>
      <c r="D1354" t="inlineStr">
        <is>
          <t>JÄMTLANDS LÄN</t>
        </is>
      </c>
      <c r="E1354" t="inlineStr">
        <is>
          <t>BRÄCKE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56448-2025</t>
        </is>
      </c>
      <c r="B1355" s="1" t="n">
        <v>45975.34862268518</v>
      </c>
      <c r="C1355" s="1" t="n">
        <v>46034</v>
      </c>
      <c r="D1355" t="inlineStr">
        <is>
          <t>JÄMTLANDS LÄN</t>
        </is>
      </c>
      <c r="E1355" t="inlineStr">
        <is>
          <t>BRÄCKE</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56449-2025</t>
        </is>
      </c>
      <c r="B1356" s="1" t="n">
        <v>45975.34864583334</v>
      </c>
      <c r="C1356" s="1" t="n">
        <v>46034</v>
      </c>
      <c r="D1356" t="inlineStr">
        <is>
          <t>JÄMTLANDS LÄN</t>
        </is>
      </c>
      <c r="E1356" t="inlineStr">
        <is>
          <t>BRÄCKE</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39937-2022</t>
        </is>
      </c>
      <c r="B1357" s="1" t="n">
        <v>44819.9487962963</v>
      </c>
      <c r="C1357" s="1" t="n">
        <v>46034</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4121-2025</t>
        </is>
      </c>
      <c r="B1358" s="1" t="n">
        <v>45685.26607638889</v>
      </c>
      <c r="C1358" s="1" t="n">
        <v>46034</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60954-2023</t>
        </is>
      </c>
      <c r="B1359" s="1" t="n">
        <v>45261.45638888889</v>
      </c>
      <c r="C1359" s="1" t="n">
        <v>46034</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56738-2025</t>
        </is>
      </c>
      <c r="B1360" s="1" t="n">
        <v>45978.34487268519</v>
      </c>
      <c r="C1360" s="1" t="n">
        <v>46034</v>
      </c>
      <c r="D1360" t="inlineStr">
        <is>
          <t>JÄMTLANDS LÄN</t>
        </is>
      </c>
      <c r="E1360" t="inlineStr">
        <is>
          <t>BRÄCKE</t>
        </is>
      </c>
      <c r="F1360" t="inlineStr">
        <is>
          <t>SCA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56739-2025</t>
        </is>
      </c>
      <c r="B1361" s="1" t="n">
        <v>45978.34491898148</v>
      </c>
      <c r="C1361" s="1" t="n">
        <v>46034</v>
      </c>
      <c r="D1361" t="inlineStr">
        <is>
          <t>JÄMTLANDS LÄN</t>
        </is>
      </c>
      <c r="E1361" t="inlineStr">
        <is>
          <t>BRÄCKE</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57036-2025</t>
        </is>
      </c>
      <c r="B1362" s="1" t="n">
        <v>45979.34494212963</v>
      </c>
      <c r="C1362" s="1" t="n">
        <v>46034</v>
      </c>
      <c r="D1362" t="inlineStr">
        <is>
          <t>JÄMTLANDS LÄN</t>
        </is>
      </c>
      <c r="E1362" t="inlineStr">
        <is>
          <t>BRÄCKE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63820-2025</t>
        </is>
      </c>
      <c r="B1363" s="1" t="n">
        <v>46020.3547800926</v>
      </c>
      <c r="C1363" s="1" t="n">
        <v>46034</v>
      </c>
      <c r="D1363" t="inlineStr">
        <is>
          <t>JÄMTLANDS LÄN</t>
        </is>
      </c>
      <c r="E1363" t="inlineStr">
        <is>
          <t>BRÄCKE</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28903-2021</t>
        </is>
      </c>
      <c r="B1364" s="1" t="n">
        <v>44357</v>
      </c>
      <c r="C1364" s="1" t="n">
        <v>46034</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24053-2022</t>
        </is>
      </c>
      <c r="B1365" s="1" t="n">
        <v>44724.93731481482</v>
      </c>
      <c r="C1365" s="1" t="n">
        <v>46034</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57139-2025</t>
        </is>
      </c>
      <c r="B1366" s="1" t="n">
        <v>45979.48126157407</v>
      </c>
      <c r="C1366" s="1" t="n">
        <v>46034</v>
      </c>
      <c r="D1366" t="inlineStr">
        <is>
          <t>JÄMTLANDS LÄN</t>
        </is>
      </c>
      <c r="E1366" t="inlineStr">
        <is>
          <t>BRÄCKE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63803-2025</t>
        </is>
      </c>
      <c r="B1367" s="1" t="n">
        <v>46019.91809027778</v>
      </c>
      <c r="C1367" s="1" t="n">
        <v>46034</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63809-2025</t>
        </is>
      </c>
      <c r="B1368" s="1" t="n">
        <v>46020.31028935185</v>
      </c>
      <c r="C1368" s="1" t="n">
        <v>46034</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57272-2025</t>
        </is>
      </c>
      <c r="B1369" s="1" t="n">
        <v>45979.67814814814</v>
      </c>
      <c r="C1369" s="1" t="n">
        <v>46034</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63821-2025</t>
        </is>
      </c>
      <c r="B1370" s="1" t="n">
        <v>46020.3550462963</v>
      </c>
      <c r="C1370" s="1" t="n">
        <v>46034</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231-2025</t>
        </is>
      </c>
      <c r="B1371" s="1" t="n">
        <v>45660.36972222223</v>
      </c>
      <c r="C1371" s="1" t="n">
        <v>46034</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278-2025</t>
        </is>
      </c>
      <c r="B1372" s="1" t="n">
        <v>45660.49075231481</v>
      </c>
      <c r="C1372" s="1" t="n">
        <v>46034</v>
      </c>
      <c r="D1372" t="inlineStr">
        <is>
          <t>JÄMTLANDS LÄN</t>
        </is>
      </c>
      <c r="E1372" t="inlineStr">
        <is>
          <t>BRÄCKE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16059-2024</t>
        </is>
      </c>
      <c r="B1373" s="1" t="n">
        <v>45406.04950231482</v>
      </c>
      <c r="C1373" s="1" t="n">
        <v>46034</v>
      </c>
      <c r="D1373" t="inlineStr">
        <is>
          <t>JÄMTLANDS LÄN</t>
        </is>
      </c>
      <c r="E1373" t="inlineStr">
        <is>
          <t>BRÄCKE</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12889-2024</t>
        </is>
      </c>
      <c r="B1374" s="1" t="n">
        <v>45385</v>
      </c>
      <c r="C1374" s="1" t="n">
        <v>46034</v>
      </c>
      <c r="D1374" t="inlineStr">
        <is>
          <t>JÄMTLANDS LÄN</t>
        </is>
      </c>
      <c r="E1374" t="inlineStr">
        <is>
          <t>BRÄCKE</t>
        </is>
      </c>
      <c r="F1374" t="inlineStr">
        <is>
          <t>Kyrkan</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57050-2025</t>
        </is>
      </c>
      <c r="B1375" s="1" t="n">
        <v>45979.34721064815</v>
      </c>
      <c r="C1375" s="1" t="n">
        <v>46034</v>
      </c>
      <c r="D1375" t="inlineStr">
        <is>
          <t>JÄMTLANDS LÄN</t>
        </is>
      </c>
      <c r="E1375" t="inlineStr">
        <is>
          <t>BRÄCKE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57133-2025</t>
        </is>
      </c>
      <c r="B1376" s="1" t="n">
        <v>45979.4744212963</v>
      </c>
      <c r="C1376" s="1" t="n">
        <v>46034</v>
      </c>
      <c r="D1376" t="inlineStr">
        <is>
          <t>JÄMTLANDS LÄN</t>
        </is>
      </c>
      <c r="E1376" t="inlineStr">
        <is>
          <t>BRÄCKE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6622-2025</t>
        </is>
      </c>
      <c r="B1377" s="1" t="n">
        <v>45700.36594907408</v>
      </c>
      <c r="C1377" s="1" t="n">
        <v>46034</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56807-2025</t>
        </is>
      </c>
      <c r="B1378" s="1" t="n">
        <v>45978.44863425926</v>
      </c>
      <c r="C1378" s="1" t="n">
        <v>46034</v>
      </c>
      <c r="D1378" t="inlineStr">
        <is>
          <t>JÄMTLANDS LÄN</t>
        </is>
      </c>
      <c r="E1378" t="inlineStr">
        <is>
          <t>BRÄCKE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63822-2025</t>
        </is>
      </c>
      <c r="B1379" s="1" t="n">
        <v>46020.35534722222</v>
      </c>
      <c r="C1379" s="1" t="n">
        <v>46034</v>
      </c>
      <c r="D1379" t="inlineStr">
        <is>
          <t>JÄMTLANDS LÄN</t>
        </is>
      </c>
      <c r="E1379" t="inlineStr">
        <is>
          <t>BRÄCKE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57038-2025</t>
        </is>
      </c>
      <c r="B1380" s="1" t="n">
        <v>45979.34527777778</v>
      </c>
      <c r="C1380" s="1" t="n">
        <v>46034</v>
      </c>
      <c r="D1380" t="inlineStr">
        <is>
          <t>JÄMTLANDS LÄN</t>
        </is>
      </c>
      <c r="E1380" t="inlineStr">
        <is>
          <t>BRÄCKE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57084-2025</t>
        </is>
      </c>
      <c r="B1381" s="1" t="n">
        <v>45979.41707175926</v>
      </c>
      <c r="C1381" s="1" t="n">
        <v>46034</v>
      </c>
      <c r="D1381" t="inlineStr">
        <is>
          <t>JÄMTLANDS LÄN</t>
        </is>
      </c>
      <c r="E1381" t="inlineStr">
        <is>
          <t>BRÄCKE</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21117-2023</t>
        </is>
      </c>
      <c r="B1382" s="1" t="n">
        <v>45061</v>
      </c>
      <c r="C1382" s="1" t="n">
        <v>46034</v>
      </c>
      <c r="D1382" t="inlineStr">
        <is>
          <t>JÄMTLANDS LÄN</t>
        </is>
      </c>
      <c r="E1382" t="inlineStr">
        <is>
          <t>BRÄCKE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14178-2021</t>
        </is>
      </c>
      <c r="B1383" s="1" t="n">
        <v>44278</v>
      </c>
      <c r="C1383" s="1" t="n">
        <v>46034</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57334-2025</t>
        </is>
      </c>
      <c r="B1384" s="1" t="n">
        <v>45980.345</v>
      </c>
      <c r="C1384" s="1" t="n">
        <v>46034</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57607-2025</t>
        </is>
      </c>
      <c r="B1385" s="1" t="n">
        <v>45981</v>
      </c>
      <c r="C1385" s="1" t="n">
        <v>46034</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26350-2023</t>
        </is>
      </c>
      <c r="B1386" s="1" t="n">
        <v>45091.9421412037</v>
      </c>
      <c r="C1386" s="1" t="n">
        <v>46034</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61662-2022</t>
        </is>
      </c>
      <c r="B1387" s="1" t="n">
        <v>44916.96359953703</v>
      </c>
      <c r="C1387" s="1" t="n">
        <v>46034</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57354-2025</t>
        </is>
      </c>
      <c r="B1388" s="1" t="n">
        <v>45980.36532407408</v>
      </c>
      <c r="C1388" s="1" t="n">
        <v>46034</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15262-2025</t>
        </is>
      </c>
      <c r="B1389" s="1" t="n">
        <v>45744.65693287037</v>
      </c>
      <c r="C1389" s="1" t="n">
        <v>46034</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40410-2023</t>
        </is>
      </c>
      <c r="B1390" s="1" t="n">
        <v>45169</v>
      </c>
      <c r="C1390" s="1" t="n">
        <v>46034</v>
      </c>
      <c r="D1390" t="inlineStr">
        <is>
          <t>JÄMTLANDS LÄN</t>
        </is>
      </c>
      <c r="E1390" t="inlineStr">
        <is>
          <t>BRÄCKE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57616-2025</t>
        </is>
      </c>
      <c r="B1391" s="1" t="n">
        <v>45981.34456018519</v>
      </c>
      <c r="C1391" s="1" t="n">
        <v>46034</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57352-2025</t>
        </is>
      </c>
      <c r="B1392" s="1" t="n">
        <v>45980.36506944444</v>
      </c>
      <c r="C1392" s="1" t="n">
        <v>46034</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57850-2025</t>
        </is>
      </c>
      <c r="B1393" s="1" t="n">
        <v>45981.6360300926</v>
      </c>
      <c r="C1393" s="1" t="n">
        <v>46034</v>
      </c>
      <c r="D1393" t="inlineStr">
        <is>
          <t>JÄMTLANDS LÄN</t>
        </is>
      </c>
      <c r="E1393" t="inlineStr">
        <is>
          <t>BRÄCKE</t>
        </is>
      </c>
      <c r="F1393" t="inlineStr">
        <is>
          <t>SCA</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276-2026</t>
        </is>
      </c>
      <c r="B1394" s="1" t="n">
        <v>46027.469375</v>
      </c>
      <c r="C1394" s="1" t="n">
        <v>46034</v>
      </c>
      <c r="D1394" t="inlineStr">
        <is>
          <t>JÄMTLANDS LÄN</t>
        </is>
      </c>
      <c r="E1394" t="inlineStr">
        <is>
          <t>BRÄCKE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44445-2022</t>
        </is>
      </c>
      <c r="B1395" s="1" t="n">
        <v>44839.95482638889</v>
      </c>
      <c r="C1395" s="1" t="n">
        <v>46034</v>
      </c>
      <c r="D1395" t="inlineStr">
        <is>
          <t>JÄMTLANDS LÄN</t>
        </is>
      </c>
      <c r="E1395" t="inlineStr">
        <is>
          <t>BRÄCKE</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261-2026</t>
        </is>
      </c>
      <c r="B1396" s="1" t="n">
        <v>46027.44835648148</v>
      </c>
      <c r="C1396" s="1" t="n">
        <v>46034</v>
      </c>
      <c r="D1396" t="inlineStr">
        <is>
          <t>JÄMTLANDS LÄN</t>
        </is>
      </c>
      <c r="E1396" t="inlineStr">
        <is>
          <t>BRÄCKE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262-2026</t>
        </is>
      </c>
      <c r="B1397" s="1" t="n">
        <v>46027.44850694444</v>
      </c>
      <c r="C1397" s="1" t="n">
        <v>46034</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60654-2024</t>
        </is>
      </c>
      <c r="B1398" s="1" t="n">
        <v>45644</v>
      </c>
      <c r="C1398" s="1" t="n">
        <v>46034</v>
      </c>
      <c r="D1398" t="inlineStr">
        <is>
          <t>JÄMTLANDS LÄN</t>
        </is>
      </c>
      <c r="E1398" t="inlineStr">
        <is>
          <t>BRÄCKE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57948-2025</t>
        </is>
      </c>
      <c r="B1399" s="1" t="n">
        <v>45982.34452546296</v>
      </c>
      <c r="C1399" s="1" t="n">
        <v>46034</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277-2026</t>
        </is>
      </c>
      <c r="B1400" s="1" t="n">
        <v>46027.46945601852</v>
      </c>
      <c r="C1400" s="1" t="n">
        <v>46034</v>
      </c>
      <c r="D1400" t="inlineStr">
        <is>
          <t>JÄMTLANDS LÄN</t>
        </is>
      </c>
      <c r="E1400" t="inlineStr">
        <is>
          <t>BRÄCKE</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23443-2022</t>
        </is>
      </c>
      <c r="B1401" s="1" t="n">
        <v>44720.94112268519</v>
      </c>
      <c r="C1401" s="1" t="n">
        <v>46034</v>
      </c>
      <c r="D1401" t="inlineStr">
        <is>
          <t>JÄMTLANDS LÄN</t>
        </is>
      </c>
      <c r="E1401" t="inlineStr">
        <is>
          <t>BRÄCKE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11548-2023</t>
        </is>
      </c>
      <c r="B1402" s="1" t="n">
        <v>44993.9484837963</v>
      </c>
      <c r="C1402" s="1" t="n">
        <v>46034</v>
      </c>
      <c r="D1402" t="inlineStr">
        <is>
          <t>JÄMTLANDS LÄN</t>
        </is>
      </c>
      <c r="E1402" t="inlineStr">
        <is>
          <t>BRÄCKE</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31467-2023</t>
        </is>
      </c>
      <c r="B1403" s="1" t="n">
        <v>45104</v>
      </c>
      <c r="C1403" s="1" t="n">
        <v>46034</v>
      </c>
      <c r="D1403" t="inlineStr">
        <is>
          <t>JÄMTLANDS LÄN</t>
        </is>
      </c>
      <c r="E1403" t="inlineStr">
        <is>
          <t>BRÄCKE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63651-2025</t>
        </is>
      </c>
      <c r="B1404" s="1" t="n">
        <v>46014</v>
      </c>
      <c r="C1404" s="1" t="n">
        <v>46034</v>
      </c>
      <c r="D1404" t="inlineStr">
        <is>
          <t>JÄMTLANDS LÄN</t>
        </is>
      </c>
      <c r="E1404" t="inlineStr">
        <is>
          <t>BRÄCKE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58091-2025</t>
        </is>
      </c>
      <c r="B1405" s="1" t="n">
        <v>45982.57381944444</v>
      </c>
      <c r="C1405" s="1" t="n">
        <v>46034</v>
      </c>
      <c r="D1405" t="inlineStr">
        <is>
          <t>JÄMTLANDS LÄN</t>
        </is>
      </c>
      <c r="E1405" t="inlineStr">
        <is>
          <t>BRÄCKE</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49291-2024</t>
        </is>
      </c>
      <c r="B1406" s="1" t="n">
        <v>45595.53299768519</v>
      </c>
      <c r="C1406" s="1" t="n">
        <v>46034</v>
      </c>
      <c r="D1406" t="inlineStr">
        <is>
          <t>JÄMTLANDS LÄN</t>
        </is>
      </c>
      <c r="E1406" t="inlineStr">
        <is>
          <t>BRÄCKE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47186-2023</t>
        </is>
      </c>
      <c r="B1407" s="1" t="n">
        <v>45201</v>
      </c>
      <c r="C1407" s="1" t="n">
        <v>46034</v>
      </c>
      <c r="D1407" t="inlineStr">
        <is>
          <t>JÄMTLANDS LÄN</t>
        </is>
      </c>
      <c r="E1407" t="inlineStr">
        <is>
          <t>BRÄCKE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26910-2024</t>
        </is>
      </c>
      <c r="B1408" s="1" t="n">
        <v>45470.76403935185</v>
      </c>
      <c r="C1408" s="1" t="n">
        <v>46034</v>
      </c>
      <c r="D1408" t="inlineStr">
        <is>
          <t>JÄMTLANDS LÄN</t>
        </is>
      </c>
      <c r="E1408" t="inlineStr">
        <is>
          <t>BRÄCKE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58495-2025</t>
        </is>
      </c>
      <c r="B1409" s="1" t="n">
        <v>45985.67776620371</v>
      </c>
      <c r="C1409" s="1" t="n">
        <v>46034</v>
      </c>
      <c r="D1409" t="inlineStr">
        <is>
          <t>JÄMTLANDS LÄN</t>
        </is>
      </c>
      <c r="E1409" t="inlineStr">
        <is>
          <t>BRÄCKE</t>
        </is>
      </c>
      <c r="F1409" t="inlineStr">
        <is>
          <t>SCA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58351-2025</t>
        </is>
      </c>
      <c r="B1410" s="1" t="n">
        <v>45985.5109375</v>
      </c>
      <c r="C1410" s="1" t="n">
        <v>46034</v>
      </c>
      <c r="D1410" t="inlineStr">
        <is>
          <t>JÄMTLANDS LÄN</t>
        </is>
      </c>
      <c r="E1410" t="inlineStr">
        <is>
          <t>BRÄCKE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58132-2025</t>
        </is>
      </c>
      <c r="B1411" s="1" t="n">
        <v>45982.61650462963</v>
      </c>
      <c r="C1411" s="1" t="n">
        <v>46034</v>
      </c>
      <c r="D1411" t="inlineStr">
        <is>
          <t>JÄMTLANDS LÄN</t>
        </is>
      </c>
      <c r="E1411" t="inlineStr">
        <is>
          <t>BRÄCKE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20095-2023</t>
        </is>
      </c>
      <c r="B1412" s="1" t="n">
        <v>45054.94199074074</v>
      </c>
      <c r="C1412" s="1" t="n">
        <v>46034</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20100-2023</t>
        </is>
      </c>
      <c r="B1413" s="1" t="n">
        <v>45054.94239583334</v>
      </c>
      <c r="C1413" s="1" t="n">
        <v>46034</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20101-2023</t>
        </is>
      </c>
      <c r="B1414" s="1" t="n">
        <v>45054.94247685185</v>
      </c>
      <c r="C1414" s="1" t="n">
        <v>46034</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58762-2025</t>
        </is>
      </c>
      <c r="B1415" s="1" t="n">
        <v>45986.6568287037</v>
      </c>
      <c r="C1415" s="1" t="n">
        <v>46034</v>
      </c>
      <c r="D1415" t="inlineStr">
        <is>
          <t>JÄMTLANDS LÄN</t>
        </is>
      </c>
      <c r="E1415" t="inlineStr">
        <is>
          <t>BRÄCKE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58826-2025</t>
        </is>
      </c>
      <c r="B1416" s="1" t="n">
        <v>45987.346875</v>
      </c>
      <c r="C1416" s="1" t="n">
        <v>46034</v>
      </c>
      <c r="D1416" t="inlineStr">
        <is>
          <t>JÄMTLANDS LÄN</t>
        </is>
      </c>
      <c r="E1416" t="inlineStr">
        <is>
          <t>BRÄCKE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45126.94283564815</v>
      </c>
      <c r="C1417" s="1" t="n">
        <v>46034</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58854-2025</t>
        </is>
      </c>
      <c r="B1418" s="1" t="n">
        <v>45987.40699074074</v>
      </c>
      <c r="C1418" s="1" t="n">
        <v>46034</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10510-2025</t>
        </is>
      </c>
      <c r="B1419" s="1" t="n">
        <v>45721.40363425926</v>
      </c>
      <c r="C1419" s="1" t="n">
        <v>46034</v>
      </c>
      <c r="D1419" t="inlineStr">
        <is>
          <t>JÄMTLANDS LÄN</t>
        </is>
      </c>
      <c r="E1419" t="inlineStr">
        <is>
          <t>BRÄCKE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10606-2025</t>
        </is>
      </c>
      <c r="B1420" s="1" t="n">
        <v>45721.59429398148</v>
      </c>
      <c r="C1420" s="1" t="n">
        <v>46034</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58618-2025</t>
        </is>
      </c>
      <c r="B1421" s="1" t="n">
        <v>45986.46935185185</v>
      </c>
      <c r="C1421" s="1" t="n">
        <v>46034</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58972-2025</t>
        </is>
      </c>
      <c r="B1422" s="1" t="n">
        <v>45987</v>
      </c>
      <c r="C1422" s="1" t="n">
        <v>46034</v>
      </c>
      <c r="D1422" t="inlineStr">
        <is>
          <t>JÄMTLANDS LÄN</t>
        </is>
      </c>
      <c r="E1422" t="inlineStr">
        <is>
          <t>BRÄCKE</t>
        </is>
      </c>
      <c r="F1422" t="inlineStr">
        <is>
          <t>SCA</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29028-2024</t>
        </is>
      </c>
      <c r="B1423" s="1" t="n">
        <v>45481.59387731482</v>
      </c>
      <c r="C1423" s="1" t="n">
        <v>46034</v>
      </c>
      <c r="D1423" t="inlineStr">
        <is>
          <t>JÄMTLANDS LÄN</t>
        </is>
      </c>
      <c r="E1423" t="inlineStr">
        <is>
          <t>BRÄCKE</t>
        </is>
      </c>
      <c r="F1423" t="inlineStr">
        <is>
          <t>Övriga Aktiebolag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44753-2022</t>
        </is>
      </c>
      <c r="B1424" s="1" t="n">
        <v>44840</v>
      </c>
      <c r="C1424" s="1" t="n">
        <v>46034</v>
      </c>
      <c r="D1424" t="inlineStr">
        <is>
          <t>JÄMTLANDS LÄN</t>
        </is>
      </c>
      <c r="E1424" t="inlineStr">
        <is>
          <t>BRÄCKE</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45005-2023</t>
        </is>
      </c>
      <c r="B1425" s="1" t="n">
        <v>45190</v>
      </c>
      <c r="C1425" s="1" t="n">
        <v>46034</v>
      </c>
      <c r="D1425" t="inlineStr">
        <is>
          <t>JÄMTLANDS LÄN</t>
        </is>
      </c>
      <c r="E1425" t="inlineStr">
        <is>
          <t>BRÄCKE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6399-2021</t>
        </is>
      </c>
      <c r="B1426" s="1" t="n">
        <v>44232</v>
      </c>
      <c r="C1426" s="1" t="n">
        <v>46034</v>
      </c>
      <c r="D1426" t="inlineStr">
        <is>
          <t>JÄMTLANDS LÄN</t>
        </is>
      </c>
      <c r="E1426" t="inlineStr">
        <is>
          <t>BRÄCKE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496-2026</t>
        </is>
      </c>
      <c r="B1427" s="1" t="n">
        <v>46029.43114583333</v>
      </c>
      <c r="C1427" s="1" t="n">
        <v>46034</v>
      </c>
      <c r="D1427" t="inlineStr">
        <is>
          <t>JÄMTLANDS LÄN</t>
        </is>
      </c>
      <c r="E1427" t="inlineStr">
        <is>
          <t>BRÄCKE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32961-2022</t>
        </is>
      </c>
      <c r="B1428" s="1" t="n">
        <v>44784.92487268519</v>
      </c>
      <c r="C1428" s="1" t="n">
        <v>46034</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35424-2023</t>
        </is>
      </c>
      <c r="B1429" s="1" t="n">
        <v>45146.6240625</v>
      </c>
      <c r="C1429" s="1" t="n">
        <v>46034</v>
      </c>
      <c r="D1429" t="inlineStr">
        <is>
          <t>JÄMTLANDS LÄN</t>
        </is>
      </c>
      <c r="E1429" t="inlineStr">
        <is>
          <t>BRÄCKE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58957-2025</t>
        </is>
      </c>
      <c r="B1430" s="1" t="n">
        <v>45987.59512731482</v>
      </c>
      <c r="C1430" s="1" t="n">
        <v>46034</v>
      </c>
      <c r="D1430" t="inlineStr">
        <is>
          <t>JÄMTLANDS LÄN</t>
        </is>
      </c>
      <c r="E1430" t="inlineStr">
        <is>
          <t>BRÄCKE</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2954-2023</t>
        </is>
      </c>
      <c r="B1431" s="1" t="n">
        <v>44945.62861111111</v>
      </c>
      <c r="C1431" s="1" t="n">
        <v>46034</v>
      </c>
      <c r="D1431" t="inlineStr">
        <is>
          <t>JÄMTLANDS LÄN</t>
        </is>
      </c>
      <c r="E1431" t="inlineStr">
        <is>
          <t>BRÄCKE</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51809-2023</t>
        </is>
      </c>
      <c r="B1432" s="1" t="n">
        <v>45222.96574074074</v>
      </c>
      <c r="C1432" s="1" t="n">
        <v>46034</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58744-2025</t>
        </is>
      </c>
      <c r="B1433" s="1" t="n">
        <v>45986.6365162037</v>
      </c>
      <c r="C1433" s="1" t="n">
        <v>46034</v>
      </c>
      <c r="D1433" t="inlineStr">
        <is>
          <t>JÄMTLANDS LÄN</t>
        </is>
      </c>
      <c r="E1433" t="inlineStr">
        <is>
          <t>BRÄCKE</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998-2026</t>
        </is>
      </c>
      <c r="B1434" s="1" t="n">
        <v>46030.59447916667</v>
      </c>
      <c r="C1434" s="1" t="n">
        <v>46034</v>
      </c>
      <c r="D1434" t="inlineStr">
        <is>
          <t>JÄMTLANDS LÄN</t>
        </is>
      </c>
      <c r="E1434" t="inlineStr">
        <is>
          <t>BRÄCKE</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30287-2024</t>
        </is>
      </c>
      <c r="B1435" s="1" t="n">
        <v>45490.6452199074</v>
      </c>
      <c r="C1435" s="1" t="n">
        <v>46034</v>
      </c>
      <c r="D1435" t="inlineStr">
        <is>
          <t>JÄMTLANDS LÄN</t>
        </is>
      </c>
      <c r="E1435" t="inlineStr">
        <is>
          <t>BRÄCKE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962-2026</t>
        </is>
      </c>
      <c r="B1436" s="1" t="n">
        <v>46030.55704861111</v>
      </c>
      <c r="C1436" s="1" t="n">
        <v>46034</v>
      </c>
      <c r="D1436" t="inlineStr">
        <is>
          <t>JÄMTLANDS LÄN</t>
        </is>
      </c>
      <c r="E1436" t="inlineStr">
        <is>
          <t>BRÄCKE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974-2026</t>
        </is>
      </c>
      <c r="B1437" s="1" t="n">
        <v>46030.56853009259</v>
      </c>
      <c r="C1437" s="1" t="n">
        <v>46034</v>
      </c>
      <c r="D1437" t="inlineStr">
        <is>
          <t>JÄMTLANDS LÄN</t>
        </is>
      </c>
      <c r="E1437" t="inlineStr">
        <is>
          <t>BRÄCKE</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20760-2024</t>
        </is>
      </c>
      <c r="B1438" s="1" t="n">
        <v>45436.92543981481</v>
      </c>
      <c r="C1438" s="1" t="n">
        <v>46034</v>
      </c>
      <c r="D1438" t="inlineStr">
        <is>
          <t>JÄMTLANDS LÄN</t>
        </is>
      </c>
      <c r="E1438" t="inlineStr">
        <is>
          <t>BRÄCKE</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1080-2026</t>
        </is>
      </c>
      <c r="B1439" s="1" t="n">
        <v>46029</v>
      </c>
      <c r="C1439" s="1" t="n">
        <v>46034</v>
      </c>
      <c r="D1439" t="inlineStr">
        <is>
          <t>JÄMTLANDS LÄN</t>
        </is>
      </c>
      <c r="E1439" t="inlineStr">
        <is>
          <t>BRÄCKE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59323-2025</t>
        </is>
      </c>
      <c r="B1440" s="1" t="n">
        <v>45989.34443287037</v>
      </c>
      <c r="C1440" s="1" t="n">
        <v>46034</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1863-2022</t>
        </is>
      </c>
      <c r="B1441" s="1" t="n">
        <v>44574</v>
      </c>
      <c r="C1441" s="1" t="n">
        <v>46034</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1865-2022</t>
        </is>
      </c>
      <c r="B1442" s="1" t="n">
        <v>44574</v>
      </c>
      <c r="C1442" s="1" t="n">
        <v>46034</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7756-2025</t>
        </is>
      </c>
      <c r="B1443" s="1" t="n">
        <v>45706.51079861111</v>
      </c>
      <c r="C1443" s="1" t="n">
        <v>46034</v>
      </c>
      <c r="D1443" t="inlineStr">
        <is>
          <t>JÄMTLANDS LÄN</t>
        </is>
      </c>
      <c r="E1443" t="inlineStr">
        <is>
          <t>BRÄCKE</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7757-2025</t>
        </is>
      </c>
      <c r="B1444" s="1" t="n">
        <v>45706.51085648148</v>
      </c>
      <c r="C1444" s="1" t="n">
        <v>46034</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1226-2026</t>
        </is>
      </c>
      <c r="B1445" s="1" t="n">
        <v>46031.40679398148</v>
      </c>
      <c r="C1445" s="1" t="n">
        <v>46034</v>
      </c>
      <c r="D1445" t="inlineStr">
        <is>
          <t>JÄMTLANDS LÄN</t>
        </is>
      </c>
      <c r="E1445" t="inlineStr">
        <is>
          <t>BRÄCKE</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5482-2025</t>
        </is>
      </c>
      <c r="B1446" s="1" t="n">
        <v>45693.34427083333</v>
      </c>
      <c r="C1446" s="1" t="n">
        <v>46034</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14266-2025</t>
        </is>
      </c>
      <c r="B1447" s="1" t="n">
        <v>45740.63572916666</v>
      </c>
      <c r="C1447" s="1" t="n">
        <v>46034</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40791-2024</t>
        </is>
      </c>
      <c r="B1448" s="1" t="n">
        <v>45558.50222222223</v>
      </c>
      <c r="C1448" s="1" t="n">
        <v>46034</v>
      </c>
      <c r="D1448" t="inlineStr">
        <is>
          <t>JÄMTLANDS LÄN</t>
        </is>
      </c>
      <c r="E1448" t="inlineStr">
        <is>
          <t>BRÄCKE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57623-2024</t>
        </is>
      </c>
      <c r="B1449" s="1" t="n">
        <v>45630.55260416667</v>
      </c>
      <c r="C1449" s="1" t="n">
        <v>46034</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48416-2024</t>
        </is>
      </c>
      <c r="B1450" s="1" t="n">
        <v>45590.64153935185</v>
      </c>
      <c r="C1450" s="1" t="n">
        <v>46034</v>
      </c>
      <c r="D1450" t="inlineStr">
        <is>
          <t>JÄMTLANDS LÄN</t>
        </is>
      </c>
      <c r="E1450" t="inlineStr">
        <is>
          <t>BRÄCKE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59285-2025</t>
        </is>
      </c>
      <c r="B1451" s="1" t="n">
        <v>45988.73943287037</v>
      </c>
      <c r="C1451" s="1" t="n">
        <v>46034</v>
      </c>
      <c r="D1451" t="inlineStr">
        <is>
          <t>JÄMTLANDS LÄN</t>
        </is>
      </c>
      <c r="E1451" t="inlineStr">
        <is>
          <t>BRÄCKE</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43910-2023</t>
        </is>
      </c>
      <c r="B1452" s="1" t="n">
        <v>45182</v>
      </c>
      <c r="C1452" s="1" t="n">
        <v>46034</v>
      </c>
      <c r="D1452" t="inlineStr">
        <is>
          <t>JÄMTLANDS LÄN</t>
        </is>
      </c>
      <c r="E1452" t="inlineStr">
        <is>
          <t>BRÄCKE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5536-2025</t>
        </is>
      </c>
      <c r="B1453" s="1" t="n">
        <v>45693.44846064815</v>
      </c>
      <c r="C1453" s="1" t="n">
        <v>46034</v>
      </c>
      <c r="D1453" t="inlineStr">
        <is>
          <t>JÄMTLANDS LÄN</t>
        </is>
      </c>
      <c r="E1453" t="inlineStr">
        <is>
          <t>BRÄCKE</t>
        </is>
      </c>
      <c r="F1453" t="inlineStr">
        <is>
          <t>SCA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5537-2025</t>
        </is>
      </c>
      <c r="B1454" s="1" t="n">
        <v>45693.44858796296</v>
      </c>
      <c r="C1454" s="1" t="n">
        <v>46034</v>
      </c>
      <c r="D1454" t="inlineStr">
        <is>
          <t>JÄMTLANDS LÄN</t>
        </is>
      </c>
      <c r="E1454" t="inlineStr">
        <is>
          <t>BRÄCKE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14868-2021</t>
        </is>
      </c>
      <c r="B1455" s="1" t="n">
        <v>44280</v>
      </c>
      <c r="C1455" s="1" t="n">
        <v>46034</v>
      </c>
      <c r="D1455" t="inlineStr">
        <is>
          <t>JÄMTLANDS LÄN</t>
        </is>
      </c>
      <c r="E1455" t="inlineStr">
        <is>
          <t>BRÄCKE</t>
        </is>
      </c>
      <c r="F1455" t="inlineStr">
        <is>
          <t>SCA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27280-2024</t>
        </is>
      </c>
      <c r="B1456" s="1" t="n">
        <v>45471.92576388889</v>
      </c>
      <c r="C1456" s="1" t="n">
        <v>46034</v>
      </c>
      <c r="D1456" t="inlineStr">
        <is>
          <t>JÄMTLANDS LÄN</t>
        </is>
      </c>
      <c r="E1456" t="inlineStr">
        <is>
          <t>BRÄCKE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45414-2024</t>
        </is>
      </c>
      <c r="B1457" s="1" t="n">
        <v>45576.5943287037</v>
      </c>
      <c r="C1457" s="1" t="n">
        <v>46034</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21086-2024</t>
        </is>
      </c>
      <c r="B1458" s="1" t="n">
        <v>45439.92791666667</v>
      </c>
      <c r="C1458" s="1" t="n">
        <v>46034</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11550-2023</t>
        </is>
      </c>
      <c r="B1459" s="1" t="n">
        <v>44993</v>
      </c>
      <c r="C1459" s="1" t="n">
        <v>46034</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14838-2025</t>
        </is>
      </c>
      <c r="B1460" s="1" t="n">
        <v>45743.38582175926</v>
      </c>
      <c r="C1460" s="1" t="n">
        <v>46034</v>
      </c>
      <c r="D1460" t="inlineStr">
        <is>
          <t>JÄMTLANDS LÄN</t>
        </is>
      </c>
      <c r="E1460" t="inlineStr">
        <is>
          <t>BRÄCKE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57417-2023</t>
        </is>
      </c>
      <c r="B1461" s="1" t="n">
        <v>45245.96966435185</v>
      </c>
      <c r="C1461" s="1" t="n">
        <v>46034</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10103-2025</t>
        </is>
      </c>
      <c r="B1462" s="1" t="n">
        <v>45719.57978009259</v>
      </c>
      <c r="C1462" s="1" t="n">
        <v>46034</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1227-2026</t>
        </is>
      </c>
      <c r="B1463" s="1" t="n">
        <v>46031.40693287037</v>
      </c>
      <c r="C1463" s="1" t="n">
        <v>46034</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59405-2022</t>
        </is>
      </c>
      <c r="B1464" s="1" t="n">
        <v>44906</v>
      </c>
      <c r="C1464" s="1" t="n">
        <v>46034</v>
      </c>
      <c r="D1464" t="inlineStr">
        <is>
          <t>JÄMTLANDS LÄN</t>
        </is>
      </c>
      <c r="E1464" t="inlineStr">
        <is>
          <t>BRÄCKE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20014-2022</t>
        </is>
      </c>
      <c r="B1465" s="1" t="n">
        <v>44697.64387731482</v>
      </c>
      <c r="C1465" s="1" t="n">
        <v>46034</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37957-2021</t>
        </is>
      </c>
      <c r="B1466" s="1" t="n">
        <v>44403</v>
      </c>
      <c r="C1466" s="1" t="n">
        <v>46034</v>
      </c>
      <c r="D1466" t="inlineStr">
        <is>
          <t>JÄMTLANDS LÄN</t>
        </is>
      </c>
      <c r="E1466" t="inlineStr">
        <is>
          <t>BRÄCKE</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21366-2021</t>
        </is>
      </c>
      <c r="B1467" s="1" t="n">
        <v>44320</v>
      </c>
      <c r="C1467" s="1" t="n">
        <v>46034</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41311-2024</t>
        </is>
      </c>
      <c r="B1468" s="1" t="n">
        <v>45559.63569444444</v>
      </c>
      <c r="C1468" s="1" t="n">
        <v>46034</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41315-2024</t>
        </is>
      </c>
      <c r="B1469" s="1" t="n">
        <v>45559.63628472222</v>
      </c>
      <c r="C1469" s="1" t="n">
        <v>46034</v>
      </c>
      <c r="D1469" t="inlineStr">
        <is>
          <t>JÄMTLANDS LÄN</t>
        </is>
      </c>
      <c r="E1469" t="inlineStr">
        <is>
          <t>BRÄCKE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13033-2023</t>
        </is>
      </c>
      <c r="B1470" s="1" t="n">
        <v>45001</v>
      </c>
      <c r="C1470" s="1" t="n">
        <v>46034</v>
      </c>
      <c r="D1470" t="inlineStr">
        <is>
          <t>JÄMTLANDS LÄN</t>
        </is>
      </c>
      <c r="E1470" t="inlineStr">
        <is>
          <t>BRÄCKE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26522-2024</t>
        </is>
      </c>
      <c r="B1471" s="1" t="n">
        <v>45469</v>
      </c>
      <c r="C1471" s="1" t="n">
        <v>46034</v>
      </c>
      <c r="D1471" t="inlineStr">
        <is>
          <t>JÄMTLANDS LÄN</t>
        </is>
      </c>
      <c r="E1471" t="inlineStr">
        <is>
          <t>BRÄCKE</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3865-2025</t>
        </is>
      </c>
      <c r="B1472" s="1" t="n">
        <v>45684.31815972222</v>
      </c>
      <c r="C1472" s="1" t="n">
        <v>46034</v>
      </c>
      <c r="D1472" t="inlineStr">
        <is>
          <t>JÄMTLANDS LÄN</t>
        </is>
      </c>
      <c r="E1472" t="inlineStr">
        <is>
          <t>BRÄCKE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20157-2025</t>
        </is>
      </c>
      <c r="B1473" s="1" t="n">
        <v>45772.56060185185</v>
      </c>
      <c r="C1473" s="1" t="n">
        <v>46034</v>
      </c>
      <c r="D1473" t="inlineStr">
        <is>
          <t>JÄMTLANDS LÄN</t>
        </is>
      </c>
      <c r="E1473" t="inlineStr">
        <is>
          <t>BRÄCKE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53941-2022</t>
        </is>
      </c>
      <c r="B1474" s="1" t="n">
        <v>44880</v>
      </c>
      <c r="C1474" s="1" t="n">
        <v>46034</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46597-2022</t>
        </is>
      </c>
      <c r="B1475" s="1" t="n">
        <v>44848</v>
      </c>
      <c r="C1475" s="1" t="n">
        <v>46034</v>
      </c>
      <c r="D1475" t="inlineStr">
        <is>
          <t>JÄMTLANDS LÄN</t>
        </is>
      </c>
      <c r="E1475" t="inlineStr">
        <is>
          <t>BRÄCKE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35880-2023</t>
        </is>
      </c>
      <c r="B1476" s="1" t="n">
        <v>45148</v>
      </c>
      <c r="C1476" s="1" t="n">
        <v>46034</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53724-2024</t>
        </is>
      </c>
      <c r="B1477" s="1" t="n">
        <v>45615.45042824074</v>
      </c>
      <c r="C1477" s="1" t="n">
        <v>46034</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49189-2024</t>
        </is>
      </c>
      <c r="B1478" s="1" t="n">
        <v>45595.34502314815</v>
      </c>
      <c r="C1478" s="1" t="n">
        <v>46034</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54863-2024</t>
        </is>
      </c>
      <c r="B1479" s="1" t="n">
        <v>45618.59431712963</v>
      </c>
      <c r="C1479" s="1" t="n">
        <v>46034</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54865-2024</t>
        </is>
      </c>
      <c r="B1480" s="1" t="n">
        <v>45618.59471064815</v>
      </c>
      <c r="C1480" s="1" t="n">
        <v>46034</v>
      </c>
      <c r="D1480" t="inlineStr">
        <is>
          <t>JÄMTLANDS LÄN</t>
        </is>
      </c>
      <c r="E1480" t="inlineStr">
        <is>
          <t>BRÄCKE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46034</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19584-2024</t>
        </is>
      </c>
      <c r="B1482" s="1" t="n">
        <v>45429</v>
      </c>
      <c r="C1482" s="1" t="n">
        <v>46034</v>
      </c>
      <c r="D1482" t="inlineStr">
        <is>
          <t>JÄMTLANDS LÄN</t>
        </is>
      </c>
      <c r="E1482" t="inlineStr">
        <is>
          <t>BRÄCKE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23081-2024</t>
        </is>
      </c>
      <c r="B1483" s="1" t="n">
        <v>45450.50152777778</v>
      </c>
      <c r="C1483" s="1" t="n">
        <v>46034</v>
      </c>
      <c r="D1483" t="inlineStr">
        <is>
          <t>JÄMTLANDS LÄN</t>
        </is>
      </c>
      <c r="E1483" t="inlineStr">
        <is>
          <t>BRÄCKE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30569-2024</t>
        </is>
      </c>
      <c r="B1484" s="1" t="n">
        <v>45492.95690972222</v>
      </c>
      <c r="C1484" s="1" t="n">
        <v>46034</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47746-2024</t>
        </is>
      </c>
      <c r="B1485" s="1" t="n">
        <v>45588.53438657407</v>
      </c>
      <c r="C1485" s="1" t="n">
        <v>46034</v>
      </c>
      <c r="D1485" t="inlineStr">
        <is>
          <t>JÄMTLANDS LÄN</t>
        </is>
      </c>
      <c r="E1485" t="inlineStr">
        <is>
          <t>BRÄCKE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32229-2023</t>
        </is>
      </c>
      <c r="B1486" s="1" t="n">
        <v>45119.94334490741</v>
      </c>
      <c r="C1486" s="1" t="n">
        <v>46034</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45169.93751157408</v>
      </c>
      <c r="C1487" s="1" t="n">
        <v>46034</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34409-2021</t>
        </is>
      </c>
      <c r="B1488" s="1" t="n">
        <v>44379</v>
      </c>
      <c r="C1488" s="1" t="n">
        <v>46034</v>
      </c>
      <c r="D1488" t="inlineStr">
        <is>
          <t>JÄMTLANDS LÄN</t>
        </is>
      </c>
      <c r="E1488" t="inlineStr">
        <is>
          <t>BRÄCKE</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31520-2022</t>
        </is>
      </c>
      <c r="B1489" s="1" t="n">
        <v>44774.94930555556</v>
      </c>
      <c r="C1489" s="1" t="n">
        <v>46034</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52760-2023</t>
        </is>
      </c>
      <c r="B1490" s="1" t="n">
        <v>45225</v>
      </c>
      <c r="C1490" s="1" t="n">
        <v>46034</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24026-2024</t>
        </is>
      </c>
      <c r="B1491" s="1" t="n">
        <v>45456.45159722222</v>
      </c>
      <c r="C1491" s="1" t="n">
        <v>46034</v>
      </c>
      <c r="D1491" t="inlineStr">
        <is>
          <t>JÄMTLANDS LÄN</t>
        </is>
      </c>
      <c r="E1491" t="inlineStr">
        <is>
          <t>BRÄCKE</t>
        </is>
      </c>
      <c r="F1491" t="inlineStr">
        <is>
          <t>Övriga Aktiebolag</t>
        </is>
      </c>
      <c r="G1491" t="n">
        <v>23.7</v>
      </c>
      <c r="H1491" t="n">
        <v>0</v>
      </c>
      <c r="I1491" t="n">
        <v>0</v>
      </c>
      <c r="J1491" t="n">
        <v>0</v>
      </c>
      <c r="K1491" t="n">
        <v>0</v>
      </c>
      <c r="L1491" t="n">
        <v>0</v>
      </c>
      <c r="M1491" t="n">
        <v>0</v>
      </c>
      <c r="N1491" t="n">
        <v>0</v>
      </c>
      <c r="O1491" t="n">
        <v>0</v>
      </c>
      <c r="P1491" t="n">
        <v>0</v>
      </c>
      <c r="Q1491" t="n">
        <v>0</v>
      </c>
      <c r="R1491" s="2" t="inlineStr"/>
    </row>
    <row r="1492" ht="15" customHeight="1">
      <c r="A1492" t="inlineStr">
        <is>
          <t>A 104-2025</t>
        </is>
      </c>
      <c r="B1492" s="1" t="n">
        <v>45659</v>
      </c>
      <c r="C1492" s="1" t="n">
        <v>46034</v>
      </c>
      <c r="D1492" t="inlineStr">
        <is>
          <t>JÄMTLANDS LÄN</t>
        </is>
      </c>
      <c r="E1492" t="inlineStr">
        <is>
          <t>BRÄCKE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9706-2025</t>
        </is>
      </c>
      <c r="B1493" s="1" t="n">
        <v>45716.3858912037</v>
      </c>
      <c r="C1493" s="1" t="n">
        <v>46034</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51827-2023</t>
        </is>
      </c>
      <c r="B1494" s="1" t="n">
        <v>45222.96791666667</v>
      </c>
      <c r="C1494" s="1" t="n">
        <v>46034</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51378-2024</t>
        </is>
      </c>
      <c r="B1495" s="1" t="n">
        <v>45604.38572916666</v>
      </c>
      <c r="C1495" s="1" t="n">
        <v>46034</v>
      </c>
      <c r="D1495" t="inlineStr">
        <is>
          <t>JÄMTLANDS LÄN</t>
        </is>
      </c>
      <c r="E1495" t="inlineStr">
        <is>
          <t>BRÄCKE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24531-2022</t>
        </is>
      </c>
      <c r="B1496" s="1" t="n">
        <v>44726</v>
      </c>
      <c r="C1496" s="1" t="n">
        <v>46034</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51195-2024</t>
        </is>
      </c>
      <c r="B1497" s="1" t="n">
        <v>45603.61532407408</v>
      </c>
      <c r="C1497" s="1" t="n">
        <v>46034</v>
      </c>
      <c r="D1497" t="inlineStr">
        <is>
          <t>JÄMTLANDS LÄN</t>
        </is>
      </c>
      <c r="E1497" t="inlineStr">
        <is>
          <t>BRÄCKE</t>
        </is>
      </c>
      <c r="F1497" t="inlineStr">
        <is>
          <t>SCA</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3390-2024</t>
        </is>
      </c>
      <c r="B1498" s="1" t="n">
        <v>45317.94108796296</v>
      </c>
      <c r="C1498" s="1" t="n">
        <v>46034</v>
      </c>
      <c r="D1498" t="inlineStr">
        <is>
          <t>JÄMTLANDS LÄN</t>
        </is>
      </c>
      <c r="E1498" t="inlineStr">
        <is>
          <t>BRÄCKE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62674-2021</t>
        </is>
      </c>
      <c r="B1499" s="1" t="n">
        <v>44503.94478009259</v>
      </c>
      <c r="C1499" s="1" t="n">
        <v>46034</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30479-2022</t>
        </is>
      </c>
      <c r="B1500" s="1" t="n">
        <v>44761.94013888889</v>
      </c>
      <c r="C1500" s="1" t="n">
        <v>46034</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16317-2025</t>
        </is>
      </c>
      <c r="B1501" s="1" t="n">
        <v>45751.3480787037</v>
      </c>
      <c r="C1501" s="1" t="n">
        <v>46034</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55997-2024</t>
        </is>
      </c>
      <c r="B1502" s="1" t="n">
        <v>45623.6984837963</v>
      </c>
      <c r="C1502" s="1" t="n">
        <v>46034</v>
      </c>
      <c r="D1502" t="inlineStr">
        <is>
          <t>JÄMTLANDS LÄN</t>
        </is>
      </c>
      <c r="E1502" t="inlineStr">
        <is>
          <t>BRÄCKE</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53113-2022</t>
        </is>
      </c>
      <c r="B1503" s="1" t="n">
        <v>44873</v>
      </c>
      <c r="C1503" s="1" t="n">
        <v>46034</v>
      </c>
      <c r="D1503" t="inlineStr">
        <is>
          <t>JÄMTLANDS LÄN</t>
        </is>
      </c>
      <c r="E1503" t="inlineStr">
        <is>
          <t>BRÄCKE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3528-2024</t>
        </is>
      </c>
      <c r="B1504" s="1" t="n">
        <v>45320</v>
      </c>
      <c r="C1504" s="1" t="n">
        <v>46034</v>
      </c>
      <c r="D1504" t="inlineStr">
        <is>
          <t>JÄMTLANDS LÄN</t>
        </is>
      </c>
      <c r="E1504" t="inlineStr">
        <is>
          <t>BRÄCKE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6378-2025</t>
        </is>
      </c>
      <c r="B1505" s="1" t="n">
        <v>45699.40689814815</v>
      </c>
      <c r="C1505" s="1" t="n">
        <v>46034</v>
      </c>
      <c r="D1505" t="inlineStr">
        <is>
          <t>JÄMTLANDS LÄN</t>
        </is>
      </c>
      <c r="E1505" t="inlineStr">
        <is>
          <t>BRÄCKE</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18255-2025</t>
        </is>
      </c>
      <c r="B1506" s="1" t="n">
        <v>45762.3446412037</v>
      </c>
      <c r="C1506" s="1" t="n">
        <v>46034</v>
      </c>
      <c r="D1506" t="inlineStr">
        <is>
          <t>JÄMTLANDS LÄN</t>
        </is>
      </c>
      <c r="E1506" t="inlineStr">
        <is>
          <t>BRÄCKE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10088-2025</t>
        </is>
      </c>
      <c r="B1507" s="1" t="n">
        <v>45719.57335648148</v>
      </c>
      <c r="C1507" s="1" t="n">
        <v>46034</v>
      </c>
      <c r="D1507" t="inlineStr">
        <is>
          <t>JÄMTLANDS LÄN</t>
        </is>
      </c>
      <c r="E1507" t="inlineStr">
        <is>
          <t>BRÄCKE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10106-2025</t>
        </is>
      </c>
      <c r="B1508" s="1" t="n">
        <v>45719.58611111111</v>
      </c>
      <c r="C1508" s="1" t="n">
        <v>46034</v>
      </c>
      <c r="D1508" t="inlineStr">
        <is>
          <t>JÄMTLANDS LÄN</t>
        </is>
      </c>
      <c r="E1508" t="inlineStr">
        <is>
          <t>BRÄCKE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11313-2022</t>
        </is>
      </c>
      <c r="B1509" s="1" t="n">
        <v>44629.94712962963</v>
      </c>
      <c r="C1509" s="1" t="n">
        <v>46034</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23747-2021</t>
        </is>
      </c>
      <c r="B1510" s="1" t="n">
        <v>44334</v>
      </c>
      <c r="C1510" s="1" t="n">
        <v>46034</v>
      </c>
      <c r="D1510" t="inlineStr">
        <is>
          <t>JÄMTLANDS LÄN</t>
        </is>
      </c>
      <c r="E1510" t="inlineStr">
        <is>
          <t>BRÄCKE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13019-2023</t>
        </is>
      </c>
      <c r="B1511" s="1" t="n">
        <v>45001</v>
      </c>
      <c r="C1511" s="1" t="n">
        <v>46034</v>
      </c>
      <c r="D1511" t="inlineStr">
        <is>
          <t>JÄMTLANDS LÄN</t>
        </is>
      </c>
      <c r="E1511" t="inlineStr">
        <is>
          <t>BRÄCKE</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61362-2024</t>
        </is>
      </c>
      <c r="B1512" s="1" t="n">
        <v>45646.3857175926</v>
      </c>
      <c r="C1512" s="1" t="n">
        <v>46034</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49339-2024</t>
        </is>
      </c>
      <c r="B1513" s="1" t="n">
        <v>45595.59420138889</v>
      </c>
      <c r="C1513" s="1" t="n">
        <v>46034</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60178-2022</t>
        </is>
      </c>
      <c r="B1514" s="1" t="n">
        <v>44909</v>
      </c>
      <c r="C1514" s="1" t="n">
        <v>46034</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22981-2024</t>
        </is>
      </c>
      <c r="B1515" s="1" t="n">
        <v>45449.90369212963</v>
      </c>
      <c r="C1515" s="1" t="n">
        <v>46034</v>
      </c>
      <c r="D1515" t="inlineStr">
        <is>
          <t>JÄMTLANDS LÄN</t>
        </is>
      </c>
      <c r="E1515" t="inlineStr">
        <is>
          <t>BRÄCKE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29821-2022</t>
        </is>
      </c>
      <c r="B1516" s="1" t="n">
        <v>44755.94486111111</v>
      </c>
      <c r="C1516" s="1" t="n">
        <v>46034</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16466-2024</t>
        </is>
      </c>
      <c r="B1517" s="1" t="n">
        <v>45408.050625</v>
      </c>
      <c r="C1517" s="1" t="n">
        <v>46034</v>
      </c>
      <c r="D1517" t="inlineStr">
        <is>
          <t>JÄMTLANDS LÄN</t>
        </is>
      </c>
      <c r="E1517" t="inlineStr">
        <is>
          <t>BRÄCKE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54334-2023</t>
        </is>
      </c>
      <c r="B1518" s="1" t="n">
        <v>45232.95790509259</v>
      </c>
      <c r="C1518" s="1" t="n">
        <v>46034</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31521-2022</t>
        </is>
      </c>
      <c r="B1519" s="1" t="n">
        <v>44774.949375</v>
      </c>
      <c r="C1519" s="1" t="n">
        <v>46034</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41922-2023</t>
        </is>
      </c>
      <c r="B1520" s="1" t="n">
        <v>45176</v>
      </c>
      <c r="C1520" s="1" t="n">
        <v>46034</v>
      </c>
      <c r="D1520" t="inlineStr">
        <is>
          <t>JÄMTLANDS LÄN</t>
        </is>
      </c>
      <c r="E1520" t="inlineStr">
        <is>
          <t>BRÄCKE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5005-2025</t>
        </is>
      </c>
      <c r="B1521" s="1" t="n">
        <v>45691.36862268519</v>
      </c>
      <c r="C1521" s="1" t="n">
        <v>46034</v>
      </c>
      <c r="D1521" t="inlineStr">
        <is>
          <t>JÄMTLANDS LÄN</t>
        </is>
      </c>
      <c r="E1521" t="inlineStr">
        <is>
          <t>BRÄCKE</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20667-2022</t>
        </is>
      </c>
      <c r="B1522" s="1" t="n">
        <v>44700.65226851852</v>
      </c>
      <c r="C1522" s="1" t="n">
        <v>46034</v>
      </c>
      <c r="D1522" t="inlineStr">
        <is>
          <t>JÄMTLANDS LÄN</t>
        </is>
      </c>
      <c r="E1522" t="inlineStr">
        <is>
          <t>BRÄCKE</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20514-2024</t>
        </is>
      </c>
      <c r="B1523" s="1" t="n">
        <v>45435.94387731481</v>
      </c>
      <c r="C1523" s="1" t="n">
        <v>46034</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59914-2022</t>
        </is>
      </c>
      <c r="B1524" s="1" t="n">
        <v>44908.96010416667</v>
      </c>
      <c r="C1524" s="1" t="n">
        <v>46034</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50813-2024</t>
        </is>
      </c>
      <c r="B1525" s="1" t="n">
        <v>45602</v>
      </c>
      <c r="C1525" s="1" t="n">
        <v>46034</v>
      </c>
      <c r="D1525" t="inlineStr">
        <is>
          <t>JÄMTLANDS LÄN</t>
        </is>
      </c>
      <c r="E1525" t="inlineStr">
        <is>
          <t>BRÄCKE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65433-2021</t>
        </is>
      </c>
      <c r="B1526" s="1" t="n">
        <v>44515.93875</v>
      </c>
      <c r="C1526" s="1" t="n">
        <v>46034</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10763-2023</t>
        </is>
      </c>
      <c r="B1527" s="1" t="n">
        <v>44988</v>
      </c>
      <c r="C1527" s="1" t="n">
        <v>46034</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43123-2023</t>
        </is>
      </c>
      <c r="B1528" s="1" t="n">
        <v>45182</v>
      </c>
      <c r="C1528" s="1" t="n">
        <v>46034</v>
      </c>
      <c r="D1528" t="inlineStr">
        <is>
          <t>JÄMTLANDS LÄN</t>
        </is>
      </c>
      <c r="E1528" t="inlineStr">
        <is>
          <t>BRÄCKE</t>
        </is>
      </c>
      <c r="F1528" t="inlineStr">
        <is>
          <t>Naturvårdsverket</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60015-2021</t>
        </is>
      </c>
      <c r="B1529" s="1" t="n">
        <v>44494.94096064815</v>
      </c>
      <c r="C1529" s="1" t="n">
        <v>46034</v>
      </c>
      <c r="D1529" t="inlineStr">
        <is>
          <t>JÄMTLANDS LÄN</t>
        </is>
      </c>
      <c r="E1529" t="inlineStr">
        <is>
          <t>BRÄCKE</t>
        </is>
      </c>
      <c r="G1529" t="n">
        <v>18.7</v>
      </c>
      <c r="H1529" t="n">
        <v>0</v>
      </c>
      <c r="I1529" t="n">
        <v>0</v>
      </c>
      <c r="J1529" t="n">
        <v>0</v>
      </c>
      <c r="K1529" t="n">
        <v>0</v>
      </c>
      <c r="L1529" t="n">
        <v>0</v>
      </c>
      <c r="M1529" t="n">
        <v>0</v>
      </c>
      <c r="N1529" t="n">
        <v>0</v>
      </c>
      <c r="O1529" t="n">
        <v>0</v>
      </c>
      <c r="P1529" t="n">
        <v>0</v>
      </c>
      <c r="Q1529" t="n">
        <v>0</v>
      </c>
      <c r="R1529" s="2" t="inlineStr"/>
    </row>
    <row r="1530" ht="15" customHeight="1">
      <c r="A1530" t="inlineStr">
        <is>
          <t>A 57783-2023</t>
        </is>
      </c>
      <c r="B1530" s="1" t="n">
        <v>45246.96743055555</v>
      </c>
      <c r="C1530" s="1" t="n">
        <v>46034</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1672-2025</t>
        </is>
      </c>
      <c r="B1531" s="1" t="n">
        <v>45670.6781712963</v>
      </c>
      <c r="C1531" s="1" t="n">
        <v>46034</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32429-2024</t>
        </is>
      </c>
      <c r="B1532" s="1" t="n">
        <v>45512.92820601852</v>
      </c>
      <c r="C1532" s="1" t="n">
        <v>46034</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47983-2021</t>
        </is>
      </c>
      <c r="B1533" s="1" t="n">
        <v>44448</v>
      </c>
      <c r="C1533" s="1" t="n">
        <v>46034</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49721-2024</t>
        </is>
      </c>
      <c r="B1534" s="1" t="n">
        <v>45596.72841435186</v>
      </c>
      <c r="C1534" s="1" t="n">
        <v>46034</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14601-2025</t>
        </is>
      </c>
      <c r="B1535" s="1" t="n">
        <v>45742.36497685185</v>
      </c>
      <c r="C1535" s="1" t="n">
        <v>46034</v>
      </c>
      <c r="D1535" t="inlineStr">
        <is>
          <t>JÄMTLANDS LÄN</t>
        </is>
      </c>
      <c r="E1535" t="inlineStr">
        <is>
          <t>BRÄCKE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62249-2021</t>
        </is>
      </c>
      <c r="B1536" s="1" t="n">
        <v>44503</v>
      </c>
      <c r="C1536" s="1" t="n">
        <v>46034</v>
      </c>
      <c r="D1536" t="inlineStr">
        <is>
          <t>JÄMTLANDS LÄN</t>
        </is>
      </c>
      <c r="E1536" t="inlineStr">
        <is>
          <t>BRÄCKE</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19615-2025</t>
        </is>
      </c>
      <c r="B1537" s="1" t="n">
        <v>45770.61519675926</v>
      </c>
      <c r="C1537" s="1" t="n">
        <v>46034</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11310-2025</t>
        </is>
      </c>
      <c r="B1538" s="1" t="n">
        <v>45726.44832175926</v>
      </c>
      <c r="C1538" s="1" t="n">
        <v>46034</v>
      </c>
      <c r="D1538" t="inlineStr">
        <is>
          <t>JÄMTLANDS LÄN</t>
        </is>
      </c>
      <c r="E1538" t="inlineStr">
        <is>
          <t>BRÄCKE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6362-2024</t>
        </is>
      </c>
      <c r="B1539" s="1" t="n">
        <v>45338</v>
      </c>
      <c r="C1539" s="1" t="n">
        <v>46034</v>
      </c>
      <c r="D1539" t="inlineStr">
        <is>
          <t>JÄMTLANDS LÄN</t>
        </is>
      </c>
      <c r="E1539" t="inlineStr">
        <is>
          <t>BRÄCKE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19996-2024</t>
        </is>
      </c>
      <c r="B1540" s="1" t="n">
        <v>45433.92756944444</v>
      </c>
      <c r="C1540" s="1" t="n">
        <v>46034</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21781-2023</t>
        </is>
      </c>
      <c r="B1541" s="1" t="n">
        <v>45065</v>
      </c>
      <c r="C1541" s="1" t="n">
        <v>46034</v>
      </c>
      <c r="D1541" t="inlineStr">
        <is>
          <t>JÄMTLANDS LÄN</t>
        </is>
      </c>
      <c r="E1541" t="inlineStr">
        <is>
          <t>BRÄCKE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23013-2021</t>
        </is>
      </c>
      <c r="B1542" s="1" t="n">
        <v>44328</v>
      </c>
      <c r="C1542" s="1" t="n">
        <v>46034</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21637-2021</t>
        </is>
      </c>
      <c r="B1543" s="1" t="n">
        <v>44321</v>
      </c>
      <c r="C1543" s="1" t="n">
        <v>46034</v>
      </c>
      <c r="D1543" t="inlineStr">
        <is>
          <t>JÄMTLANDS LÄN</t>
        </is>
      </c>
      <c r="E1543" t="inlineStr">
        <is>
          <t>BRÄCKE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57590-2024</t>
        </is>
      </c>
      <c r="B1544" s="1" t="n">
        <v>45630.49729166667</v>
      </c>
      <c r="C1544" s="1" t="n">
        <v>46034</v>
      </c>
      <c r="D1544" t="inlineStr">
        <is>
          <t>JÄMTLANDS LÄN</t>
        </is>
      </c>
      <c r="E1544" t="inlineStr">
        <is>
          <t>BRÄCKE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55667-2023</t>
        </is>
      </c>
      <c r="B1545" s="1" t="n">
        <v>45238.96780092592</v>
      </c>
      <c r="C1545" s="1" t="n">
        <v>46034</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55668-2023</t>
        </is>
      </c>
      <c r="B1546" s="1" t="n">
        <v>45238</v>
      </c>
      <c r="C1546" s="1" t="n">
        <v>46034</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23064-2024</t>
        </is>
      </c>
      <c r="B1547" s="1" t="n">
        <v>45450.44827546296</v>
      </c>
      <c r="C1547" s="1" t="n">
        <v>46034</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37048-2021</t>
        </is>
      </c>
      <c r="B1548" s="1" t="n">
        <v>44393.93534722222</v>
      </c>
      <c r="C1548" s="1" t="n">
        <v>46034</v>
      </c>
      <c r="D1548" t="inlineStr">
        <is>
          <t>JÄMTLANDS LÄN</t>
        </is>
      </c>
      <c r="E1548" t="inlineStr">
        <is>
          <t>BRÄCKE</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25934-2024</t>
        </is>
      </c>
      <c r="B1549" s="1" t="n">
        <v>45467.62287037037</v>
      </c>
      <c r="C1549" s="1" t="n">
        <v>46034</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63534-2023</t>
        </is>
      </c>
      <c r="B1550" s="1" t="n">
        <v>45274.94905092593</v>
      </c>
      <c r="C1550" s="1" t="n">
        <v>46034</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46034</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53522-2023</t>
        </is>
      </c>
      <c r="B1552" s="1" t="n">
        <v>45223</v>
      </c>
      <c r="C1552" s="1" t="n">
        <v>46034</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21380-2024</t>
        </is>
      </c>
      <c r="B1553" s="1" t="n">
        <v>45440</v>
      </c>
      <c r="C1553" s="1" t="n">
        <v>46034</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21381-2024</t>
        </is>
      </c>
      <c r="B1554" s="1" t="n">
        <v>45440.95402777778</v>
      </c>
      <c r="C1554" s="1" t="n">
        <v>46034</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64037-2023</t>
        </is>
      </c>
      <c r="B1555" s="1" t="n">
        <v>45278.94344907408</v>
      </c>
      <c r="C1555" s="1" t="n">
        <v>46034</v>
      </c>
      <c r="D1555" t="inlineStr">
        <is>
          <t>JÄMTLANDS LÄN</t>
        </is>
      </c>
      <c r="E1555" t="inlineStr">
        <is>
          <t>BRÄCKE</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34137-2023</t>
        </is>
      </c>
      <c r="B1556" s="1" t="n">
        <v>45135</v>
      </c>
      <c r="C1556" s="1" t="n">
        <v>46034</v>
      </c>
      <c r="D1556" t="inlineStr">
        <is>
          <t>JÄMTLANDS LÄN</t>
        </is>
      </c>
      <c r="E1556" t="inlineStr">
        <is>
          <t>BRÄCKE</t>
        </is>
      </c>
      <c r="F1556" t="inlineStr">
        <is>
          <t>SCA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52023-2022</t>
        </is>
      </c>
      <c r="B1557" s="1" t="n">
        <v>44872.95675925926</v>
      </c>
      <c r="C1557" s="1" t="n">
        <v>46034</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30480-2022</t>
        </is>
      </c>
      <c r="B1558" s="1" t="n">
        <v>44761.94019675926</v>
      </c>
      <c r="C1558" s="1" t="n">
        <v>46034</v>
      </c>
      <c r="D1558" t="inlineStr">
        <is>
          <t>JÄMTLANDS LÄN</t>
        </is>
      </c>
      <c r="E1558" t="inlineStr">
        <is>
          <t>BRÄCKE</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2197-2025</t>
        </is>
      </c>
      <c r="B1559" s="1" t="n">
        <v>45673.38782407407</v>
      </c>
      <c r="C1559" s="1" t="n">
        <v>46034</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31843-2022</t>
        </is>
      </c>
      <c r="B1560" s="1" t="n">
        <v>44776.94121527778</v>
      </c>
      <c r="C1560" s="1" t="n">
        <v>46034</v>
      </c>
      <c r="D1560" t="inlineStr">
        <is>
          <t>JÄMTLANDS LÄN</t>
        </is>
      </c>
      <c r="E1560" t="inlineStr">
        <is>
          <t>BRÄCKE</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31853-2022</t>
        </is>
      </c>
      <c r="B1561" s="1" t="n">
        <v>44776</v>
      </c>
      <c r="C1561" s="1" t="n">
        <v>46034</v>
      </c>
      <c r="D1561" t="inlineStr">
        <is>
          <t>JÄMTLANDS LÄN</t>
        </is>
      </c>
      <c r="E1561" t="inlineStr">
        <is>
          <t>BRÄCKE</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16158-2024</t>
        </is>
      </c>
      <c r="B1562" s="1" t="n">
        <v>45406.5909837963</v>
      </c>
      <c r="C1562" s="1" t="n">
        <v>46034</v>
      </c>
      <c r="D1562" t="inlineStr">
        <is>
          <t>JÄMTLANDS LÄN</t>
        </is>
      </c>
      <c r="E1562" t="inlineStr">
        <is>
          <t>BRÄCKE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35972-2023</t>
        </is>
      </c>
      <c r="B1563" s="1" t="n">
        <v>45148</v>
      </c>
      <c r="C1563" s="1" t="n">
        <v>46034</v>
      </c>
      <c r="D1563" t="inlineStr">
        <is>
          <t>JÄMTLANDS LÄN</t>
        </is>
      </c>
      <c r="E1563" t="inlineStr">
        <is>
          <t>BRÄCKE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1201-2022</t>
        </is>
      </c>
      <c r="B1564" s="1" t="n">
        <v>44572</v>
      </c>
      <c r="C1564" s="1" t="n">
        <v>46034</v>
      </c>
      <c r="D1564" t="inlineStr">
        <is>
          <t>JÄMTLANDS LÄN</t>
        </is>
      </c>
      <c r="E1564" t="inlineStr">
        <is>
          <t>BRÄCKE</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33998-2023</t>
        </is>
      </c>
      <c r="B1565" s="1" t="n">
        <v>45134</v>
      </c>
      <c r="C1565" s="1" t="n">
        <v>46034</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59047-2022</t>
        </is>
      </c>
      <c r="B1566" s="1" t="n">
        <v>44903.95328703704</v>
      </c>
      <c r="C1566" s="1" t="n">
        <v>46034</v>
      </c>
      <c r="D1566" t="inlineStr">
        <is>
          <t>JÄMTLANDS LÄN</t>
        </is>
      </c>
      <c r="E1566" t="inlineStr">
        <is>
          <t>BRÄCKE</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60435-2023</t>
        </is>
      </c>
      <c r="B1567" s="1" t="n">
        <v>45258</v>
      </c>
      <c r="C1567" s="1" t="n">
        <v>46034</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14503-2024</t>
        </is>
      </c>
      <c r="B1568" s="1" t="n">
        <v>45394.60408564815</v>
      </c>
      <c r="C1568" s="1" t="n">
        <v>46034</v>
      </c>
      <c r="D1568" t="inlineStr">
        <is>
          <t>JÄMTLANDS LÄN</t>
        </is>
      </c>
      <c r="E1568" t="inlineStr">
        <is>
          <t>BRÄCKE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18036-2025</t>
        </is>
      </c>
      <c r="B1569" s="1" t="n">
        <v>45761.45518518519</v>
      </c>
      <c r="C1569" s="1" t="n">
        <v>46034</v>
      </c>
      <c r="D1569" t="inlineStr">
        <is>
          <t>JÄMTLANDS LÄN</t>
        </is>
      </c>
      <c r="E1569" t="inlineStr">
        <is>
          <t>BRÄCKE</t>
        </is>
      </c>
      <c r="G1569" t="n">
        <v>19.5</v>
      </c>
      <c r="H1569" t="n">
        <v>0</v>
      </c>
      <c r="I1569" t="n">
        <v>0</v>
      </c>
      <c r="J1569" t="n">
        <v>0</v>
      </c>
      <c r="K1569" t="n">
        <v>0</v>
      </c>
      <c r="L1569" t="n">
        <v>0</v>
      </c>
      <c r="M1569" t="n">
        <v>0</v>
      </c>
      <c r="N1569" t="n">
        <v>0</v>
      </c>
      <c r="O1569" t="n">
        <v>0</v>
      </c>
      <c r="P1569" t="n">
        <v>0</v>
      </c>
      <c r="Q1569" t="n">
        <v>0</v>
      </c>
      <c r="R1569" s="2" t="inlineStr"/>
    </row>
    <row r="1570" ht="15" customHeight="1">
      <c r="A1570" t="inlineStr">
        <is>
          <t>A 58767-2023</t>
        </is>
      </c>
      <c r="B1570" s="1" t="n">
        <v>45251.96665509259</v>
      </c>
      <c r="C1570" s="1" t="n">
        <v>46034</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44444-2022</t>
        </is>
      </c>
      <c r="B1571" s="1" t="n">
        <v>44839.95474537037</v>
      </c>
      <c r="C1571" s="1" t="n">
        <v>46034</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17601-2025</t>
        </is>
      </c>
      <c r="B1572" s="1" t="n">
        <v>45757.71991898148</v>
      </c>
      <c r="C1572" s="1" t="n">
        <v>46034</v>
      </c>
      <c r="D1572" t="inlineStr">
        <is>
          <t>JÄMTLANDS LÄN</t>
        </is>
      </c>
      <c r="E1572" t="inlineStr">
        <is>
          <t>BRÄCKE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2829-2021</t>
        </is>
      </c>
      <c r="B1573" s="1" t="n">
        <v>44215</v>
      </c>
      <c r="C1573" s="1" t="n">
        <v>46034</v>
      </c>
      <c r="D1573" t="inlineStr">
        <is>
          <t>JÄMTLANDS LÄN</t>
        </is>
      </c>
      <c r="E1573" t="inlineStr">
        <is>
          <t>BRÄCKE</t>
        </is>
      </c>
      <c r="F1573" t="inlineStr">
        <is>
          <t>SCA</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45170.95685185185</v>
      </c>
      <c r="C1574" s="1" t="n">
        <v>46034</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33773-2024</t>
        </is>
      </c>
      <c r="B1575" s="1" t="n">
        <v>45520</v>
      </c>
      <c r="C1575" s="1" t="n">
        <v>46034</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41314-2024</t>
        </is>
      </c>
      <c r="B1576" s="1" t="n">
        <v>45559.63613425926</v>
      </c>
      <c r="C1576" s="1" t="n">
        <v>46034</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33774-2024</t>
        </is>
      </c>
      <c r="B1577" s="1" t="n">
        <v>45520</v>
      </c>
      <c r="C1577" s="1" t="n">
        <v>46034</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34873-2021</t>
        </is>
      </c>
      <c r="B1578" s="1" t="n">
        <v>44382</v>
      </c>
      <c r="C1578" s="1" t="n">
        <v>46034</v>
      </c>
      <c r="D1578" t="inlineStr">
        <is>
          <t>JÄMTLANDS LÄN</t>
        </is>
      </c>
      <c r="E1578" t="inlineStr">
        <is>
          <t>BRÄCKE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19386-2025</t>
        </is>
      </c>
      <c r="B1579" s="1" t="n">
        <v>45769.65719907408</v>
      </c>
      <c r="C1579" s="1" t="n">
        <v>46034</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56732-2022</t>
        </is>
      </c>
      <c r="B1580" s="1" t="n">
        <v>44893.94966435185</v>
      </c>
      <c r="C1580" s="1" t="n">
        <v>46034</v>
      </c>
      <c r="D1580" t="inlineStr">
        <is>
          <t>JÄMTLANDS LÄN</t>
        </is>
      </c>
      <c r="E1580" t="inlineStr">
        <is>
          <t>BRÄCKE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63292-2023</t>
        </is>
      </c>
      <c r="B1581" s="1" t="n">
        <v>45273.94680555556</v>
      </c>
      <c r="C1581" s="1" t="n">
        <v>46034</v>
      </c>
      <c r="D1581" t="inlineStr">
        <is>
          <t>JÄMTLANDS LÄN</t>
        </is>
      </c>
      <c r="E1581" t="inlineStr">
        <is>
          <t>BRÄCKE</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29189-2024</t>
        </is>
      </c>
      <c r="B1582" s="1" t="n">
        <v>45482.55164351852</v>
      </c>
      <c r="C1582" s="1" t="n">
        <v>46034</v>
      </c>
      <c r="D1582" t="inlineStr">
        <is>
          <t>JÄMTLANDS LÄN</t>
        </is>
      </c>
      <c r="E1582" t="inlineStr">
        <is>
          <t>BRÄCKE</t>
        </is>
      </c>
      <c r="F1582" t="inlineStr">
        <is>
          <t>Övriga Aktiebolag</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6516-2024</t>
        </is>
      </c>
      <c r="B1583" s="1" t="n">
        <v>45341</v>
      </c>
      <c r="C1583" s="1" t="n">
        <v>46034</v>
      </c>
      <c r="D1583" t="inlineStr">
        <is>
          <t>JÄMTLANDS LÄN</t>
        </is>
      </c>
      <c r="E1583" t="inlineStr">
        <is>
          <t>BRÄCKE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52846-2022</t>
        </is>
      </c>
      <c r="B1584" s="1" t="n">
        <v>44875</v>
      </c>
      <c r="C1584" s="1" t="n">
        <v>46034</v>
      </c>
      <c r="D1584" t="inlineStr">
        <is>
          <t>JÄMTLANDS LÄN</t>
        </is>
      </c>
      <c r="E1584" t="inlineStr">
        <is>
          <t>BRÄCKE</t>
        </is>
      </c>
      <c r="F1584" t="inlineStr">
        <is>
          <t>Övriga Aktiebolag</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54524-2022</t>
        </is>
      </c>
      <c r="B1585" s="1" t="n">
        <v>44882.74364583333</v>
      </c>
      <c r="C1585" s="1" t="n">
        <v>46034</v>
      </c>
      <c r="D1585" t="inlineStr">
        <is>
          <t>JÄMTLANDS LÄN</t>
        </is>
      </c>
      <c r="E1585" t="inlineStr">
        <is>
          <t>BRÄCKE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57798-2023</t>
        </is>
      </c>
      <c r="B1586" s="1" t="n">
        <v>45246.96893518518</v>
      </c>
      <c r="C1586" s="1" t="n">
        <v>46034</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46034</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56499-2023</t>
        </is>
      </c>
      <c r="B1588" s="1" t="n">
        <v>45237</v>
      </c>
      <c r="C1588" s="1" t="n">
        <v>46034</v>
      </c>
      <c r="D1588" t="inlineStr">
        <is>
          <t>JÄMTLANDS LÄN</t>
        </is>
      </c>
      <c r="E1588" t="inlineStr">
        <is>
          <t>BRÄCKE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56525-2023</t>
        </is>
      </c>
      <c r="B1589" s="1" t="n">
        <v>45243.56650462963</v>
      </c>
      <c r="C1589" s="1" t="n">
        <v>46034</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45381-2024</t>
        </is>
      </c>
      <c r="B1590" s="1" t="n">
        <v>45576.53155092592</v>
      </c>
      <c r="C1590" s="1" t="n">
        <v>46034</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13166-2024</t>
        </is>
      </c>
      <c r="B1591" s="1" t="n">
        <v>45386.40141203703</v>
      </c>
      <c r="C1591" s="1" t="n">
        <v>46034</v>
      </c>
      <c r="D1591" t="inlineStr">
        <is>
          <t>JÄMTLANDS LÄN</t>
        </is>
      </c>
      <c r="E1591" t="inlineStr">
        <is>
          <t>BRÄCKE</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13180-2024</t>
        </is>
      </c>
      <c r="B1592" s="1" t="n">
        <v>45386.43207175926</v>
      </c>
      <c r="C1592" s="1" t="n">
        <v>46034</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36209-2023</t>
        </is>
      </c>
      <c r="B1593" s="1" t="n">
        <v>45149</v>
      </c>
      <c r="C1593" s="1" t="n">
        <v>46034</v>
      </c>
      <c r="D1593" t="inlineStr">
        <is>
          <t>JÄMTLANDS LÄN</t>
        </is>
      </c>
      <c r="E1593" t="inlineStr">
        <is>
          <t>BRÄCKE</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57088-2024</t>
        </is>
      </c>
      <c r="B1594" s="1" t="n">
        <v>45629.35652777777</v>
      </c>
      <c r="C1594" s="1" t="n">
        <v>46034</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18982-2022</t>
        </is>
      </c>
      <c r="B1595" s="1" t="n">
        <v>44690.92626157407</v>
      </c>
      <c r="C1595" s="1" t="n">
        <v>46034</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13906-2025</t>
        </is>
      </c>
      <c r="B1596" s="1" t="n">
        <v>45737.6359375</v>
      </c>
      <c r="C1596" s="1" t="n">
        <v>46034</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52754-2023</t>
        </is>
      </c>
      <c r="B1597" s="1" t="n">
        <v>45225.96831018518</v>
      </c>
      <c r="C1597" s="1" t="n">
        <v>46034</v>
      </c>
      <c r="D1597" t="inlineStr">
        <is>
          <t>JÄMTLANDS LÄN</t>
        </is>
      </c>
      <c r="E1597" t="inlineStr">
        <is>
          <t>BRÄCKE</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52712-2022</t>
        </is>
      </c>
      <c r="B1598" s="1" t="n">
        <v>44874</v>
      </c>
      <c r="C1598" s="1" t="n">
        <v>46034</v>
      </c>
      <c r="D1598" t="inlineStr">
        <is>
          <t>JÄMTLANDS LÄN</t>
        </is>
      </c>
      <c r="E1598" t="inlineStr">
        <is>
          <t>BRÄCKE</t>
        </is>
      </c>
      <c r="F1598" t="inlineStr">
        <is>
          <t>SCA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52713-2022</t>
        </is>
      </c>
      <c r="B1599" s="1" t="n">
        <v>44874.95504629629</v>
      </c>
      <c r="C1599" s="1" t="n">
        <v>46034</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46034</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41183-2023</t>
        </is>
      </c>
      <c r="B1601" s="1" t="n">
        <v>45170</v>
      </c>
      <c r="C1601" s="1" t="n">
        <v>46034</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56656-2022</t>
        </is>
      </c>
      <c r="B1602" s="1" t="n">
        <v>44893</v>
      </c>
      <c r="C1602" s="1" t="n">
        <v>46034</v>
      </c>
      <c r="D1602" t="inlineStr">
        <is>
          <t>JÄMTLANDS LÄN</t>
        </is>
      </c>
      <c r="E1602" t="inlineStr">
        <is>
          <t>BRÄCKE</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45436-2022</t>
        </is>
      </c>
      <c r="B1603" s="1" t="n">
        <v>44844.95355324074</v>
      </c>
      <c r="C1603" s="1" t="n">
        <v>46034</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51559-2022</t>
        </is>
      </c>
      <c r="B1604" s="1" t="n">
        <v>44869</v>
      </c>
      <c r="C1604" s="1" t="n">
        <v>46034</v>
      </c>
      <c r="D1604" t="inlineStr">
        <is>
          <t>JÄMTLANDS LÄN</t>
        </is>
      </c>
      <c r="E1604" t="inlineStr">
        <is>
          <t>BRÄCKE</t>
        </is>
      </c>
      <c r="F1604" t="inlineStr">
        <is>
          <t>SCA</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5340-2025</t>
        </is>
      </c>
      <c r="B1605" s="1" t="n">
        <v>45692.55248842593</v>
      </c>
      <c r="C1605" s="1" t="n">
        <v>46034</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48784-2024</t>
        </is>
      </c>
      <c r="B1606" s="1" t="n">
        <v>45593.63570601852</v>
      </c>
      <c r="C1606" s="1" t="n">
        <v>46034</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41401-2023</t>
        </is>
      </c>
      <c r="B1607" s="1" t="n">
        <v>45174</v>
      </c>
      <c r="C1607" s="1" t="n">
        <v>46034</v>
      </c>
      <c r="D1607" t="inlineStr">
        <is>
          <t>JÄMTLANDS LÄN</t>
        </is>
      </c>
      <c r="E1607" t="inlineStr">
        <is>
          <t>BRÄCKE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19486-2023</t>
        </is>
      </c>
      <c r="B1608" s="1" t="n">
        <v>45049</v>
      </c>
      <c r="C1608" s="1" t="n">
        <v>46034</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12036-2023</t>
        </is>
      </c>
      <c r="B1609" s="1" t="n">
        <v>44995</v>
      </c>
      <c r="C1609" s="1" t="n">
        <v>46034</v>
      </c>
      <c r="D1609" t="inlineStr">
        <is>
          <t>JÄMTLANDS LÄN</t>
        </is>
      </c>
      <c r="E1609" t="inlineStr">
        <is>
          <t>BRÄCKE</t>
        </is>
      </c>
      <c r="G1609" t="n">
        <v>16.3</v>
      </c>
      <c r="H1609" t="n">
        <v>0</v>
      </c>
      <c r="I1609" t="n">
        <v>0</v>
      </c>
      <c r="J1609" t="n">
        <v>0</v>
      </c>
      <c r="K1609" t="n">
        <v>0</v>
      </c>
      <c r="L1609" t="n">
        <v>0</v>
      </c>
      <c r="M1609" t="n">
        <v>0</v>
      </c>
      <c r="N1609" t="n">
        <v>0</v>
      </c>
      <c r="O1609" t="n">
        <v>0</v>
      </c>
      <c r="P1609" t="n">
        <v>0</v>
      </c>
      <c r="Q1609" t="n">
        <v>0</v>
      </c>
      <c r="R1609" s="2" t="inlineStr"/>
    </row>
    <row r="1610" ht="15" customHeight="1">
      <c r="A1610" t="inlineStr">
        <is>
          <t>A 63716-2023</t>
        </is>
      </c>
      <c r="B1610" s="1" t="n">
        <v>45275</v>
      </c>
      <c r="C1610" s="1" t="n">
        <v>46034</v>
      </c>
      <c r="D1610" t="inlineStr">
        <is>
          <t>JÄMTLANDS LÄN</t>
        </is>
      </c>
      <c r="E1610" t="inlineStr">
        <is>
          <t>BRÄCKE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3697-2025</t>
        </is>
      </c>
      <c r="B1611" s="1" t="n">
        <v>45681.46973379629</v>
      </c>
      <c r="C1611" s="1" t="n">
        <v>46034</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56822-2022</t>
        </is>
      </c>
      <c r="B1612" s="1" t="n">
        <v>44894.44673611111</v>
      </c>
      <c r="C1612" s="1" t="n">
        <v>46034</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18641-2024</t>
        </is>
      </c>
      <c r="B1613" s="1" t="n">
        <v>45425.9666087963</v>
      </c>
      <c r="C1613" s="1" t="n">
        <v>46034</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58848-2024</t>
        </is>
      </c>
      <c r="B1614" s="1" t="n">
        <v>45636.38657407407</v>
      </c>
      <c r="C1614" s="1" t="n">
        <v>46034</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50260-2024</t>
        </is>
      </c>
      <c r="B1615" s="1" t="n">
        <v>45600</v>
      </c>
      <c r="C1615" s="1" t="n">
        <v>46034</v>
      </c>
      <c r="D1615" t="inlineStr">
        <is>
          <t>JÄMTLANDS LÄN</t>
        </is>
      </c>
      <c r="E1615" t="inlineStr">
        <is>
          <t>BRÄCKE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35506-2023</t>
        </is>
      </c>
      <c r="B1616" s="1" t="n">
        <v>45146</v>
      </c>
      <c r="C1616" s="1" t="n">
        <v>46034</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15201-2024</t>
        </is>
      </c>
      <c r="B1617" s="1" t="n">
        <v>45400.43778935185</v>
      </c>
      <c r="C1617" s="1" t="n">
        <v>46034</v>
      </c>
      <c r="D1617" t="inlineStr">
        <is>
          <t>JÄMTLANDS LÄN</t>
        </is>
      </c>
      <c r="E1617" t="inlineStr">
        <is>
          <t>BRÄCKE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23444-2022</t>
        </is>
      </c>
      <c r="B1618" s="1" t="n">
        <v>44720.94118055556</v>
      </c>
      <c r="C1618" s="1" t="n">
        <v>46034</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29003-2024</t>
        </is>
      </c>
      <c r="B1619" s="1" t="n">
        <v>45481.52758101852</v>
      </c>
      <c r="C1619" s="1" t="n">
        <v>46034</v>
      </c>
      <c r="D1619" t="inlineStr">
        <is>
          <t>JÄMTLANDS LÄN</t>
        </is>
      </c>
      <c r="E1619" t="inlineStr">
        <is>
          <t>BRÄCKE</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54274-2022</t>
        </is>
      </c>
      <c r="B1620" s="1" t="n">
        <v>44879</v>
      </c>
      <c r="C1620" s="1" t="n">
        <v>46034</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37239-2023</t>
        </is>
      </c>
      <c r="B1621" s="1" t="n">
        <v>45155.95373842592</v>
      </c>
      <c r="C1621" s="1" t="n">
        <v>46034</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3247-2025</t>
        </is>
      </c>
      <c r="B1622" s="1" t="n">
        <v>45679.5315625</v>
      </c>
      <c r="C1622" s="1" t="n">
        <v>46034</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3249-2025</t>
        </is>
      </c>
      <c r="B1623" s="1" t="n">
        <v>45679.53177083333</v>
      </c>
      <c r="C1623" s="1" t="n">
        <v>46034</v>
      </c>
      <c r="D1623" t="inlineStr">
        <is>
          <t>JÄMTLANDS LÄN</t>
        </is>
      </c>
      <c r="E1623" t="inlineStr">
        <is>
          <t>BRÄCKE</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29325-2022</t>
        </is>
      </c>
      <c r="B1624" s="1" t="n">
        <v>44751.94157407407</v>
      </c>
      <c r="C1624" s="1" t="n">
        <v>46034</v>
      </c>
      <c r="D1624" t="inlineStr">
        <is>
          <t>JÄMTLANDS LÄN</t>
        </is>
      </c>
      <c r="E1624" t="inlineStr">
        <is>
          <t>BRÄCKE</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60417-2022</t>
        </is>
      </c>
      <c r="B1625" s="1" t="n">
        <v>44910.97158564815</v>
      </c>
      <c r="C1625" s="1" t="n">
        <v>46034</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29130-2024</t>
        </is>
      </c>
      <c r="B1626" s="1" t="n">
        <v>45482.35856481481</v>
      </c>
      <c r="C1626" s="1" t="n">
        <v>46034</v>
      </c>
      <c r="D1626" t="inlineStr">
        <is>
          <t>JÄMTLANDS LÄN</t>
        </is>
      </c>
      <c r="E1626" t="inlineStr">
        <is>
          <t>BRÄCKE</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50609-2023</t>
        </is>
      </c>
      <c r="B1627" s="1" t="n">
        <v>45217</v>
      </c>
      <c r="C1627" s="1" t="n">
        <v>46034</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3020-2023</t>
        </is>
      </c>
      <c r="B1628" s="1" t="n">
        <v>44945.9396412037</v>
      </c>
      <c r="C1628" s="1" t="n">
        <v>46034</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3032-2023</t>
        </is>
      </c>
      <c r="B1629" s="1" t="n">
        <v>44945.9412962963</v>
      </c>
      <c r="C1629" s="1" t="n">
        <v>46034</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45010-2023</t>
        </is>
      </c>
      <c r="B1630" s="1" t="n">
        <v>45190.96116898148</v>
      </c>
      <c r="C1630" s="1" t="n">
        <v>46034</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45190.96158564815</v>
      </c>
      <c r="C1631" s="1" t="n">
        <v>46034</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38007-2024</t>
        </is>
      </c>
      <c r="B1632" s="1" t="n">
        <v>45544.62063657407</v>
      </c>
      <c r="C1632" s="1" t="n">
        <v>46034</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57069-2024</t>
        </is>
      </c>
      <c r="B1633" s="1" t="n">
        <v>45629.35391203704</v>
      </c>
      <c r="C1633" s="1" t="n">
        <v>46034</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20803-2021</t>
        </is>
      </c>
      <c r="B1634" s="1" t="n">
        <v>44316</v>
      </c>
      <c r="C1634" s="1" t="n">
        <v>46034</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10532-2022</t>
        </is>
      </c>
      <c r="B1635" s="1" t="n">
        <v>44623</v>
      </c>
      <c r="C1635" s="1" t="n">
        <v>46034</v>
      </c>
      <c r="D1635" t="inlineStr">
        <is>
          <t>JÄMTLANDS LÄN</t>
        </is>
      </c>
      <c r="E1635" t="inlineStr">
        <is>
          <t>BRÄCKE</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58728-2022</t>
        </is>
      </c>
      <c r="B1636" s="1" t="n">
        <v>44902</v>
      </c>
      <c r="C1636" s="1" t="n">
        <v>46034</v>
      </c>
      <c r="D1636" t="inlineStr">
        <is>
          <t>JÄMTLANDS LÄN</t>
        </is>
      </c>
      <c r="E1636" t="inlineStr">
        <is>
          <t>BRÄCKE</t>
        </is>
      </c>
      <c r="G1636" t="n">
        <v>21.5</v>
      </c>
      <c r="H1636" t="n">
        <v>0</v>
      </c>
      <c r="I1636" t="n">
        <v>0</v>
      </c>
      <c r="J1636" t="n">
        <v>0</v>
      </c>
      <c r="K1636" t="n">
        <v>0</v>
      </c>
      <c r="L1636" t="n">
        <v>0</v>
      </c>
      <c r="M1636" t="n">
        <v>0</v>
      </c>
      <c r="N1636" t="n">
        <v>0</v>
      </c>
      <c r="O1636" t="n">
        <v>0</v>
      </c>
      <c r="P1636" t="n">
        <v>0</v>
      </c>
      <c r="Q1636" t="n">
        <v>0</v>
      </c>
      <c r="R1636" s="2" t="inlineStr"/>
    </row>
    <row r="1637" ht="15" customHeight="1">
      <c r="A1637" t="inlineStr">
        <is>
          <t>A 45722-2024</t>
        </is>
      </c>
      <c r="B1637" s="1" t="n">
        <v>45579.59447916667</v>
      </c>
      <c r="C1637" s="1" t="n">
        <v>46034</v>
      </c>
      <c r="D1637" t="inlineStr">
        <is>
          <t>JÄMTLANDS LÄN</t>
        </is>
      </c>
      <c r="E1637" t="inlineStr">
        <is>
          <t>BRÄCKE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17420-2024</t>
        </is>
      </c>
      <c r="B1638" s="1" t="n">
        <v>45414.96395833333</v>
      </c>
      <c r="C1638" s="1" t="n">
        <v>46034</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26458-2022</t>
        </is>
      </c>
      <c r="B1639" s="1" t="n">
        <v>44739.34201388889</v>
      </c>
      <c r="C1639" s="1" t="n">
        <v>46034</v>
      </c>
      <c r="D1639" t="inlineStr">
        <is>
          <t>JÄMTLANDS LÄN</t>
        </is>
      </c>
      <c r="E1639" t="inlineStr">
        <is>
          <t>BRÄCKE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61973-2024</t>
        </is>
      </c>
      <c r="B1640" s="1" t="n">
        <v>45653.61484953704</v>
      </c>
      <c r="C1640" s="1" t="n">
        <v>46034</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64034-2023</t>
        </is>
      </c>
      <c r="B1641" s="1" t="n">
        <v>45278.94321759259</v>
      </c>
      <c r="C1641" s="1" t="n">
        <v>46034</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13554-2024</t>
        </is>
      </c>
      <c r="B1642" s="1" t="n">
        <v>45387</v>
      </c>
      <c r="C1642" s="1" t="n">
        <v>46034</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12640-2025</t>
        </is>
      </c>
      <c r="B1643" s="1" t="n">
        <v>45733.38606481482</v>
      </c>
      <c r="C1643" s="1" t="n">
        <v>46034</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41552-2024</t>
        </is>
      </c>
      <c r="B1644" s="1" t="n">
        <v>45560.51988425926</v>
      </c>
      <c r="C1644" s="1" t="n">
        <v>46034</v>
      </c>
      <c r="D1644" t="inlineStr">
        <is>
          <t>JÄMTLANDS LÄN</t>
        </is>
      </c>
      <c r="E1644" t="inlineStr">
        <is>
          <t>BRÄCKE</t>
        </is>
      </c>
      <c r="F1644" t="inlineStr">
        <is>
          <t>Övriga Aktiebolag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24718-2022</t>
        </is>
      </c>
      <c r="B1645" s="1" t="n">
        <v>44727.94221064815</v>
      </c>
      <c r="C1645" s="1" t="n">
        <v>46034</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24726-2022</t>
        </is>
      </c>
      <c r="B1646" s="1" t="n">
        <v>44727</v>
      </c>
      <c r="C1646" s="1" t="n">
        <v>46034</v>
      </c>
      <c r="D1646" t="inlineStr">
        <is>
          <t>JÄMTLANDS LÄN</t>
        </is>
      </c>
      <c r="E1646" t="inlineStr">
        <is>
          <t>BRÄCKE</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35244-2021</t>
        </is>
      </c>
      <c r="B1647" s="1" t="n">
        <v>44384.58844907407</v>
      </c>
      <c r="C1647" s="1" t="n">
        <v>46034</v>
      </c>
      <c r="D1647" t="inlineStr">
        <is>
          <t>JÄMTLANDS LÄN</t>
        </is>
      </c>
      <c r="E1647" t="inlineStr">
        <is>
          <t>BRÄCKE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53152-2024</t>
        </is>
      </c>
      <c r="B1648" s="1" t="n">
        <v>45611.62123842593</v>
      </c>
      <c r="C1648" s="1" t="n">
        <v>46034</v>
      </c>
      <c r="D1648" t="inlineStr">
        <is>
          <t>JÄMTLANDS LÄN</t>
        </is>
      </c>
      <c r="E1648" t="inlineStr">
        <is>
          <t>BRÄCKE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38336-2024</t>
        </is>
      </c>
      <c r="B1649" s="1" t="n">
        <v>45545.68386574074</v>
      </c>
      <c r="C1649" s="1" t="n">
        <v>46034</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3248-2025</t>
        </is>
      </c>
      <c r="B1650" s="1" t="n">
        <v>45679.53173611111</v>
      </c>
      <c r="C1650" s="1" t="n">
        <v>46034</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4365-2023</t>
        </is>
      </c>
      <c r="B1651" s="1" t="n">
        <v>44954</v>
      </c>
      <c r="C1651" s="1" t="n">
        <v>46034</v>
      </c>
      <c r="D1651" t="inlineStr">
        <is>
          <t>JÄMTLANDS LÄN</t>
        </is>
      </c>
      <c r="E1651" t="inlineStr">
        <is>
          <t>BRÄCKE</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51821-2023</t>
        </is>
      </c>
      <c r="B1652" s="1" t="n">
        <v>45222</v>
      </c>
      <c r="C1652" s="1" t="n">
        <v>46034</v>
      </c>
      <c r="D1652" t="inlineStr">
        <is>
          <t>JÄMTLANDS LÄN</t>
        </is>
      </c>
      <c r="E1652" t="inlineStr">
        <is>
          <t>BRÄCKE</t>
        </is>
      </c>
      <c r="F1652" t="inlineStr">
        <is>
          <t>SCA</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42480-2024</t>
        </is>
      </c>
      <c r="B1653" s="1" t="n">
        <v>45565.49185185185</v>
      </c>
      <c r="C1653" s="1" t="n">
        <v>46034</v>
      </c>
      <c r="D1653" t="inlineStr">
        <is>
          <t>JÄMTLANDS LÄN</t>
        </is>
      </c>
      <c r="E1653" t="inlineStr">
        <is>
          <t>BRÄCKE</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28796-2023</t>
        </is>
      </c>
      <c r="B1654" s="1" t="n">
        <v>45096</v>
      </c>
      <c r="C1654" s="1" t="n">
        <v>46034</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20513-2024</t>
        </is>
      </c>
      <c r="B1655" s="1" t="n">
        <v>45435.94380787037</v>
      </c>
      <c r="C1655" s="1" t="n">
        <v>46034</v>
      </c>
      <c r="D1655" t="inlineStr">
        <is>
          <t>JÄMTLANDS LÄN</t>
        </is>
      </c>
      <c r="E1655" t="inlineStr">
        <is>
          <t>BRÄCKE</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51042-2023</t>
        </is>
      </c>
      <c r="B1656" s="1" t="n">
        <v>45218.62233796297</v>
      </c>
      <c r="C1656" s="1" t="n">
        <v>46034</v>
      </c>
      <c r="D1656" t="inlineStr">
        <is>
          <t>JÄMTLANDS LÄN</t>
        </is>
      </c>
      <c r="E1656" t="inlineStr">
        <is>
          <t>BRÄCKE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36497-2023</t>
        </is>
      </c>
      <c r="B1657" s="1" t="n">
        <v>45152</v>
      </c>
      <c r="C1657" s="1" t="n">
        <v>46034</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26444-2022</t>
        </is>
      </c>
      <c r="B1658" s="1" t="n">
        <v>44738.93929398148</v>
      </c>
      <c r="C1658" s="1" t="n">
        <v>46034</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22980-2024</t>
        </is>
      </c>
      <c r="B1659" s="1" t="n">
        <v>45449.90008101852</v>
      </c>
      <c r="C1659" s="1" t="n">
        <v>46034</v>
      </c>
      <c r="D1659" t="inlineStr">
        <is>
          <t>JÄMTLANDS LÄN</t>
        </is>
      </c>
      <c r="E1659" t="inlineStr">
        <is>
          <t>BRÄCKE</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57605-2024</t>
        </is>
      </c>
      <c r="B1660" s="1" t="n">
        <v>45630.53201388889</v>
      </c>
      <c r="C1660" s="1" t="n">
        <v>46034</v>
      </c>
      <c r="D1660" t="inlineStr">
        <is>
          <t>JÄMTLANDS LÄN</t>
        </is>
      </c>
      <c r="E1660" t="inlineStr">
        <is>
          <t>BRÄCKE</t>
        </is>
      </c>
      <c r="F1660" t="inlineStr">
        <is>
          <t>SCA</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60870-2023</t>
        </is>
      </c>
      <c r="B1661" s="1" t="n">
        <v>45260.96667824074</v>
      </c>
      <c r="C1661" s="1" t="n">
        <v>46034</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38943-2024</t>
        </is>
      </c>
      <c r="B1662" s="1" t="n">
        <v>45548.34490740741</v>
      </c>
      <c r="C1662" s="1" t="n">
        <v>46034</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30487-2024</t>
        </is>
      </c>
      <c r="B1663" s="1" t="n">
        <v>45491.95027777777</v>
      </c>
      <c r="C1663" s="1" t="n">
        <v>46034</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48080-2023</t>
        </is>
      </c>
      <c r="B1664" s="1" t="n">
        <v>45204.94569444445</v>
      </c>
      <c r="C1664" s="1" t="n">
        <v>46034</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35252-2021</t>
        </is>
      </c>
      <c r="B1665" s="1" t="n">
        <v>44384.59356481482</v>
      </c>
      <c r="C1665" s="1" t="n">
        <v>46034</v>
      </c>
      <c r="D1665" t="inlineStr">
        <is>
          <t>JÄMTLANDS LÄN</t>
        </is>
      </c>
      <c r="E1665" t="inlineStr">
        <is>
          <t>BRÄCKE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25718-2024</t>
        </is>
      </c>
      <c r="B1666" s="1" t="n">
        <v>45463.94467592592</v>
      </c>
      <c r="C1666" s="1" t="n">
        <v>46034</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56493-2024</t>
        </is>
      </c>
      <c r="B1667" s="1" t="n">
        <v>45625.49034722222</v>
      </c>
      <c r="C1667" s="1" t="n">
        <v>46034</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31566-2024</t>
        </is>
      </c>
      <c r="B1668" s="1" t="n">
        <v>45505.96675925926</v>
      </c>
      <c r="C1668" s="1" t="n">
        <v>46034</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14510-2025</t>
        </is>
      </c>
      <c r="B1669" s="1" t="n">
        <v>45741.63628472222</v>
      </c>
      <c r="C1669" s="1" t="n">
        <v>46034</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14511-2025</t>
        </is>
      </c>
      <c r="B1670" s="1" t="n">
        <v>45741.63643518519</v>
      </c>
      <c r="C1670" s="1" t="n">
        <v>46034</v>
      </c>
      <c r="D1670" t="inlineStr">
        <is>
          <t>JÄMTLANDS LÄN</t>
        </is>
      </c>
      <c r="E1670" t="inlineStr">
        <is>
          <t>BRÄCKE</t>
        </is>
      </c>
      <c r="F1670" t="inlineStr">
        <is>
          <t>SCA</t>
        </is>
      </c>
      <c r="G1670" t="n">
        <v>19.5</v>
      </c>
      <c r="H1670" t="n">
        <v>0</v>
      </c>
      <c r="I1670" t="n">
        <v>0</v>
      </c>
      <c r="J1670" t="n">
        <v>0</v>
      </c>
      <c r="K1670" t="n">
        <v>0</v>
      </c>
      <c r="L1670" t="n">
        <v>0</v>
      </c>
      <c r="M1670" t="n">
        <v>0</v>
      </c>
      <c r="N1670" t="n">
        <v>0</v>
      </c>
      <c r="O1670" t="n">
        <v>0</v>
      </c>
      <c r="P1670" t="n">
        <v>0</v>
      </c>
      <c r="Q1670" t="n">
        <v>0</v>
      </c>
      <c r="R1670" s="2" t="inlineStr"/>
    </row>
    <row r="1671" ht="15" customHeight="1">
      <c r="A1671" t="inlineStr">
        <is>
          <t>A 11830-2024</t>
        </is>
      </c>
      <c r="B1671" s="1" t="n">
        <v>45376.35451388889</v>
      </c>
      <c r="C1671" s="1" t="n">
        <v>46034</v>
      </c>
      <c r="D1671" t="inlineStr">
        <is>
          <t>JÄMTLANDS LÄN</t>
        </is>
      </c>
      <c r="E1671" t="inlineStr">
        <is>
          <t>BRÄCKE</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60325-2021</t>
        </is>
      </c>
      <c r="B1672" s="1" t="n">
        <v>44495.94054398148</v>
      </c>
      <c r="C1672" s="1" t="n">
        <v>46034</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45342-2023</t>
        </is>
      </c>
      <c r="B1673" s="1" t="n">
        <v>45191.93817129629</v>
      </c>
      <c r="C1673" s="1" t="n">
        <v>46034</v>
      </c>
      <c r="D1673" t="inlineStr">
        <is>
          <t>JÄMTLANDS LÄN</t>
        </is>
      </c>
      <c r="E1673" t="inlineStr">
        <is>
          <t>BRÄCKE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47500-2023</t>
        </is>
      </c>
      <c r="B1674" s="1" t="n">
        <v>45202.9425</v>
      </c>
      <c r="C1674" s="1" t="n">
        <v>46034</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61415-2021</t>
        </is>
      </c>
      <c r="B1675" s="1" t="n">
        <v>44500.93565972222</v>
      </c>
      <c r="C1675" s="1" t="n">
        <v>46034</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48507-2023</t>
        </is>
      </c>
      <c r="B1676" s="1" t="n">
        <v>45207.94034722223</v>
      </c>
      <c r="C1676" s="1" t="n">
        <v>46034</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31713-2024</t>
        </is>
      </c>
      <c r="B1677" s="1" t="n">
        <v>45508.95126157408</v>
      </c>
      <c r="C1677" s="1" t="n">
        <v>46034</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43789-2022</t>
        </is>
      </c>
      <c r="B1678" s="1" t="n">
        <v>44837</v>
      </c>
      <c r="C1678" s="1" t="n">
        <v>46034</v>
      </c>
      <c r="D1678" t="inlineStr">
        <is>
          <t>JÄMTLANDS LÄN</t>
        </is>
      </c>
      <c r="E1678" t="inlineStr">
        <is>
          <t>BRÄCKE</t>
        </is>
      </c>
      <c r="F1678" t="inlineStr">
        <is>
          <t>SCA</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6788-2025</t>
        </is>
      </c>
      <c r="B1679" s="1" t="n">
        <v>45700.65692129629</v>
      </c>
      <c r="C1679" s="1" t="n">
        <v>46034</v>
      </c>
      <c r="D1679" t="inlineStr">
        <is>
          <t>JÄMTLANDS LÄN</t>
        </is>
      </c>
      <c r="E1679" t="inlineStr">
        <is>
          <t>BRÄCKE</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51432-2023</t>
        </is>
      </c>
      <c r="B1680" s="1" t="n">
        <v>45219.96431712963</v>
      </c>
      <c r="C1680" s="1" t="n">
        <v>46034</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20532-2025</t>
        </is>
      </c>
      <c r="B1681" s="1" t="n">
        <v>45775.61515046296</v>
      </c>
      <c r="C1681" s="1" t="n">
        <v>46034</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59008-2024</t>
        </is>
      </c>
      <c r="B1682" s="1" t="n">
        <v>45636.65724537037</v>
      </c>
      <c r="C1682" s="1" t="n">
        <v>46034</v>
      </c>
      <c r="D1682" t="inlineStr">
        <is>
          <t>JÄMTLANDS LÄN</t>
        </is>
      </c>
      <c r="E1682" t="inlineStr">
        <is>
          <t>BRÄCKE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11093-2024</t>
        </is>
      </c>
      <c r="B1683" s="1" t="n">
        <v>45370.94986111111</v>
      </c>
      <c r="C1683" s="1" t="n">
        <v>46034</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31470-2023</t>
        </is>
      </c>
      <c r="B1684" s="1" t="n">
        <v>45104</v>
      </c>
      <c r="C1684" s="1" t="n">
        <v>46034</v>
      </c>
      <c r="D1684" t="inlineStr">
        <is>
          <t>JÄMTLANDS LÄN</t>
        </is>
      </c>
      <c r="E1684" t="inlineStr">
        <is>
          <t>BRÄCKE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28135-2024</t>
        </is>
      </c>
      <c r="B1685" s="1" t="n">
        <v>45476</v>
      </c>
      <c r="C1685" s="1" t="n">
        <v>46034</v>
      </c>
      <c r="D1685" t="inlineStr">
        <is>
          <t>JÄMTLANDS LÄN</t>
        </is>
      </c>
      <c r="E1685" t="inlineStr">
        <is>
          <t>BRÄCKE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10130-2022</t>
        </is>
      </c>
      <c r="B1686" s="1" t="n">
        <v>44621.94561342592</v>
      </c>
      <c r="C1686" s="1" t="n">
        <v>46034</v>
      </c>
      <c r="D1686" t="inlineStr">
        <is>
          <t>JÄMTLANDS LÄN</t>
        </is>
      </c>
      <c r="E1686" t="inlineStr">
        <is>
          <t>BRÄCKE</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30488-2024</t>
        </is>
      </c>
      <c r="B1687" s="1" t="n">
        <v>45491.95037037037</v>
      </c>
      <c r="C1687" s="1" t="n">
        <v>46034</v>
      </c>
      <c r="D1687" t="inlineStr">
        <is>
          <t>JÄMTLANDS LÄN</t>
        </is>
      </c>
      <c r="E1687" t="inlineStr">
        <is>
          <t>BRÄCKE</t>
        </is>
      </c>
      <c r="F1687" t="inlineStr">
        <is>
          <t>Naturvårdsverket</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55520-2022</t>
        </is>
      </c>
      <c r="B1688" s="1" t="n">
        <v>44887</v>
      </c>
      <c r="C1688" s="1" t="n">
        <v>46034</v>
      </c>
      <c r="D1688" t="inlineStr">
        <is>
          <t>JÄMTLANDS LÄN</t>
        </is>
      </c>
      <c r="E1688" t="inlineStr">
        <is>
          <t>BRÄCKE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55529-2022</t>
        </is>
      </c>
      <c r="B1689" s="1" t="n">
        <v>44887.95256944445</v>
      </c>
      <c r="C1689" s="1" t="n">
        <v>46034</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52529-2024</t>
        </is>
      </c>
      <c r="B1690" s="1" t="n">
        <v>45609.61483796296</v>
      </c>
      <c r="C1690" s="1" t="n">
        <v>46034</v>
      </c>
      <c r="D1690" t="inlineStr">
        <is>
          <t>JÄMTLANDS LÄN</t>
        </is>
      </c>
      <c r="E1690" t="inlineStr">
        <is>
          <t>BRÄCKE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44694-2023</t>
        </is>
      </c>
      <c r="B1691" s="1" t="n">
        <v>45189.92251157408</v>
      </c>
      <c r="C1691" s="1" t="n">
        <v>46034</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54451-2023</t>
        </is>
      </c>
      <c r="B1692" s="1" t="n">
        <v>45233.44581018519</v>
      </c>
      <c r="C1692" s="1" t="n">
        <v>46034</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1881-2024</t>
        </is>
      </c>
      <c r="B1693" s="1" t="n">
        <v>45307.96266203704</v>
      </c>
      <c r="C1693" s="1" t="n">
        <v>46034</v>
      </c>
      <c r="D1693" t="inlineStr">
        <is>
          <t>JÄMTLANDS LÄN</t>
        </is>
      </c>
      <c r="E1693" t="inlineStr">
        <is>
          <t>BRÄCKE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4122-2025</t>
        </is>
      </c>
      <c r="B1694" s="1" t="n">
        <v>45685.26828703703</v>
      </c>
      <c r="C1694" s="1" t="n">
        <v>46034</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52983-2022</t>
        </is>
      </c>
      <c r="B1695" s="1" t="n">
        <v>44875.92745370371</v>
      </c>
      <c r="C1695" s="1" t="n">
        <v>46034</v>
      </c>
      <c r="D1695" t="inlineStr">
        <is>
          <t>JÄMTLANDS LÄN</t>
        </is>
      </c>
      <c r="E1695" t="inlineStr">
        <is>
          <t>BRÄCKE</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49591-2024</t>
        </is>
      </c>
      <c r="B1696" s="1" t="n">
        <v>45596.5525</v>
      </c>
      <c r="C1696" s="1" t="n">
        <v>46034</v>
      </c>
      <c r="D1696" t="inlineStr">
        <is>
          <t>JÄMTLANDS LÄN</t>
        </is>
      </c>
      <c r="E1696" t="inlineStr">
        <is>
          <t>BRÄCKE</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22985-2023</t>
        </is>
      </c>
      <c r="B1697" s="1" t="n">
        <v>45072</v>
      </c>
      <c r="C1697" s="1" t="n">
        <v>46034</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49307-2024</t>
        </is>
      </c>
      <c r="B1698" s="1" t="n">
        <v>45595.55241898148</v>
      </c>
      <c r="C1698" s="1" t="n">
        <v>46034</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8253-2024</t>
        </is>
      </c>
      <c r="B1699" s="1" t="n">
        <v>45350</v>
      </c>
      <c r="C1699" s="1" t="n">
        <v>46034</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23746-2021</t>
        </is>
      </c>
      <c r="B1700" s="1" t="n">
        <v>44334.93716435185</v>
      </c>
      <c r="C1700" s="1" t="n">
        <v>46034</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26665-2021</t>
        </is>
      </c>
      <c r="B1701" s="1" t="n">
        <v>44348</v>
      </c>
      <c r="C1701" s="1" t="n">
        <v>46034</v>
      </c>
      <c r="D1701" t="inlineStr">
        <is>
          <t>JÄMTLANDS LÄN</t>
        </is>
      </c>
      <c r="E1701" t="inlineStr">
        <is>
          <t>BRÄCKE</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41313-2024</t>
        </is>
      </c>
      <c r="B1702" s="1" t="n">
        <v>45559.6359837963</v>
      </c>
      <c r="C1702" s="1" t="n">
        <v>46034</v>
      </c>
      <c r="D1702" t="inlineStr">
        <is>
          <t>JÄMTLANDS LÄN</t>
        </is>
      </c>
      <c r="E1702" t="inlineStr">
        <is>
          <t>BRÄCKE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59932-2022</t>
        </is>
      </c>
      <c r="B1703" s="1" t="n">
        <v>44909.36262731482</v>
      </c>
      <c r="C1703" s="1" t="n">
        <v>46034</v>
      </c>
      <c r="D1703" t="inlineStr">
        <is>
          <t>JÄMTLANDS LÄN</t>
        </is>
      </c>
      <c r="E1703" t="inlineStr">
        <is>
          <t>BRÄCKE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24049-2023</t>
        </is>
      </c>
      <c r="B1704" s="1" t="n">
        <v>45078.93966435185</v>
      </c>
      <c r="C1704" s="1" t="n">
        <v>46034</v>
      </c>
      <c r="D1704" t="inlineStr">
        <is>
          <t>JÄMTLANDS LÄN</t>
        </is>
      </c>
      <c r="E1704" t="inlineStr">
        <is>
          <t>BRÄCKE</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17313-2025</t>
        </is>
      </c>
      <c r="B1705" s="1" t="n">
        <v>45756.61498842593</v>
      </c>
      <c r="C1705" s="1" t="n">
        <v>46034</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35564-2021</t>
        </is>
      </c>
      <c r="B1706" s="1" t="n">
        <v>44385.93597222222</v>
      </c>
      <c r="C1706" s="1" t="n">
        <v>46034</v>
      </c>
      <c r="D1706" t="inlineStr">
        <is>
          <t>JÄMTLANDS LÄN</t>
        </is>
      </c>
      <c r="E1706" t="inlineStr">
        <is>
          <t>BRÄCKE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15779-2025</t>
        </is>
      </c>
      <c r="B1707" s="1" t="n">
        <v>45748.60634259259</v>
      </c>
      <c r="C1707" s="1" t="n">
        <v>46034</v>
      </c>
      <c r="D1707" t="inlineStr">
        <is>
          <t>JÄMTLANDS LÄN</t>
        </is>
      </c>
      <c r="E1707" t="inlineStr">
        <is>
          <t>BRÄCKE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10309-2023</t>
        </is>
      </c>
      <c r="B1708" s="1" t="n">
        <v>44986</v>
      </c>
      <c r="C1708" s="1" t="n">
        <v>46034</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16322-2025</t>
        </is>
      </c>
      <c r="B1709" s="1" t="n">
        <v>45751.34886574074</v>
      </c>
      <c r="C1709" s="1" t="n">
        <v>46034</v>
      </c>
      <c r="D1709" t="inlineStr">
        <is>
          <t>JÄMTLANDS LÄN</t>
        </is>
      </c>
      <c r="E1709" t="inlineStr">
        <is>
          <t>BRÄCKE</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30685-2024</t>
        </is>
      </c>
      <c r="B1710" s="1" t="n">
        <v>45495.95159722222</v>
      </c>
      <c r="C1710" s="1" t="n">
        <v>46034</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54571-2021</t>
        </is>
      </c>
      <c r="B1711" s="1" t="n">
        <v>44473</v>
      </c>
      <c r="C1711" s="1" t="n">
        <v>46034</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23640-2024</t>
        </is>
      </c>
      <c r="B1712" s="1" t="n">
        <v>45454.49516203703</v>
      </c>
      <c r="C1712" s="1" t="n">
        <v>46034</v>
      </c>
      <c r="D1712" t="inlineStr">
        <is>
          <t>JÄMTLANDS LÄN</t>
        </is>
      </c>
      <c r="E1712" t="inlineStr">
        <is>
          <t>BRÄCKE</t>
        </is>
      </c>
      <c r="G1712" t="n">
        <v>19.4</v>
      </c>
      <c r="H1712" t="n">
        <v>0</v>
      </c>
      <c r="I1712" t="n">
        <v>0</v>
      </c>
      <c r="J1712" t="n">
        <v>0</v>
      </c>
      <c r="K1712" t="n">
        <v>0</v>
      </c>
      <c r="L1712" t="n">
        <v>0</v>
      </c>
      <c r="M1712" t="n">
        <v>0</v>
      </c>
      <c r="N1712" t="n">
        <v>0</v>
      </c>
      <c r="O1712" t="n">
        <v>0</v>
      </c>
      <c r="P1712" t="n">
        <v>0</v>
      </c>
      <c r="Q1712" t="n">
        <v>0</v>
      </c>
      <c r="R1712" s="2" t="inlineStr"/>
    </row>
    <row r="1713" ht="15" customHeight="1">
      <c r="A1713" t="inlineStr">
        <is>
          <t>A 46860-2023</t>
        </is>
      </c>
      <c r="B1713" s="1" t="n">
        <v>45200.12724537037</v>
      </c>
      <c r="C1713" s="1" t="n">
        <v>46034</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21183-2023</t>
        </is>
      </c>
      <c r="B1714" s="1" t="n">
        <v>45058</v>
      </c>
      <c r="C1714" s="1" t="n">
        <v>46034</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61663-2022</t>
        </is>
      </c>
      <c r="B1715" s="1" t="n">
        <v>44916</v>
      </c>
      <c r="C1715" s="1" t="n">
        <v>46034</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58079-2023</t>
        </is>
      </c>
      <c r="B1716" s="1" t="n">
        <v>45247.96510416667</v>
      </c>
      <c r="C1716" s="1" t="n">
        <v>46034</v>
      </c>
      <c r="D1716" t="inlineStr">
        <is>
          <t>JÄMTLANDS LÄN</t>
        </is>
      </c>
      <c r="E1716" t="inlineStr">
        <is>
          <t>BRÄCKE</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46952-2021</t>
        </is>
      </c>
      <c r="B1717" s="1" t="n">
        <v>44446</v>
      </c>
      <c r="C1717" s="1" t="n">
        <v>46034</v>
      </c>
      <c r="D1717" t="inlineStr">
        <is>
          <t>JÄMTLANDS LÄN</t>
        </is>
      </c>
      <c r="E1717" t="inlineStr">
        <is>
          <t>BRÄCKE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39122-2024</t>
        </is>
      </c>
      <c r="B1718" s="1" t="n">
        <v>45548.5940162037</v>
      </c>
      <c r="C1718" s="1" t="n">
        <v>46034</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11699-2025</t>
        </is>
      </c>
      <c r="B1719" s="1" t="n">
        <v>45727.57402777778</v>
      </c>
      <c r="C1719" s="1" t="n">
        <v>46034</v>
      </c>
      <c r="D1719" t="inlineStr">
        <is>
          <t>JÄMTLANDS LÄN</t>
        </is>
      </c>
      <c r="E1719" t="inlineStr">
        <is>
          <t>BRÄCKE</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24974-2024</t>
        </is>
      </c>
      <c r="B1720" s="1" t="n">
        <v>45461</v>
      </c>
      <c r="C1720" s="1" t="n">
        <v>46034</v>
      </c>
      <c r="D1720" t="inlineStr">
        <is>
          <t>JÄMTLANDS LÄN</t>
        </is>
      </c>
      <c r="E1720" t="inlineStr">
        <is>
          <t>BRÄCKE</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48900-2023</t>
        </is>
      </c>
      <c r="B1721" s="1" t="n">
        <v>45209</v>
      </c>
      <c r="C1721" s="1" t="n">
        <v>46034</v>
      </c>
      <c r="D1721" t="inlineStr">
        <is>
          <t>JÄMTLANDS LÄN</t>
        </is>
      </c>
      <c r="E1721" t="inlineStr">
        <is>
          <t>BRÄCKE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28738-2022</t>
        </is>
      </c>
      <c r="B1722" s="1" t="n">
        <v>44748.94701388889</v>
      </c>
      <c r="C1722" s="1" t="n">
        <v>46034</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26437-2022</t>
        </is>
      </c>
      <c r="B1723" s="1" t="n">
        <v>44736.93912037037</v>
      </c>
      <c r="C1723" s="1" t="n">
        <v>46034</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1127-2025</t>
        </is>
      </c>
      <c r="B1724" s="1" t="n">
        <v>45666.67756944444</v>
      </c>
      <c r="C1724" s="1" t="n">
        <v>46034</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14290-2025</t>
        </is>
      </c>
      <c r="B1725" s="1" t="n">
        <v>45740.67755787037</v>
      </c>
      <c r="C1725" s="1" t="n">
        <v>46034</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5052-2024</t>
        </is>
      </c>
      <c r="B1726" s="1" t="n">
        <v>45329.93077546296</v>
      </c>
      <c r="C1726" s="1" t="n">
        <v>46034</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5053-2024</t>
        </is>
      </c>
      <c r="B1727" s="1" t="n">
        <v>45329.93084490741</v>
      </c>
      <c r="C1727" s="1" t="n">
        <v>46034</v>
      </c>
      <c r="D1727" t="inlineStr">
        <is>
          <t>JÄMTLANDS LÄN</t>
        </is>
      </c>
      <c r="E1727" t="inlineStr">
        <is>
          <t>BRÄCKE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16372-2023</t>
        </is>
      </c>
      <c r="B1728" s="1" t="n">
        <v>45028.94083333333</v>
      </c>
      <c r="C1728" s="1" t="n">
        <v>46034</v>
      </c>
      <c r="D1728" t="inlineStr">
        <is>
          <t>JÄMTLANDS LÄN</t>
        </is>
      </c>
      <c r="E1728" t="inlineStr">
        <is>
          <t>BRÄCKE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31692-2024</t>
        </is>
      </c>
      <c r="B1729" s="1" t="n">
        <v>45507.95684027778</v>
      </c>
      <c r="C1729" s="1" t="n">
        <v>46034</v>
      </c>
      <c r="D1729" t="inlineStr">
        <is>
          <t>JÄMTLANDS LÄN</t>
        </is>
      </c>
      <c r="E1729" t="inlineStr">
        <is>
          <t>BRÄCKE</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51270-2022</t>
        </is>
      </c>
      <c r="B1730" s="1" t="n">
        <v>44866</v>
      </c>
      <c r="C1730" s="1" t="n">
        <v>46034</v>
      </c>
      <c r="D1730" t="inlineStr">
        <is>
          <t>JÄMTLANDS LÄN</t>
        </is>
      </c>
      <c r="E1730" t="inlineStr">
        <is>
          <t>BRÄCKE</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26351-2023</t>
        </is>
      </c>
      <c r="B1731" s="1" t="n">
        <v>45091</v>
      </c>
      <c r="C1731" s="1" t="n">
        <v>46034</v>
      </c>
      <c r="D1731" t="inlineStr">
        <is>
          <t>JÄMTLANDS LÄN</t>
        </is>
      </c>
      <c r="E1731" t="inlineStr">
        <is>
          <t>BRÄCKE</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51832-2023</t>
        </is>
      </c>
      <c r="B1732" s="1" t="n">
        <v>45222.96841435185</v>
      </c>
      <c r="C1732" s="1" t="n">
        <v>46034</v>
      </c>
      <c r="D1732" t="inlineStr">
        <is>
          <t>JÄMTLANDS LÄN</t>
        </is>
      </c>
      <c r="E1732" t="inlineStr">
        <is>
          <t>BRÄCKE</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22978-2024</t>
        </is>
      </c>
      <c r="B1733" s="1" t="n">
        <v>45449</v>
      </c>
      <c r="C1733" s="1" t="n">
        <v>46034</v>
      </c>
      <c r="D1733" t="inlineStr">
        <is>
          <t>JÄMTLANDS LÄN</t>
        </is>
      </c>
      <c r="E1733" t="inlineStr">
        <is>
          <t>BRÄCKE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12601-2022</t>
        </is>
      </c>
      <c r="B1734" s="1" t="n">
        <v>44638</v>
      </c>
      <c r="C1734" s="1" t="n">
        <v>46034</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35903-2024</t>
        </is>
      </c>
      <c r="B1735" s="1" t="n">
        <v>45533.40648148148</v>
      </c>
      <c r="C1735" s="1" t="n">
        <v>46034</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45939-2024</t>
        </is>
      </c>
      <c r="B1736" s="1" t="n">
        <v>45580.53155092592</v>
      </c>
      <c r="C1736" s="1" t="n">
        <v>46034</v>
      </c>
      <c r="D1736" t="inlineStr">
        <is>
          <t>JÄMTLANDS LÄN</t>
        </is>
      </c>
      <c r="E1736" t="inlineStr">
        <is>
          <t>BRÄCKE</t>
        </is>
      </c>
      <c r="F1736" t="inlineStr">
        <is>
          <t>Naturvårdsverket</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25674-2023</t>
        </is>
      </c>
      <c r="B1737" s="1" t="n">
        <v>45089</v>
      </c>
      <c r="C1737" s="1" t="n">
        <v>46034</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25413-2024</t>
        </is>
      </c>
      <c r="B1738" s="1" t="n">
        <v>45462</v>
      </c>
      <c r="C1738" s="1" t="n">
        <v>46034</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18626-2024</t>
        </is>
      </c>
      <c r="B1739" s="1" t="n">
        <v>45425.96429398148</v>
      </c>
      <c r="C1739" s="1" t="n">
        <v>46034</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30592-2021</t>
        </is>
      </c>
      <c r="B1740" s="1" t="n">
        <v>44364.93850694445</v>
      </c>
      <c r="C1740" s="1" t="n">
        <v>46034</v>
      </c>
      <c r="D1740" t="inlineStr">
        <is>
          <t>JÄMTLANDS LÄN</t>
        </is>
      </c>
      <c r="E1740" t="inlineStr">
        <is>
          <t>BRÄCKE</t>
        </is>
      </c>
      <c r="F1740" t="inlineStr">
        <is>
          <t>SCA</t>
        </is>
      </c>
      <c r="G1740" t="n">
        <v>22.4</v>
      </c>
      <c r="H1740" t="n">
        <v>0</v>
      </c>
      <c r="I1740" t="n">
        <v>0</v>
      </c>
      <c r="J1740" t="n">
        <v>0</v>
      </c>
      <c r="K1740" t="n">
        <v>0</v>
      </c>
      <c r="L1740" t="n">
        <v>0</v>
      </c>
      <c r="M1740" t="n">
        <v>0</v>
      </c>
      <c r="N1740" t="n">
        <v>0</v>
      </c>
      <c r="O1740" t="n">
        <v>0</v>
      </c>
      <c r="P1740" t="n">
        <v>0</v>
      </c>
      <c r="Q1740" t="n">
        <v>0</v>
      </c>
      <c r="R1740" s="2" t="inlineStr"/>
    </row>
    <row r="1741" ht="15" customHeight="1">
      <c r="A1741" t="inlineStr">
        <is>
          <t>A 42959-2024</t>
        </is>
      </c>
      <c r="B1741" s="1" t="n">
        <v>45567.37144675926</v>
      </c>
      <c r="C1741" s="1" t="n">
        <v>46034</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31567-2024</t>
        </is>
      </c>
      <c r="B1742" s="1" t="n">
        <v>45505.96689814814</v>
      </c>
      <c r="C1742" s="1" t="n">
        <v>46034</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6345-2023</t>
        </is>
      </c>
      <c r="B1743" s="1" t="n">
        <v>44960</v>
      </c>
      <c r="C1743" s="1" t="n">
        <v>46034</v>
      </c>
      <c r="D1743" t="inlineStr">
        <is>
          <t>JÄMTLANDS LÄN</t>
        </is>
      </c>
      <c r="E1743" t="inlineStr">
        <is>
          <t>BRÄCKE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59369-2022</t>
        </is>
      </c>
      <c r="B1744" s="1" t="n">
        <v>44904.94859953703</v>
      </c>
      <c r="C1744" s="1" t="n">
        <v>46034</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59846-2024</t>
        </is>
      </c>
      <c r="B1745" s="1" t="n">
        <v>45639.67769675926</v>
      </c>
      <c r="C1745" s="1" t="n">
        <v>46034</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29941-2023</t>
        </is>
      </c>
      <c r="B1746" s="1" t="n">
        <v>45107</v>
      </c>
      <c r="C1746" s="1" t="n">
        <v>46034</v>
      </c>
      <c r="D1746" t="inlineStr">
        <is>
          <t>JÄMTLANDS LÄN</t>
        </is>
      </c>
      <c r="E1746" t="inlineStr">
        <is>
          <t>BRÄCKE</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48284-2021</t>
        </is>
      </c>
      <c r="B1747" s="1" t="n">
        <v>44449.75931712963</v>
      </c>
      <c r="C1747" s="1" t="n">
        <v>46034</v>
      </c>
      <c r="D1747" t="inlineStr">
        <is>
          <t>JÄMTLANDS LÄN</t>
        </is>
      </c>
      <c r="E1747" t="inlineStr">
        <is>
          <t>BRÄCKE</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4170-2024</t>
        </is>
      </c>
      <c r="B1748" s="1" t="n">
        <v>45323.94685185186</v>
      </c>
      <c r="C1748" s="1" t="n">
        <v>46034</v>
      </c>
      <c r="D1748" t="inlineStr">
        <is>
          <t>JÄMTLANDS LÄN</t>
        </is>
      </c>
      <c r="E1748" t="inlineStr">
        <is>
          <t>BRÄCKE</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53046-2023</t>
        </is>
      </c>
      <c r="B1749" s="1" t="n">
        <v>45226.96388888889</v>
      </c>
      <c r="C1749" s="1" t="n">
        <v>46034</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18640-2024</t>
        </is>
      </c>
      <c r="B1750" s="1" t="n">
        <v>45425.96644675926</v>
      </c>
      <c r="C1750" s="1" t="n">
        <v>46034</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41418-2024</t>
        </is>
      </c>
      <c r="B1751" s="1" t="n">
        <v>45560.34599537037</v>
      </c>
      <c r="C1751" s="1" t="n">
        <v>46034</v>
      </c>
      <c r="D1751" t="inlineStr">
        <is>
          <t>JÄMTLANDS LÄN</t>
        </is>
      </c>
      <c r="E1751" t="inlineStr">
        <is>
          <t>BRÄCKE</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41419-2024</t>
        </is>
      </c>
      <c r="B1752" s="1" t="n">
        <v>45560</v>
      </c>
      <c r="C1752" s="1" t="n">
        <v>46034</v>
      </c>
      <c r="D1752" t="inlineStr">
        <is>
          <t>JÄMTLANDS LÄN</t>
        </is>
      </c>
      <c r="E1752" t="inlineStr">
        <is>
          <t>BRÄCKE</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16462-2024</t>
        </is>
      </c>
      <c r="B1753" s="1" t="n">
        <v>45408.05018518519</v>
      </c>
      <c r="C1753" s="1" t="n">
        <v>46034</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41450-2024</t>
        </is>
      </c>
      <c r="B1754" s="1" t="n">
        <v>45560.40653935185</v>
      </c>
      <c r="C1754" s="1" t="n">
        <v>46034</v>
      </c>
      <c r="D1754" t="inlineStr">
        <is>
          <t>JÄMTLANDS LÄN</t>
        </is>
      </c>
      <c r="E1754" t="inlineStr">
        <is>
          <t>BRÄCKE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58547-2022</t>
        </is>
      </c>
      <c r="B1755" s="1" t="n">
        <v>44894</v>
      </c>
      <c r="C1755" s="1" t="n">
        <v>46034</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10769-2025</t>
        </is>
      </c>
      <c r="B1756" s="1" t="n">
        <v>45722.4690625</v>
      </c>
      <c r="C1756" s="1" t="n">
        <v>46034</v>
      </c>
      <c r="D1756" t="inlineStr">
        <is>
          <t>JÄMTLANDS LÄN</t>
        </is>
      </c>
      <c r="E1756" t="inlineStr">
        <is>
          <t>BRÄCKE</t>
        </is>
      </c>
      <c r="F1756" t="inlineStr">
        <is>
          <t>SCA</t>
        </is>
      </c>
      <c r="G1756" t="n">
        <v>18.7</v>
      </c>
      <c r="H1756" t="n">
        <v>0</v>
      </c>
      <c r="I1756" t="n">
        <v>0</v>
      </c>
      <c r="J1756" t="n">
        <v>0</v>
      </c>
      <c r="K1756" t="n">
        <v>0</v>
      </c>
      <c r="L1756" t="n">
        <v>0</v>
      </c>
      <c r="M1756" t="n">
        <v>0</v>
      </c>
      <c r="N1756" t="n">
        <v>0</v>
      </c>
      <c r="O1756" t="n">
        <v>0</v>
      </c>
      <c r="P1756" t="n">
        <v>0</v>
      </c>
      <c r="Q1756" t="n">
        <v>0</v>
      </c>
      <c r="R1756" s="2" t="inlineStr"/>
    </row>
    <row r="1757" ht="15" customHeight="1">
      <c r="A1757" t="inlineStr">
        <is>
          <t>A 13083-2025</t>
        </is>
      </c>
      <c r="B1757" s="1" t="n">
        <v>45734</v>
      </c>
      <c r="C1757" s="1" t="n">
        <v>46034</v>
      </c>
      <c r="D1757" t="inlineStr">
        <is>
          <t>JÄMTLANDS LÄN</t>
        </is>
      </c>
      <c r="E1757" t="inlineStr">
        <is>
          <t>BRÄCKE</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8386-2025</t>
        </is>
      </c>
      <c r="B1758" s="1" t="n">
        <v>45709.35850694445</v>
      </c>
      <c r="C1758" s="1" t="n">
        <v>46034</v>
      </c>
      <c r="D1758" t="inlineStr">
        <is>
          <t>JÄMTLANDS LÄN</t>
        </is>
      </c>
      <c r="E1758" t="inlineStr">
        <is>
          <t>BRÄCKE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59910-2022</t>
        </is>
      </c>
      <c r="B1759" s="1" t="n">
        <v>44908</v>
      </c>
      <c r="C1759" s="1" t="n">
        <v>46034</v>
      </c>
      <c r="D1759" t="inlineStr">
        <is>
          <t>JÄMTLANDS LÄN</t>
        </is>
      </c>
      <c r="E1759" t="inlineStr">
        <is>
          <t>BRÄCKE</t>
        </is>
      </c>
      <c r="F1759" t="inlineStr">
        <is>
          <t>SCA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59915-2022</t>
        </is>
      </c>
      <c r="B1760" s="1" t="n">
        <v>44908.96019675926</v>
      </c>
      <c r="C1760" s="1" t="n">
        <v>46034</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20276-2023</t>
        </is>
      </c>
      <c r="B1761" s="1" t="n">
        <v>45055.94465277778</v>
      </c>
      <c r="C1761" s="1" t="n">
        <v>46034</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10857-2024</t>
        </is>
      </c>
      <c r="B1762" s="1" t="n">
        <v>45370.01916666667</v>
      </c>
      <c r="C1762" s="1" t="n">
        <v>46034</v>
      </c>
      <c r="D1762" t="inlineStr">
        <is>
          <t>JÄMTLANDS LÄN</t>
        </is>
      </c>
      <c r="E1762" t="inlineStr">
        <is>
          <t>BRÄCKE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17606-2025</t>
        </is>
      </c>
      <c r="B1763" s="1" t="n">
        <v>45757.73796296296</v>
      </c>
      <c r="C1763" s="1" t="n">
        <v>46034</v>
      </c>
      <c r="D1763" t="inlineStr">
        <is>
          <t>JÄMTLANDS LÄN</t>
        </is>
      </c>
      <c r="E1763" t="inlineStr">
        <is>
          <t>BRÄCKE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23534-2024</t>
        </is>
      </c>
      <c r="B1764" s="1" t="n">
        <v>45453.95170138889</v>
      </c>
      <c r="C1764" s="1" t="n">
        <v>46034</v>
      </c>
      <c r="D1764" t="inlineStr">
        <is>
          <t>JÄMTLANDS LÄN</t>
        </is>
      </c>
      <c r="E1764" t="inlineStr">
        <is>
          <t>BRÄCKE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13095-2025</t>
        </is>
      </c>
      <c r="B1765" s="1" t="n">
        <v>45734.65609953704</v>
      </c>
      <c r="C1765" s="1" t="n">
        <v>46034</v>
      </c>
      <c r="D1765" t="inlineStr">
        <is>
          <t>JÄMTLANDS LÄN</t>
        </is>
      </c>
      <c r="E1765" t="inlineStr">
        <is>
          <t>BRÄCKE</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56895-2021</t>
        </is>
      </c>
      <c r="B1766" s="1" t="n">
        <v>44481.92086805555</v>
      </c>
      <c r="C1766" s="1" t="n">
        <v>46034</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31517-2024</t>
        </is>
      </c>
      <c r="B1767" s="1" t="n">
        <v>45505</v>
      </c>
      <c r="C1767" s="1" t="n">
        <v>46034</v>
      </c>
      <c r="D1767" t="inlineStr">
        <is>
          <t>JÄMTLANDS LÄN</t>
        </is>
      </c>
      <c r="E1767" t="inlineStr">
        <is>
          <t>BRÄCKE</t>
        </is>
      </c>
      <c r="F1767" t="inlineStr">
        <is>
          <t>SCA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38280-2021</t>
        </is>
      </c>
      <c r="B1768" s="1" t="n">
        <v>44405</v>
      </c>
      <c r="C1768" s="1" t="n">
        <v>46034</v>
      </c>
      <c r="D1768" t="inlineStr">
        <is>
          <t>JÄMTLANDS LÄN</t>
        </is>
      </c>
      <c r="E1768" t="inlineStr">
        <is>
          <t>BRÄCKE</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26923-2024</t>
        </is>
      </c>
      <c r="B1769" s="1" t="n">
        <v>45470.93094907407</v>
      </c>
      <c r="C1769" s="1" t="n">
        <v>46034</v>
      </c>
      <c r="D1769" t="inlineStr">
        <is>
          <t>JÄMTLANDS LÄN</t>
        </is>
      </c>
      <c r="E1769" t="inlineStr">
        <is>
          <t>BRÄCKE</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4861-2025</t>
        </is>
      </c>
      <c r="B1770" s="1" t="n">
        <v>45688.67481481482</v>
      </c>
      <c r="C1770" s="1" t="n">
        <v>46034</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37238-2023</t>
        </is>
      </c>
      <c r="B1771" s="1" t="n">
        <v>45155.95366898148</v>
      </c>
      <c r="C1771" s="1" t="n">
        <v>46034</v>
      </c>
      <c r="D1771" t="inlineStr">
        <is>
          <t>JÄMTLANDS LÄN</t>
        </is>
      </c>
      <c r="E1771" t="inlineStr">
        <is>
          <t>BRÄCKE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3031-2023</t>
        </is>
      </c>
      <c r="B1772" s="1" t="n">
        <v>44945</v>
      </c>
      <c r="C1772" s="1" t="n">
        <v>46034</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3033-2023</t>
        </is>
      </c>
      <c r="B1773" s="1" t="n">
        <v>44945</v>
      </c>
      <c r="C1773" s="1" t="n">
        <v>46034</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3036-2023</t>
        </is>
      </c>
      <c r="B1774" s="1" t="n">
        <v>44945.94201388889</v>
      </c>
      <c r="C1774" s="1" t="n">
        <v>46034</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20265-2023</t>
        </is>
      </c>
      <c r="B1775" s="1" t="n">
        <v>45055.94337962963</v>
      </c>
      <c r="C1775" s="1" t="n">
        <v>46034</v>
      </c>
      <c r="D1775" t="inlineStr">
        <is>
          <t>JÄMTLANDS LÄN</t>
        </is>
      </c>
      <c r="E1775" t="inlineStr">
        <is>
          <t>BRÄCKE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13069-2025</t>
        </is>
      </c>
      <c r="B1776" s="1" t="n">
        <v>45734.61494212963</v>
      </c>
      <c r="C1776" s="1" t="n">
        <v>46034</v>
      </c>
      <c r="D1776" t="inlineStr">
        <is>
          <t>JÄMTLANDS LÄN</t>
        </is>
      </c>
      <c r="E1776" t="inlineStr">
        <is>
          <t>BRÄCKE</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13165-2025</t>
        </is>
      </c>
      <c r="B1777" s="1" t="n">
        <v>45735.36491898148</v>
      </c>
      <c r="C1777" s="1" t="n">
        <v>46034</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28077-2024</t>
        </is>
      </c>
      <c r="B1778" s="1" t="n">
        <v>45476.58508101852</v>
      </c>
      <c r="C1778" s="1" t="n">
        <v>46034</v>
      </c>
      <c r="D1778" t="inlineStr">
        <is>
          <t>JÄMTLANDS LÄN</t>
        </is>
      </c>
      <c r="E1778" t="inlineStr">
        <is>
          <t>BRÄCKE</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62074-2023</t>
        </is>
      </c>
      <c r="B1779" s="1" t="n">
        <v>45266</v>
      </c>
      <c r="C1779" s="1" t="n">
        <v>46034</v>
      </c>
      <c r="D1779" t="inlineStr">
        <is>
          <t>JÄMTLANDS LÄN</t>
        </is>
      </c>
      <c r="E1779" t="inlineStr">
        <is>
          <t>BRÄCKE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4381-2023</t>
        </is>
      </c>
      <c r="B1780" s="1" t="n">
        <v>44955</v>
      </c>
      <c r="C1780" s="1" t="n">
        <v>46034</v>
      </c>
      <c r="D1780" t="inlineStr">
        <is>
          <t>JÄMTLANDS LÄN</t>
        </is>
      </c>
      <c r="E1780" t="inlineStr">
        <is>
          <t>BRÄCKE</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24874-2024</t>
        </is>
      </c>
      <c r="B1781" s="1" t="n">
        <v>45461.52280092592</v>
      </c>
      <c r="C1781" s="1" t="n">
        <v>46034</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24878-2024</t>
        </is>
      </c>
      <c r="B1782" s="1" t="n">
        <v>45461.55193287037</v>
      </c>
      <c r="C1782" s="1" t="n">
        <v>46034</v>
      </c>
      <c r="D1782" t="inlineStr">
        <is>
          <t>JÄMTLANDS LÄN</t>
        </is>
      </c>
      <c r="E1782" t="inlineStr">
        <is>
          <t>BRÄCKE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42290-2022</t>
        </is>
      </c>
      <c r="B1783" s="1" t="n">
        <v>44830</v>
      </c>
      <c r="C1783" s="1" t="n">
        <v>46034</v>
      </c>
      <c r="D1783" t="inlineStr">
        <is>
          <t>JÄMTLANDS LÄN</t>
        </is>
      </c>
      <c r="E1783" t="inlineStr">
        <is>
          <t>BRÄCKE</t>
        </is>
      </c>
      <c r="F1783" t="inlineStr">
        <is>
          <t>SCA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49707-2024</t>
        </is>
      </c>
      <c r="B1784" s="1" t="n">
        <v>45596.69832175926</v>
      </c>
      <c r="C1784" s="1" t="n">
        <v>46034</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58078-2023</t>
        </is>
      </c>
      <c r="B1785" s="1" t="n">
        <v>45247.965</v>
      </c>
      <c r="C1785" s="1" t="n">
        <v>46034</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18047-2025</t>
        </is>
      </c>
      <c r="B1786" s="1" t="n">
        <v>45761.46606481481</v>
      </c>
      <c r="C1786" s="1" t="n">
        <v>46034</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33112-2024</t>
        </is>
      </c>
      <c r="B1787" s="1" t="n">
        <v>45517.92994212963</v>
      </c>
      <c r="C1787" s="1" t="n">
        <v>46034</v>
      </c>
      <c r="D1787" t="inlineStr">
        <is>
          <t>JÄMTLANDS LÄN</t>
        </is>
      </c>
      <c r="E1787" t="inlineStr">
        <is>
          <t>BRÄCKE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17016-2024</t>
        </is>
      </c>
      <c r="B1788" s="1" t="n">
        <v>45411</v>
      </c>
      <c r="C1788" s="1" t="n">
        <v>46034</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17252-2025</t>
        </is>
      </c>
      <c r="B1789" s="1" t="n">
        <v>45756.5109837963</v>
      </c>
      <c r="C1789" s="1" t="n">
        <v>46034</v>
      </c>
      <c r="D1789" t="inlineStr">
        <is>
          <t>JÄMTLANDS LÄN</t>
        </is>
      </c>
      <c r="E1789" t="inlineStr">
        <is>
          <t>BRÄCKE</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37960-2024</t>
        </is>
      </c>
      <c r="B1790" s="1" t="n">
        <v>45544.53925925926</v>
      </c>
      <c r="C1790" s="1" t="n">
        <v>46034</v>
      </c>
      <c r="D1790" t="inlineStr">
        <is>
          <t>JÄMTLANDS LÄN</t>
        </is>
      </c>
      <c r="E1790" t="inlineStr">
        <is>
          <t>BRÄCKE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43551-2023</t>
        </is>
      </c>
      <c r="B1791" s="1" t="n">
        <v>45181</v>
      </c>
      <c r="C1791" s="1" t="n">
        <v>46034</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49526-2024</t>
        </is>
      </c>
      <c r="B1792" s="1" t="n">
        <v>45596.40731481482</v>
      </c>
      <c r="C1792" s="1" t="n">
        <v>46034</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55976-2024</t>
        </is>
      </c>
      <c r="B1793" s="1" t="n">
        <v>45623.65659722222</v>
      </c>
      <c r="C1793" s="1" t="n">
        <v>46034</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47560-2021</t>
        </is>
      </c>
      <c r="B1794" s="1" t="n">
        <v>44447.94313657407</v>
      </c>
      <c r="C1794" s="1" t="n">
        <v>46034</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6213-2025</t>
        </is>
      </c>
      <c r="B1795" s="1" t="n">
        <v>45698.51072916666</v>
      </c>
      <c r="C1795" s="1" t="n">
        <v>46034</v>
      </c>
      <c r="D1795" t="inlineStr">
        <is>
          <t>JÄMTLANDS LÄN</t>
        </is>
      </c>
      <c r="E1795" t="inlineStr">
        <is>
          <t>BRÄCKE</t>
        </is>
      </c>
      <c r="F1795" t="inlineStr">
        <is>
          <t>SCA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27354-2023</t>
        </is>
      </c>
      <c r="B1796" s="1" t="n">
        <v>45096</v>
      </c>
      <c r="C1796" s="1" t="n">
        <v>46034</v>
      </c>
      <c r="D1796" t="inlineStr">
        <is>
          <t>JÄMTLANDS LÄN</t>
        </is>
      </c>
      <c r="E1796" t="inlineStr">
        <is>
          <t>BRÄCKE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19485-2023</t>
        </is>
      </c>
      <c r="B1797" s="1" t="n">
        <v>45049</v>
      </c>
      <c r="C1797" s="1" t="n">
        <v>46034</v>
      </c>
      <c r="D1797" t="inlineStr">
        <is>
          <t>JÄMTLANDS LÄN</t>
        </is>
      </c>
      <c r="E1797" t="inlineStr">
        <is>
          <t>BRÄCKE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20798-2024</t>
        </is>
      </c>
      <c r="B1798" s="1" t="n">
        <v>45438.94798611111</v>
      </c>
      <c r="C1798" s="1" t="n">
        <v>46034</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46601-2022</t>
        </is>
      </c>
      <c r="B1799" s="1" t="n">
        <v>44848</v>
      </c>
      <c r="C1799" s="1" t="n">
        <v>46034</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12732-2025</t>
        </is>
      </c>
      <c r="B1800" s="1" t="n">
        <v>45733.51090277778</v>
      </c>
      <c r="C1800" s="1" t="n">
        <v>46034</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11371-2025</t>
        </is>
      </c>
      <c r="B1801" s="1" t="n">
        <v>45726.55258101852</v>
      </c>
      <c r="C1801" s="1" t="n">
        <v>46034</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41722-2023</t>
        </is>
      </c>
      <c r="B1802" s="1" t="n">
        <v>45176.4012037037</v>
      </c>
      <c r="C1802" s="1" t="n">
        <v>46034</v>
      </c>
      <c r="D1802" t="inlineStr">
        <is>
          <t>JÄMTLANDS LÄN</t>
        </is>
      </c>
      <c r="E1802" t="inlineStr">
        <is>
          <t>BRÄCKE</t>
        </is>
      </c>
      <c r="G1802" t="n">
        <v>21.3</v>
      </c>
      <c r="H1802" t="n">
        <v>0</v>
      </c>
      <c r="I1802" t="n">
        <v>0</v>
      </c>
      <c r="J1802" t="n">
        <v>0</v>
      </c>
      <c r="K1802" t="n">
        <v>0</v>
      </c>
      <c r="L1802" t="n">
        <v>0</v>
      </c>
      <c r="M1802" t="n">
        <v>0</v>
      </c>
      <c r="N1802" t="n">
        <v>0</v>
      </c>
      <c r="O1802" t="n">
        <v>0</v>
      </c>
      <c r="P1802" t="n">
        <v>0</v>
      </c>
      <c r="Q1802" t="n">
        <v>0</v>
      </c>
      <c r="R1802" s="2" t="inlineStr"/>
    </row>
    <row r="1803" ht="15" customHeight="1">
      <c r="A1803" t="inlineStr">
        <is>
          <t>A 30478-2022</t>
        </is>
      </c>
      <c r="B1803" s="1" t="n">
        <v>44761</v>
      </c>
      <c r="C1803" s="1" t="n">
        <v>46034</v>
      </c>
      <c r="D1803" t="inlineStr">
        <is>
          <t>JÄMTLANDS LÄN</t>
        </is>
      </c>
      <c r="E1803" t="inlineStr">
        <is>
          <t>BRÄCKE</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29572-2024</t>
        </is>
      </c>
      <c r="B1804" s="1" t="n">
        <v>45484.55929398148</v>
      </c>
      <c r="C1804" s="1" t="n">
        <v>46034</v>
      </c>
      <c r="D1804" t="inlineStr">
        <is>
          <t>JÄMTLANDS LÄN</t>
        </is>
      </c>
      <c r="E1804" t="inlineStr">
        <is>
          <t>BRÄCKE</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52714-2022</t>
        </is>
      </c>
      <c r="B1805" s="1" t="n">
        <v>44874.95511574074</v>
      </c>
      <c r="C1805" s="1" t="n">
        <v>46034</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37504-2023</t>
        </is>
      </c>
      <c r="B1806" s="1" t="n">
        <v>45157.59725694444</v>
      </c>
      <c r="C1806" s="1" t="n">
        <v>46034</v>
      </c>
      <c r="D1806" t="inlineStr">
        <is>
          <t>JÄMTLANDS LÄN</t>
        </is>
      </c>
      <c r="E1806" t="inlineStr">
        <is>
          <t>BRÄCKE</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7123-2025</t>
        </is>
      </c>
      <c r="B1807" s="1" t="n">
        <v>45702.34427083333</v>
      </c>
      <c r="C1807" s="1" t="n">
        <v>46034</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48342-2024</t>
        </is>
      </c>
      <c r="B1808" s="1" t="n">
        <v>45590.55238425926</v>
      </c>
      <c r="C1808" s="1" t="n">
        <v>46034</v>
      </c>
      <c r="D1808" t="inlineStr">
        <is>
          <t>JÄMTLANDS LÄN</t>
        </is>
      </c>
      <c r="E1808" t="inlineStr">
        <is>
          <t>BRÄCKE</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68763-2021</t>
        </is>
      </c>
      <c r="B1809" s="1" t="n">
        <v>44529</v>
      </c>
      <c r="C1809" s="1" t="n">
        <v>46034</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56047-2024</t>
        </is>
      </c>
      <c r="B1810" s="1" t="n">
        <v>45624.34450231482</v>
      </c>
      <c r="C1810" s="1" t="n">
        <v>46034</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24307-2024</t>
        </is>
      </c>
      <c r="B1811" s="1" t="n">
        <v>45457.49471064815</v>
      </c>
      <c r="C1811" s="1" t="n">
        <v>46034</v>
      </c>
      <c r="D1811" t="inlineStr">
        <is>
          <t>JÄMTLANDS LÄN</t>
        </is>
      </c>
      <c r="E1811" t="inlineStr">
        <is>
          <t>BRÄCKE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59586-2023</t>
        </is>
      </c>
      <c r="B1812" s="1" t="n">
        <v>45254.61172453704</v>
      </c>
      <c r="C1812" s="1" t="n">
        <v>46034</v>
      </c>
      <c r="D1812" t="inlineStr">
        <is>
          <t>JÄMTLANDS LÄN</t>
        </is>
      </c>
      <c r="E1812" t="inlineStr">
        <is>
          <t>BRÄCKE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58449-2024</t>
        </is>
      </c>
      <c r="B1813" s="1" t="n">
        <v>45635.34413194445</v>
      </c>
      <c r="C1813" s="1" t="n">
        <v>46034</v>
      </c>
      <c r="D1813" t="inlineStr">
        <is>
          <t>JÄMTLANDS LÄN</t>
        </is>
      </c>
      <c r="E1813" t="inlineStr">
        <is>
          <t>BRÄCKE</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4635-2022</t>
        </is>
      </c>
      <c r="B1814" s="1" t="n">
        <v>44592.41413194445</v>
      </c>
      <c r="C1814" s="1" t="n">
        <v>46034</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58491-2024</t>
        </is>
      </c>
      <c r="B1815" s="1" t="n">
        <v>45635.40408564815</v>
      </c>
      <c r="C1815" s="1" t="n">
        <v>46034</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48419-2023</t>
        </is>
      </c>
      <c r="B1816" s="1" t="n">
        <v>45205</v>
      </c>
      <c r="C1816" s="1" t="n">
        <v>46034</v>
      </c>
      <c r="D1816" t="inlineStr">
        <is>
          <t>JÄMTLANDS LÄN</t>
        </is>
      </c>
      <c r="E1816" t="inlineStr">
        <is>
          <t>BRÄCKE</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73102-2021</t>
        </is>
      </c>
      <c r="B1817" s="1" t="n">
        <v>44550.45236111111</v>
      </c>
      <c r="C1817" s="1" t="n">
        <v>46034</v>
      </c>
      <c r="D1817" t="inlineStr">
        <is>
          <t>JÄMTLANDS LÄN</t>
        </is>
      </c>
      <c r="E1817" t="inlineStr">
        <is>
          <t>BRÄCKE</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16512-2024</t>
        </is>
      </c>
      <c r="B1818" s="1" t="n">
        <v>45408.39922453704</v>
      </c>
      <c r="C1818" s="1" t="n">
        <v>46034</v>
      </c>
      <c r="D1818" t="inlineStr">
        <is>
          <t>JÄMTLANDS LÄN</t>
        </is>
      </c>
      <c r="E1818" t="inlineStr">
        <is>
          <t>BRÄCKE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53696-2024</t>
        </is>
      </c>
      <c r="B1819" s="1" t="n">
        <v>45615.3857175926</v>
      </c>
      <c r="C1819" s="1" t="n">
        <v>46034</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18267-2025</t>
        </is>
      </c>
      <c r="B1820" s="1" t="n">
        <v>45762.36527777778</v>
      </c>
      <c r="C1820" s="1" t="n">
        <v>46034</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49330-2023</t>
        </is>
      </c>
      <c r="B1821" s="1" t="n">
        <v>45210.94927083333</v>
      </c>
      <c r="C1821" s="1" t="n">
        <v>46034</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19088-2021</t>
        </is>
      </c>
      <c r="B1822" s="1" t="n">
        <v>44308</v>
      </c>
      <c r="C1822" s="1" t="n">
        <v>46034</v>
      </c>
      <c r="D1822" t="inlineStr">
        <is>
          <t>JÄMTLANDS LÄN</t>
        </is>
      </c>
      <c r="E1822" t="inlineStr">
        <is>
          <t>BRÄCKE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22001-2024</t>
        </is>
      </c>
      <c r="B1823" s="1" t="n">
        <v>45443.56649305556</v>
      </c>
      <c r="C1823" s="1" t="n">
        <v>46034</v>
      </c>
      <c r="D1823" t="inlineStr">
        <is>
          <t>JÄMTLANDS LÄN</t>
        </is>
      </c>
      <c r="E1823" t="inlineStr">
        <is>
          <t>BRÄCKE</t>
        </is>
      </c>
      <c r="F1823" t="inlineStr">
        <is>
          <t>Övriga Aktiebolag</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3180-2024</t>
        </is>
      </c>
      <c r="B1824" s="1" t="n">
        <v>45316.64880787037</v>
      </c>
      <c r="C1824" s="1" t="n">
        <v>46034</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3182-2024</t>
        </is>
      </c>
      <c r="B1825" s="1" t="n">
        <v>45316.65004629629</v>
      </c>
      <c r="C1825" s="1" t="n">
        <v>46034</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10815-2022</t>
        </is>
      </c>
      <c r="B1826" s="1" t="n">
        <v>44627</v>
      </c>
      <c r="C1826" s="1" t="n">
        <v>46034</v>
      </c>
      <c r="D1826" t="inlineStr">
        <is>
          <t>JÄMTLANDS LÄN</t>
        </is>
      </c>
      <c r="E1826" t="inlineStr">
        <is>
          <t>BRÄCKE</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52723-2023</t>
        </is>
      </c>
      <c r="B1827" s="1" t="n">
        <v>45225</v>
      </c>
      <c r="C1827" s="1" t="n">
        <v>46034</v>
      </c>
      <c r="D1827" t="inlineStr">
        <is>
          <t>JÄMTLANDS LÄN</t>
        </is>
      </c>
      <c r="E1827" t="inlineStr">
        <is>
          <t>BRÄCKE</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34807-2024</t>
        </is>
      </c>
      <c r="B1828" s="1" t="n">
        <v>45526.69046296296</v>
      </c>
      <c r="C1828" s="1" t="n">
        <v>46034</v>
      </c>
      <c r="D1828" t="inlineStr">
        <is>
          <t>JÄMTLANDS LÄN</t>
        </is>
      </c>
      <c r="E1828" t="inlineStr">
        <is>
          <t>BRÄCKE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17907-2025</t>
        </is>
      </c>
      <c r="B1829" s="1" t="n">
        <v>45758.73046296297</v>
      </c>
      <c r="C1829" s="1" t="n">
        <v>46034</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39326-2024</t>
        </is>
      </c>
      <c r="B1830" s="1" t="n">
        <v>45551.42741898148</v>
      </c>
      <c r="C1830" s="1" t="n">
        <v>46034</v>
      </c>
      <c r="D1830" t="inlineStr">
        <is>
          <t>JÄMTLANDS LÄN</t>
        </is>
      </c>
      <c r="E1830" t="inlineStr">
        <is>
          <t>BRÄCKE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60666-2024</t>
        </is>
      </c>
      <c r="B1831" s="1" t="n">
        <v>45644.44833333333</v>
      </c>
      <c r="C1831" s="1" t="n">
        <v>46034</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46034</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20625-2023</t>
        </is>
      </c>
      <c r="B1833" s="1" t="n">
        <v>45057.94351851852</v>
      </c>
      <c r="C1833" s="1" t="n">
        <v>46034</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9996-2025</t>
        </is>
      </c>
      <c r="B1834" s="1" t="n">
        <v>45719.44133101852</v>
      </c>
      <c r="C1834" s="1" t="n">
        <v>46034</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51558-2022</t>
        </is>
      </c>
      <c r="B1835" s="1" t="n">
        <v>44869.9497337963</v>
      </c>
      <c r="C1835" s="1" t="n">
        <v>46034</v>
      </c>
      <c r="D1835" t="inlineStr">
        <is>
          <t>JÄMTLANDS LÄN</t>
        </is>
      </c>
      <c r="E1835" t="inlineStr">
        <is>
          <t>BRÄCKE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30685-2023</t>
        </is>
      </c>
      <c r="B1836" s="1" t="n">
        <v>45112.56471064815</v>
      </c>
      <c r="C1836" s="1" t="n">
        <v>46034</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36549-2024</t>
        </is>
      </c>
      <c r="B1837" s="1" t="n">
        <v>45537.46791666667</v>
      </c>
      <c r="C1837" s="1" t="n">
        <v>46034</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39004-2023</t>
        </is>
      </c>
      <c r="B1838" s="1" t="n">
        <v>45162</v>
      </c>
      <c r="C1838" s="1" t="n">
        <v>46034</v>
      </c>
      <c r="D1838" t="inlineStr">
        <is>
          <t>JÄMTLANDS LÄN</t>
        </is>
      </c>
      <c r="E1838" t="inlineStr">
        <is>
          <t>BRÄCKE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14474-2025</t>
        </is>
      </c>
      <c r="B1839" s="1" t="n">
        <v>45741.57782407408</v>
      </c>
      <c r="C1839" s="1" t="n">
        <v>46034</v>
      </c>
      <c r="D1839" t="inlineStr">
        <is>
          <t>JÄMTLANDS LÄN</t>
        </is>
      </c>
      <c r="E1839" t="inlineStr">
        <is>
          <t>BRÄCKE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5167-2025</t>
        </is>
      </c>
      <c r="B1840" s="1" t="n">
        <v>45691.61539351852</v>
      </c>
      <c r="C1840" s="1" t="n">
        <v>46034</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56640-2021</t>
        </is>
      </c>
      <c r="B1841" s="1" t="n">
        <v>44480</v>
      </c>
      <c r="C1841" s="1" t="n">
        <v>46034</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33538-2021</t>
        </is>
      </c>
      <c r="B1842" s="1" t="n">
        <v>44377</v>
      </c>
      <c r="C1842" s="1" t="n">
        <v>46034</v>
      </c>
      <c r="D1842" t="inlineStr">
        <is>
          <t>JÄMTLANDS LÄN</t>
        </is>
      </c>
      <c r="E1842" t="inlineStr">
        <is>
          <t>BRÄCKE</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57420-2023</t>
        </is>
      </c>
      <c r="B1843" s="1" t="n">
        <v>45245.96990740741</v>
      </c>
      <c r="C1843" s="1" t="n">
        <v>46034</v>
      </c>
      <c r="D1843" t="inlineStr">
        <is>
          <t>JÄMTLANDS LÄN</t>
        </is>
      </c>
      <c r="E1843" t="inlineStr">
        <is>
          <t>BRÄCKE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59650-2024</t>
        </is>
      </c>
      <c r="B1844" s="1" t="n">
        <v>45639.34488425926</v>
      </c>
      <c r="C1844" s="1" t="n">
        <v>46034</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46798-2023</t>
        </is>
      </c>
      <c r="B1845" s="1" t="n">
        <v>45198</v>
      </c>
      <c r="C1845" s="1" t="n">
        <v>46034</v>
      </c>
      <c r="D1845" t="inlineStr">
        <is>
          <t>JÄMTLANDS LÄN</t>
        </is>
      </c>
      <c r="E1845" t="inlineStr">
        <is>
          <t>BRÄCKE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2179-2025</t>
        </is>
      </c>
      <c r="B1846" s="1" t="n">
        <v>45673.34421296296</v>
      </c>
      <c r="C1846" s="1" t="n">
        <v>46034</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1080-2025</t>
        </is>
      </c>
      <c r="B1847" s="1" t="n">
        <v>45666.61513888889</v>
      </c>
      <c r="C1847" s="1" t="n">
        <v>46034</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57096-2024</t>
        </is>
      </c>
      <c r="B1848" s="1" t="n">
        <v>45629.35810185185</v>
      </c>
      <c r="C1848" s="1" t="n">
        <v>46034</v>
      </c>
      <c r="D1848" t="inlineStr">
        <is>
          <t>JÄMTLANDS LÄN</t>
        </is>
      </c>
      <c r="E1848" t="inlineStr">
        <is>
          <t>BRÄCKE</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57473-2024</t>
        </is>
      </c>
      <c r="B1849" s="1" t="n">
        <v>45630.34438657408</v>
      </c>
      <c r="C1849" s="1" t="n">
        <v>46034</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18984-2022</t>
        </is>
      </c>
      <c r="B1850" s="1" t="n">
        <v>44690</v>
      </c>
      <c r="C1850" s="1" t="n">
        <v>46034</v>
      </c>
      <c r="D1850" t="inlineStr">
        <is>
          <t>JÄMTLANDS LÄN</t>
        </is>
      </c>
      <c r="E1850" t="inlineStr">
        <is>
          <t>BRÄCKE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28765-2024</t>
        </is>
      </c>
      <c r="B1851" s="1" t="n">
        <v>45478.59344907408</v>
      </c>
      <c r="C1851" s="1" t="n">
        <v>46034</v>
      </c>
      <c r="D1851" t="inlineStr">
        <is>
          <t>JÄMTLANDS LÄN</t>
        </is>
      </c>
      <c r="E1851" t="inlineStr">
        <is>
          <t>BRÄCKE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20778-2025</t>
        </is>
      </c>
      <c r="B1852" s="1" t="n">
        <v>45776.59439814815</v>
      </c>
      <c r="C1852" s="1" t="n">
        <v>46034</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20870-2025</t>
        </is>
      </c>
      <c r="B1853" s="1" t="n">
        <v>45777.34517361111</v>
      </c>
      <c r="C1853" s="1" t="n">
        <v>46034</v>
      </c>
      <c r="D1853" t="inlineStr">
        <is>
          <t>JÄMTLANDS LÄN</t>
        </is>
      </c>
      <c r="E1853" t="inlineStr">
        <is>
          <t>BRÄCKE</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20756-2025</t>
        </is>
      </c>
      <c r="B1854" s="1" t="n">
        <v>45776.57333333333</v>
      </c>
      <c r="C1854" s="1" t="n">
        <v>46034</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20909-2025</t>
        </is>
      </c>
      <c r="B1855" s="1" t="n">
        <v>45777.40672453704</v>
      </c>
      <c r="C1855" s="1" t="n">
        <v>46034</v>
      </c>
      <c r="D1855" t="inlineStr">
        <is>
          <t>JÄMTLANDS LÄN</t>
        </is>
      </c>
      <c r="E1855" t="inlineStr">
        <is>
          <t>BRÄCKE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29409-2024</t>
        </is>
      </c>
      <c r="B1856" s="1" t="n">
        <v>45483.67341435186</v>
      </c>
      <c r="C1856" s="1" t="n">
        <v>46034</v>
      </c>
      <c r="D1856" t="inlineStr">
        <is>
          <t>JÄMTLANDS LÄN</t>
        </is>
      </c>
      <c r="E1856" t="inlineStr">
        <is>
          <t>BRÄCKE</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46034</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34646-2024</t>
        </is>
      </c>
      <c r="B1858" s="1" t="n">
        <v>45526.4784375</v>
      </c>
      <c r="C1858" s="1" t="n">
        <v>46034</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26919-2024</t>
        </is>
      </c>
      <c r="B1859" s="1" t="n">
        <v>45470.93050925926</v>
      </c>
      <c r="C1859" s="1" t="n">
        <v>46034</v>
      </c>
      <c r="D1859" t="inlineStr">
        <is>
          <t>JÄMTLANDS LÄN</t>
        </is>
      </c>
      <c r="E1859" t="inlineStr">
        <is>
          <t>BRÄCKE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9438-2025</t>
        </is>
      </c>
      <c r="B1860" s="1" t="n">
        <v>45715.41347222222</v>
      </c>
      <c r="C1860" s="1" t="n">
        <v>46034</v>
      </c>
      <c r="D1860" t="inlineStr">
        <is>
          <t>JÄMTLANDS LÄN</t>
        </is>
      </c>
      <c r="E1860" t="inlineStr">
        <is>
          <t>BRÄCKE</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21634-2025</t>
        </is>
      </c>
      <c r="B1861" s="1" t="n">
        <v>45783.42775462963</v>
      </c>
      <c r="C1861" s="1" t="n">
        <v>46034</v>
      </c>
      <c r="D1861" t="inlineStr">
        <is>
          <t>JÄMTLANDS LÄN</t>
        </is>
      </c>
      <c r="E1861" t="inlineStr">
        <is>
          <t>BRÄCKE</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21368-2025</t>
        </is>
      </c>
      <c r="B1862" s="1" t="n">
        <v>45782.44824074074</v>
      </c>
      <c r="C1862" s="1" t="n">
        <v>46034</v>
      </c>
      <c r="D1862" t="inlineStr">
        <is>
          <t>JÄMTLANDS LÄN</t>
        </is>
      </c>
      <c r="E1862" t="inlineStr">
        <is>
          <t>BRÄCKE</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21449-2025</t>
        </is>
      </c>
      <c r="B1863" s="1" t="n">
        <v>45782.55255787037</v>
      </c>
      <c r="C1863" s="1" t="n">
        <v>46034</v>
      </c>
      <c r="D1863" t="inlineStr">
        <is>
          <t>JÄMTLANDS LÄN</t>
        </is>
      </c>
      <c r="E1863" t="inlineStr">
        <is>
          <t>BRÄCKE</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21450-2025</t>
        </is>
      </c>
      <c r="B1864" s="1" t="n">
        <v>45782.55275462963</v>
      </c>
      <c r="C1864" s="1" t="n">
        <v>46034</v>
      </c>
      <c r="D1864" t="inlineStr">
        <is>
          <t>JÄMTLANDS LÄN</t>
        </is>
      </c>
      <c r="E1864" t="inlineStr">
        <is>
          <t>BRÄCKE</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21486-2025</t>
        </is>
      </c>
      <c r="B1865" s="1" t="n">
        <v>45782.59521990741</v>
      </c>
      <c r="C1865" s="1" t="n">
        <v>46034</v>
      </c>
      <c r="D1865" t="inlineStr">
        <is>
          <t>JÄMTLANDS LÄN</t>
        </is>
      </c>
      <c r="E1865" t="inlineStr">
        <is>
          <t>BRÄCKE</t>
        </is>
      </c>
      <c r="F1865" t="inlineStr">
        <is>
          <t>SCA</t>
        </is>
      </c>
      <c r="G1865" t="n">
        <v>1.2</v>
      </c>
      <c r="H1865" t="n">
        <v>0</v>
      </c>
      <c r="I1865" t="n">
        <v>0</v>
      </c>
      <c r="J1865" t="n">
        <v>0</v>
      </c>
      <c r="K1865" t="n">
        <v>0</v>
      </c>
      <c r="L1865" t="n">
        <v>0</v>
      </c>
      <c r="M1865" t="n">
        <v>0</v>
      </c>
      <c r="N1865" t="n">
        <v>0</v>
      </c>
      <c r="O1865" t="n">
        <v>0</v>
      </c>
      <c r="P1865" t="n">
        <v>0</v>
      </c>
      <c r="Q1865" t="n">
        <v>0</v>
      </c>
      <c r="R1865" s="2" t="inlineStr"/>
    </row>
    <row r="1866">
      <c r="A1866" t="inlineStr">
        <is>
          <t>A 32963-2022</t>
        </is>
      </c>
      <c r="B1866" s="1" t="n">
        <v>44784.92496527778</v>
      </c>
      <c r="C1866" s="1" t="n">
        <v>46034</v>
      </c>
      <c r="D1866" t="inlineStr">
        <is>
          <t>JÄMTLANDS LÄN</t>
        </is>
      </c>
      <c r="E1866" t="inlineStr">
        <is>
          <t>BRÄCKE</t>
        </is>
      </c>
      <c r="G1866" t="n">
        <v>5.2</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2026-01-12T10:47:49Z</dcterms:created>
  <dcterms:modified xmlns:dcterms="http://purl.org/dc/terms/" xmlns:xsi="http://www.w3.org/2001/XMLSchema-instance" xsi:type="dcterms:W3CDTF">2026-01-12T10:47:51Z</dcterms:modified>
</cp:coreProperties>
</file>